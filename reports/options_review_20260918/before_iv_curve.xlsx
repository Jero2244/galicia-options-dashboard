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 Laptop\.spyder-py3\2024-1\options\outputs\options_review_20260918\"/>
    </mc:Choice>
  </mc:AlternateContent>
  <xr:revisionPtr revIDLastSave="0" documentId="13_ncr:1_{0A9F7BCA-90A1-4DBC-90D0-233DAD22B430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Overview" sheetId="1" r:id="rId1"/>
    <sheet name="Daily volatility" sheetId="2" r:id="rId2"/>
    <sheet name="IV history" sheetId="3" r:id="rId3"/>
    <sheet name="Strategies" sheetId="4" r:id="rId4"/>
    <sheet name="Option source" sheetId="5" r:id="rId5"/>
    <sheet name="Model inputs" sheetId="6" r:id="rId6"/>
    <sheet name="Ratio explor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7" l="1"/>
  <c r="S56" i="7" s="1"/>
  <c r="S55" i="7"/>
  <c r="A55" i="7"/>
  <c r="A54" i="7"/>
  <c r="S54" i="7" s="1"/>
  <c r="S53" i="7"/>
  <c r="A53" i="7"/>
  <c r="A52" i="7"/>
  <c r="S52" i="7" s="1"/>
  <c r="S51" i="7"/>
  <c r="A51" i="7"/>
  <c r="A50" i="7"/>
  <c r="S50" i="7" s="1"/>
  <c r="S49" i="7"/>
  <c r="A49" i="7"/>
  <c r="A48" i="7"/>
  <c r="S48" i="7" s="1"/>
  <c r="S47" i="7"/>
  <c r="A47" i="7"/>
  <c r="A46" i="7"/>
  <c r="S46" i="7" s="1"/>
  <c r="S45" i="7"/>
  <c r="A45" i="7"/>
  <c r="A44" i="7"/>
  <c r="S44" i="7" s="1"/>
  <c r="S43" i="7"/>
  <c r="A43" i="7"/>
  <c r="A42" i="7"/>
  <c r="S42" i="7" s="1"/>
  <c r="S41" i="7"/>
  <c r="A41" i="7"/>
  <c r="A40" i="7"/>
  <c r="S40" i="7" s="1"/>
  <c r="S39" i="7"/>
  <c r="A39" i="7"/>
  <c r="A38" i="7"/>
  <c r="S38" i="7" s="1"/>
  <c r="B12" i="7"/>
  <c r="B11" i="7"/>
  <c r="B10" i="7"/>
  <c r="D6" i="7"/>
  <c r="K49" i="7" s="1"/>
  <c r="K1653" i="4"/>
  <c r="H1653" i="4"/>
  <c r="G1653" i="4"/>
  <c r="J1653" i="4" s="1"/>
  <c r="L1652" i="4"/>
  <c r="K1652" i="4"/>
  <c r="J1652" i="4"/>
  <c r="H1652" i="4"/>
  <c r="G1652" i="4"/>
  <c r="M1651" i="4"/>
  <c r="L1651" i="4"/>
  <c r="K1651" i="4"/>
  <c r="H1651" i="4"/>
  <c r="G1651" i="4"/>
  <c r="J1651" i="4" s="1"/>
  <c r="K1650" i="4"/>
  <c r="H1650" i="4"/>
  <c r="G1650" i="4"/>
  <c r="J1650" i="4" s="1"/>
  <c r="P1649" i="4"/>
  <c r="M1649" i="4"/>
  <c r="L1649" i="4"/>
  <c r="K1649" i="4"/>
  <c r="J1649" i="4"/>
  <c r="H1649" i="4"/>
  <c r="G1649" i="4"/>
  <c r="K1648" i="4"/>
  <c r="J1648" i="4"/>
  <c r="H1648" i="4"/>
  <c r="G1648" i="4"/>
  <c r="N1647" i="4"/>
  <c r="M1647" i="4"/>
  <c r="L1647" i="4"/>
  <c r="K1647" i="4"/>
  <c r="H1647" i="4"/>
  <c r="G1647" i="4"/>
  <c r="J1647" i="4" s="1"/>
  <c r="P1647" i="4" s="1"/>
  <c r="P1646" i="4"/>
  <c r="K1646" i="4"/>
  <c r="L1646" i="4" s="1"/>
  <c r="H1646" i="4"/>
  <c r="G1646" i="4"/>
  <c r="J1646" i="4" s="1"/>
  <c r="M1645" i="4"/>
  <c r="K1645" i="4"/>
  <c r="J1645" i="4"/>
  <c r="H1645" i="4"/>
  <c r="G1645" i="4"/>
  <c r="K1644" i="4"/>
  <c r="J1644" i="4"/>
  <c r="H1644" i="4"/>
  <c r="G1644" i="4"/>
  <c r="K1643" i="4"/>
  <c r="H1643" i="4"/>
  <c r="G1643" i="4"/>
  <c r="J1643" i="4" s="1"/>
  <c r="N1643" i="4" s="1"/>
  <c r="K1642" i="4"/>
  <c r="J1642" i="4"/>
  <c r="H1642" i="4"/>
  <c r="G1642" i="4"/>
  <c r="M1641" i="4"/>
  <c r="K1641" i="4"/>
  <c r="H1641" i="4"/>
  <c r="G1641" i="4"/>
  <c r="J1641" i="4" s="1"/>
  <c r="N1640" i="4"/>
  <c r="L1640" i="4"/>
  <c r="K1640" i="4"/>
  <c r="J1640" i="4"/>
  <c r="H1640" i="4"/>
  <c r="G1640" i="4"/>
  <c r="P1639" i="4"/>
  <c r="N1639" i="4"/>
  <c r="M1639" i="4"/>
  <c r="K1639" i="4"/>
  <c r="H1639" i="4"/>
  <c r="G1639" i="4"/>
  <c r="J1639" i="4" s="1"/>
  <c r="N1638" i="4"/>
  <c r="M1638" i="4"/>
  <c r="K1638" i="4"/>
  <c r="O1638" i="4" s="1"/>
  <c r="J1638" i="4"/>
  <c r="Q1638" i="4" s="1"/>
  <c r="H1638" i="4"/>
  <c r="G1638" i="4"/>
  <c r="M1637" i="4"/>
  <c r="K1637" i="4"/>
  <c r="H1637" i="4"/>
  <c r="G1637" i="4"/>
  <c r="J1637" i="4" s="1"/>
  <c r="M1636" i="4"/>
  <c r="K1636" i="4"/>
  <c r="J1636" i="4"/>
  <c r="H1636" i="4"/>
  <c r="G1636" i="4"/>
  <c r="P1635" i="4"/>
  <c r="M1635" i="4"/>
  <c r="K1635" i="4"/>
  <c r="H1635" i="4"/>
  <c r="G1635" i="4"/>
  <c r="J1635" i="4" s="1"/>
  <c r="K1634" i="4"/>
  <c r="H1634" i="4"/>
  <c r="G1634" i="4"/>
  <c r="J1634" i="4" s="1"/>
  <c r="P1633" i="4"/>
  <c r="M1633" i="4"/>
  <c r="L1633" i="4"/>
  <c r="K1633" i="4"/>
  <c r="O1633" i="4" s="1"/>
  <c r="J1633" i="4"/>
  <c r="H1633" i="4"/>
  <c r="G1633" i="4"/>
  <c r="N1632" i="4"/>
  <c r="L1632" i="4"/>
  <c r="K1632" i="4"/>
  <c r="J1632" i="4"/>
  <c r="H1632" i="4"/>
  <c r="G1632" i="4"/>
  <c r="P1631" i="4"/>
  <c r="L1631" i="4"/>
  <c r="K1631" i="4"/>
  <c r="H1631" i="4"/>
  <c r="G1631" i="4"/>
  <c r="J1631" i="4" s="1"/>
  <c r="N1631" i="4" s="1"/>
  <c r="M1630" i="4"/>
  <c r="K1630" i="4"/>
  <c r="H1630" i="4"/>
  <c r="G1630" i="4"/>
  <c r="J1630" i="4" s="1"/>
  <c r="L1629" i="4"/>
  <c r="K1629" i="4"/>
  <c r="J1629" i="4"/>
  <c r="H1629" i="4"/>
  <c r="G1629" i="4"/>
  <c r="N1628" i="4"/>
  <c r="M1628" i="4"/>
  <c r="L1628" i="4"/>
  <c r="K1628" i="4"/>
  <c r="J1628" i="4"/>
  <c r="H1628" i="4"/>
  <c r="G1628" i="4"/>
  <c r="P1627" i="4"/>
  <c r="N1627" i="4"/>
  <c r="L1627" i="4"/>
  <c r="K1627" i="4"/>
  <c r="H1627" i="4"/>
  <c r="G1627" i="4"/>
  <c r="J1627" i="4" s="1"/>
  <c r="M1626" i="4"/>
  <c r="K1626" i="4"/>
  <c r="H1626" i="4"/>
  <c r="G1626" i="4"/>
  <c r="J1626" i="4" s="1"/>
  <c r="L1625" i="4"/>
  <c r="K1625" i="4"/>
  <c r="J1625" i="4"/>
  <c r="H1625" i="4"/>
  <c r="G1625" i="4"/>
  <c r="N1624" i="4"/>
  <c r="M1624" i="4"/>
  <c r="L1624" i="4"/>
  <c r="K1624" i="4"/>
  <c r="J1624" i="4"/>
  <c r="H1624" i="4"/>
  <c r="G1624" i="4"/>
  <c r="P1623" i="4"/>
  <c r="N1623" i="4"/>
  <c r="L1623" i="4"/>
  <c r="K1623" i="4"/>
  <c r="H1623" i="4"/>
  <c r="G1623" i="4"/>
  <c r="J1623" i="4" s="1"/>
  <c r="M1622" i="4"/>
  <c r="K1622" i="4"/>
  <c r="H1622" i="4"/>
  <c r="G1622" i="4"/>
  <c r="J1622" i="4" s="1"/>
  <c r="L1621" i="4"/>
  <c r="K1621" i="4"/>
  <c r="J1621" i="4"/>
  <c r="H1621" i="4"/>
  <c r="G1621" i="4"/>
  <c r="M1620" i="4"/>
  <c r="K1620" i="4"/>
  <c r="J1620" i="4"/>
  <c r="H1620" i="4"/>
  <c r="G1620" i="4"/>
  <c r="K1619" i="4"/>
  <c r="H1619" i="4"/>
  <c r="G1619" i="4"/>
  <c r="J1619" i="4" s="1"/>
  <c r="P1618" i="4"/>
  <c r="M1618" i="4"/>
  <c r="K1618" i="4"/>
  <c r="J1618" i="4"/>
  <c r="H1618" i="4"/>
  <c r="G1618" i="4"/>
  <c r="K1617" i="4"/>
  <c r="J1617" i="4"/>
  <c r="H1617" i="4"/>
  <c r="G1617" i="4"/>
  <c r="M1616" i="4"/>
  <c r="L1616" i="4"/>
  <c r="K1616" i="4"/>
  <c r="J1616" i="4"/>
  <c r="N1616" i="4" s="1"/>
  <c r="H1616" i="4"/>
  <c r="G1616" i="4"/>
  <c r="P1615" i="4"/>
  <c r="L1615" i="4"/>
  <c r="K1615" i="4"/>
  <c r="H1615" i="4"/>
  <c r="G1615" i="4"/>
  <c r="J1615" i="4" s="1"/>
  <c r="N1615" i="4" s="1"/>
  <c r="P1614" i="4"/>
  <c r="M1614" i="4"/>
  <c r="K1614" i="4"/>
  <c r="J1614" i="4"/>
  <c r="H1614" i="4"/>
  <c r="G1614" i="4"/>
  <c r="K1613" i="4"/>
  <c r="H1613" i="4"/>
  <c r="G1613" i="4"/>
  <c r="J1613" i="4" s="1"/>
  <c r="N1612" i="4"/>
  <c r="M1612" i="4"/>
  <c r="L1612" i="4"/>
  <c r="K1612" i="4"/>
  <c r="J1612" i="4"/>
  <c r="H1612" i="4"/>
  <c r="G1612" i="4"/>
  <c r="P1611" i="4"/>
  <c r="K1611" i="4"/>
  <c r="I1611" i="4"/>
  <c r="H1611" i="4"/>
  <c r="G1611" i="4"/>
  <c r="J1611" i="4" s="1"/>
  <c r="N1611" i="4" s="1"/>
  <c r="O1610" i="4"/>
  <c r="K1610" i="4"/>
  <c r="L1610" i="4" s="1"/>
  <c r="J1610" i="4"/>
  <c r="I1610" i="4"/>
  <c r="H1610" i="4"/>
  <c r="G1610" i="4"/>
  <c r="K1609" i="4"/>
  <c r="J1609" i="4"/>
  <c r="I1609" i="4"/>
  <c r="H1609" i="4"/>
  <c r="G1609" i="4"/>
  <c r="K1608" i="4"/>
  <c r="I1608" i="4"/>
  <c r="H1608" i="4"/>
  <c r="G1608" i="4"/>
  <c r="K1607" i="4"/>
  <c r="J1607" i="4"/>
  <c r="I1607" i="4"/>
  <c r="H1607" i="4"/>
  <c r="G1607" i="4"/>
  <c r="K1606" i="4"/>
  <c r="I1606" i="4"/>
  <c r="H1606" i="4"/>
  <c r="G1606" i="4"/>
  <c r="Q1605" i="4"/>
  <c r="N1605" i="4"/>
  <c r="K1605" i="4"/>
  <c r="J1605" i="4"/>
  <c r="I1605" i="4"/>
  <c r="H1605" i="4"/>
  <c r="G1605" i="4"/>
  <c r="K1604" i="4"/>
  <c r="I1604" i="4"/>
  <c r="H1604" i="4"/>
  <c r="G1604" i="4"/>
  <c r="K1603" i="4"/>
  <c r="I1603" i="4"/>
  <c r="H1603" i="4"/>
  <c r="J1603" i="4" s="1"/>
  <c r="G1603" i="4"/>
  <c r="K1602" i="4"/>
  <c r="J1602" i="4"/>
  <c r="I1602" i="4"/>
  <c r="H1602" i="4"/>
  <c r="G1602" i="4"/>
  <c r="K1601" i="4"/>
  <c r="I1601" i="4"/>
  <c r="H1601" i="4"/>
  <c r="J1601" i="4" s="1"/>
  <c r="P1601" i="4" s="1"/>
  <c r="G1601" i="4"/>
  <c r="P1600" i="4"/>
  <c r="K1600" i="4"/>
  <c r="I1600" i="4"/>
  <c r="H1600" i="4"/>
  <c r="G1600" i="4"/>
  <c r="J1600" i="4" s="1"/>
  <c r="O1600" i="4" s="1"/>
  <c r="N1599" i="4"/>
  <c r="L1599" i="4"/>
  <c r="K1599" i="4"/>
  <c r="I1599" i="4"/>
  <c r="H1599" i="4"/>
  <c r="G1599" i="4"/>
  <c r="J1599" i="4" s="1"/>
  <c r="O1598" i="4"/>
  <c r="N1598" i="4"/>
  <c r="M1598" i="4"/>
  <c r="K1598" i="4"/>
  <c r="J1598" i="4"/>
  <c r="I1598" i="4"/>
  <c r="H1598" i="4"/>
  <c r="G1598" i="4"/>
  <c r="Q1597" i="4"/>
  <c r="N1597" i="4"/>
  <c r="L1597" i="4"/>
  <c r="P1597" i="4" s="1"/>
  <c r="K1597" i="4"/>
  <c r="J1597" i="4"/>
  <c r="I1597" i="4"/>
  <c r="H1597" i="4"/>
  <c r="G1597" i="4"/>
  <c r="Q1596" i="4"/>
  <c r="O1596" i="4"/>
  <c r="L1596" i="4"/>
  <c r="K1596" i="4"/>
  <c r="J1596" i="4"/>
  <c r="I1596" i="4"/>
  <c r="H1596" i="4"/>
  <c r="G1596" i="4"/>
  <c r="O1595" i="4"/>
  <c r="M1595" i="4"/>
  <c r="K1595" i="4"/>
  <c r="L1595" i="4" s="1"/>
  <c r="I1595" i="4"/>
  <c r="H1595" i="4"/>
  <c r="G1595" i="4"/>
  <c r="J1595" i="4" s="1"/>
  <c r="Q1595" i="4" s="1"/>
  <c r="O1594" i="4"/>
  <c r="N1594" i="4"/>
  <c r="K1594" i="4"/>
  <c r="I1594" i="4"/>
  <c r="H1594" i="4"/>
  <c r="G1594" i="4"/>
  <c r="J1594" i="4" s="1"/>
  <c r="Q1593" i="4"/>
  <c r="O1593" i="4"/>
  <c r="K1593" i="4"/>
  <c r="I1593" i="4"/>
  <c r="H1593" i="4"/>
  <c r="G1593" i="4"/>
  <c r="J1593" i="4" s="1"/>
  <c r="K1592" i="4"/>
  <c r="I1592" i="4"/>
  <c r="H1592" i="4"/>
  <c r="J1592" i="4" s="1"/>
  <c r="G1592" i="4"/>
  <c r="Q1591" i="4"/>
  <c r="K1591" i="4"/>
  <c r="I1591" i="4"/>
  <c r="H1591" i="4"/>
  <c r="G1591" i="4"/>
  <c r="J1591" i="4" s="1"/>
  <c r="K1590" i="4"/>
  <c r="I1590" i="4"/>
  <c r="H1590" i="4"/>
  <c r="J1590" i="4" s="1"/>
  <c r="G1590" i="4"/>
  <c r="Q1589" i="4"/>
  <c r="K1589" i="4"/>
  <c r="I1589" i="4"/>
  <c r="H1589" i="4"/>
  <c r="G1589" i="4"/>
  <c r="J1589" i="4" s="1"/>
  <c r="Q1588" i="4"/>
  <c r="K1588" i="4"/>
  <c r="I1588" i="4"/>
  <c r="H1588" i="4"/>
  <c r="J1588" i="4" s="1"/>
  <c r="G1588" i="4"/>
  <c r="K1587" i="4"/>
  <c r="L1587" i="4" s="1"/>
  <c r="I1587" i="4"/>
  <c r="H1587" i="4"/>
  <c r="G1587" i="4"/>
  <c r="J1587" i="4" s="1"/>
  <c r="K1586" i="4"/>
  <c r="I1586" i="4"/>
  <c r="H1586" i="4"/>
  <c r="J1586" i="4" s="1"/>
  <c r="G1586" i="4"/>
  <c r="K1585" i="4"/>
  <c r="I1585" i="4"/>
  <c r="J1585" i="4" s="1"/>
  <c r="H1585" i="4"/>
  <c r="G1585" i="4"/>
  <c r="K1584" i="4"/>
  <c r="J1584" i="4"/>
  <c r="I1584" i="4"/>
  <c r="H1584" i="4"/>
  <c r="G1584" i="4"/>
  <c r="K1583" i="4"/>
  <c r="I1583" i="4"/>
  <c r="H1583" i="4"/>
  <c r="G1583" i="4"/>
  <c r="K1582" i="4"/>
  <c r="J1582" i="4"/>
  <c r="I1582" i="4"/>
  <c r="H1582" i="4"/>
  <c r="G1582" i="4"/>
  <c r="K1581" i="4"/>
  <c r="I1581" i="4"/>
  <c r="H1581" i="4"/>
  <c r="G1581" i="4"/>
  <c r="K1580" i="4"/>
  <c r="J1580" i="4"/>
  <c r="I1580" i="4"/>
  <c r="H1580" i="4"/>
  <c r="G1580" i="4"/>
  <c r="K1579" i="4"/>
  <c r="I1579" i="4"/>
  <c r="H1579" i="4"/>
  <c r="G1579" i="4"/>
  <c r="O1578" i="4"/>
  <c r="N1578" i="4"/>
  <c r="M1578" i="4"/>
  <c r="L1578" i="4"/>
  <c r="K1578" i="4"/>
  <c r="J1578" i="4"/>
  <c r="Q1578" i="4" s="1"/>
  <c r="H1578" i="4"/>
  <c r="G1578" i="4"/>
  <c r="M1577" i="4"/>
  <c r="K1577" i="4"/>
  <c r="H1577" i="4"/>
  <c r="G1577" i="4"/>
  <c r="J1577" i="4" s="1"/>
  <c r="M1576" i="4"/>
  <c r="K1576" i="4"/>
  <c r="H1576" i="4"/>
  <c r="G1576" i="4"/>
  <c r="J1576" i="4" s="1"/>
  <c r="M1575" i="4"/>
  <c r="K1575" i="4"/>
  <c r="H1575" i="4"/>
  <c r="G1575" i="4"/>
  <c r="J1575" i="4" s="1"/>
  <c r="N1575" i="4" s="1"/>
  <c r="N1574" i="4"/>
  <c r="K1574" i="4"/>
  <c r="H1574" i="4"/>
  <c r="G1574" i="4"/>
  <c r="J1574" i="4" s="1"/>
  <c r="O1574" i="4" s="1"/>
  <c r="M1573" i="4"/>
  <c r="K1573" i="4"/>
  <c r="H1573" i="4"/>
  <c r="G1573" i="4"/>
  <c r="N1572" i="4"/>
  <c r="K1572" i="4"/>
  <c r="L1572" i="4" s="1"/>
  <c r="H1572" i="4"/>
  <c r="G1572" i="4"/>
  <c r="J1572" i="4" s="1"/>
  <c r="P1572" i="4" s="1"/>
  <c r="M1571" i="4"/>
  <c r="K1571" i="4"/>
  <c r="H1571" i="4"/>
  <c r="G1571" i="4"/>
  <c r="J1571" i="4" s="1"/>
  <c r="N1571" i="4" s="1"/>
  <c r="K1570" i="4"/>
  <c r="H1570" i="4"/>
  <c r="G1570" i="4"/>
  <c r="J1570" i="4" s="1"/>
  <c r="O1570" i="4" s="1"/>
  <c r="M1569" i="4"/>
  <c r="K1569" i="4"/>
  <c r="H1569" i="4"/>
  <c r="G1569" i="4"/>
  <c r="M1568" i="4"/>
  <c r="K1568" i="4"/>
  <c r="H1568" i="4"/>
  <c r="G1568" i="4"/>
  <c r="J1568" i="4" s="1"/>
  <c r="P1567" i="4"/>
  <c r="N1567" i="4"/>
  <c r="M1567" i="4"/>
  <c r="K1567" i="4"/>
  <c r="H1567" i="4"/>
  <c r="G1567" i="4"/>
  <c r="J1567" i="4" s="1"/>
  <c r="P1566" i="4"/>
  <c r="O1566" i="4"/>
  <c r="K1566" i="4"/>
  <c r="H1566" i="4"/>
  <c r="G1566" i="4"/>
  <c r="J1566" i="4" s="1"/>
  <c r="P1565" i="4"/>
  <c r="K1565" i="4"/>
  <c r="H1565" i="4"/>
  <c r="G1565" i="4"/>
  <c r="J1565" i="4" s="1"/>
  <c r="P1564" i="4"/>
  <c r="N1564" i="4"/>
  <c r="M1564" i="4"/>
  <c r="K1564" i="4"/>
  <c r="H1564" i="4"/>
  <c r="G1564" i="4"/>
  <c r="J1564" i="4" s="1"/>
  <c r="P1563" i="4"/>
  <c r="N1563" i="4"/>
  <c r="K1563" i="4"/>
  <c r="H1563" i="4"/>
  <c r="G1563" i="4"/>
  <c r="J1563" i="4" s="1"/>
  <c r="O1562" i="4"/>
  <c r="M1562" i="4"/>
  <c r="K1562" i="4"/>
  <c r="J1562" i="4"/>
  <c r="H1562" i="4"/>
  <c r="G1562" i="4"/>
  <c r="K1561" i="4"/>
  <c r="J1561" i="4"/>
  <c r="H1561" i="4"/>
  <c r="G1561" i="4"/>
  <c r="P1560" i="4"/>
  <c r="K1560" i="4"/>
  <c r="H1560" i="4"/>
  <c r="G1560" i="4"/>
  <c r="J1560" i="4" s="1"/>
  <c r="M1559" i="4"/>
  <c r="K1559" i="4"/>
  <c r="H1559" i="4"/>
  <c r="G1559" i="4"/>
  <c r="J1559" i="4" s="1"/>
  <c r="P1559" i="4" s="1"/>
  <c r="P1558" i="4"/>
  <c r="K1558" i="4"/>
  <c r="H1558" i="4"/>
  <c r="G1558" i="4"/>
  <c r="J1558" i="4" s="1"/>
  <c r="M1557" i="4"/>
  <c r="K1557" i="4"/>
  <c r="H1557" i="4"/>
  <c r="G1557" i="4"/>
  <c r="J1557" i="4" s="1"/>
  <c r="K1556" i="4"/>
  <c r="H1556" i="4"/>
  <c r="G1556" i="4"/>
  <c r="J1556" i="4" s="1"/>
  <c r="P1555" i="4"/>
  <c r="K1555" i="4"/>
  <c r="H1555" i="4"/>
  <c r="G1555" i="4"/>
  <c r="J1555" i="4" s="1"/>
  <c r="O1554" i="4"/>
  <c r="M1554" i="4"/>
  <c r="K1554" i="4"/>
  <c r="H1554" i="4"/>
  <c r="G1554" i="4"/>
  <c r="J1554" i="4" s="1"/>
  <c r="K1553" i="4"/>
  <c r="J1553" i="4"/>
  <c r="H1553" i="4"/>
  <c r="G1553" i="4"/>
  <c r="M1552" i="4"/>
  <c r="K1552" i="4"/>
  <c r="H1552" i="4"/>
  <c r="G1552" i="4"/>
  <c r="J1552" i="4" s="1"/>
  <c r="K1551" i="4"/>
  <c r="H1551" i="4"/>
  <c r="G1551" i="4"/>
  <c r="J1551" i="4" s="1"/>
  <c r="M1550" i="4"/>
  <c r="K1550" i="4"/>
  <c r="H1550" i="4"/>
  <c r="G1550" i="4"/>
  <c r="J1550" i="4" s="1"/>
  <c r="P1550" i="4" s="1"/>
  <c r="K1549" i="4"/>
  <c r="H1549" i="4"/>
  <c r="G1549" i="4"/>
  <c r="J1549" i="4" s="1"/>
  <c r="K1548" i="4"/>
  <c r="H1548" i="4"/>
  <c r="G1548" i="4"/>
  <c r="J1548" i="4" s="1"/>
  <c r="M1547" i="4"/>
  <c r="K1547" i="4"/>
  <c r="J1547" i="4"/>
  <c r="H1547" i="4"/>
  <c r="G1547" i="4"/>
  <c r="P1546" i="4"/>
  <c r="K1546" i="4"/>
  <c r="H1546" i="4"/>
  <c r="G1546" i="4"/>
  <c r="J1546" i="4" s="1"/>
  <c r="Q1545" i="4"/>
  <c r="K1545" i="4"/>
  <c r="H1545" i="4"/>
  <c r="G1545" i="4"/>
  <c r="J1545" i="4" s="1"/>
  <c r="M1544" i="4"/>
  <c r="K1544" i="4"/>
  <c r="J1544" i="4"/>
  <c r="H1544" i="4"/>
  <c r="G1544" i="4"/>
  <c r="K1543" i="4"/>
  <c r="H1543" i="4"/>
  <c r="G1543" i="4"/>
  <c r="J1543" i="4" s="1"/>
  <c r="P1542" i="4"/>
  <c r="M1542" i="4"/>
  <c r="K1542" i="4"/>
  <c r="H1542" i="4"/>
  <c r="G1542" i="4"/>
  <c r="J1542" i="4" s="1"/>
  <c r="K1541" i="4"/>
  <c r="H1541" i="4"/>
  <c r="G1541" i="4"/>
  <c r="J1541" i="4" s="1"/>
  <c r="M1540" i="4"/>
  <c r="K1540" i="4"/>
  <c r="H1540" i="4"/>
  <c r="G1540" i="4"/>
  <c r="J1540" i="4" s="1"/>
  <c r="K1539" i="4"/>
  <c r="H1539" i="4"/>
  <c r="G1539" i="4"/>
  <c r="J1539" i="4" s="1"/>
  <c r="M1538" i="4"/>
  <c r="L1538" i="4"/>
  <c r="K1538" i="4"/>
  <c r="J1538" i="4"/>
  <c r="H1538" i="4"/>
  <c r="G1538" i="4"/>
  <c r="K1537" i="4"/>
  <c r="H1537" i="4"/>
  <c r="J1537" i="4" s="1"/>
  <c r="G1537" i="4"/>
  <c r="M1536" i="4"/>
  <c r="L1536" i="4"/>
  <c r="K1536" i="4"/>
  <c r="J1536" i="4"/>
  <c r="H1536" i="4"/>
  <c r="G1536" i="4"/>
  <c r="L1535" i="4"/>
  <c r="K1535" i="4"/>
  <c r="J1535" i="4"/>
  <c r="I1535" i="4"/>
  <c r="H1535" i="4"/>
  <c r="G1535" i="4"/>
  <c r="K1534" i="4"/>
  <c r="I1534" i="4"/>
  <c r="H1534" i="4"/>
  <c r="G1534" i="4"/>
  <c r="L1533" i="4"/>
  <c r="K1533" i="4"/>
  <c r="J1533" i="4"/>
  <c r="I1533" i="4"/>
  <c r="H1533" i="4"/>
  <c r="G1533" i="4"/>
  <c r="K1532" i="4"/>
  <c r="I1532" i="4"/>
  <c r="H1532" i="4"/>
  <c r="G1532" i="4"/>
  <c r="L1531" i="4"/>
  <c r="K1531" i="4"/>
  <c r="J1531" i="4"/>
  <c r="I1531" i="4"/>
  <c r="H1531" i="4"/>
  <c r="G1531" i="4"/>
  <c r="K1530" i="4"/>
  <c r="I1530" i="4"/>
  <c r="H1530" i="4"/>
  <c r="G1530" i="4"/>
  <c r="K1529" i="4"/>
  <c r="I1529" i="4"/>
  <c r="J1529" i="4" s="1"/>
  <c r="H1529" i="4"/>
  <c r="G1529" i="4"/>
  <c r="Q1528" i="4"/>
  <c r="K1528" i="4"/>
  <c r="J1528" i="4"/>
  <c r="I1528" i="4"/>
  <c r="H1528" i="4"/>
  <c r="G1528" i="4"/>
  <c r="M1527" i="4"/>
  <c r="K1527" i="4"/>
  <c r="I1527" i="4"/>
  <c r="H1527" i="4"/>
  <c r="G1527" i="4"/>
  <c r="J1527" i="4" s="1"/>
  <c r="K1526" i="4"/>
  <c r="I1526" i="4"/>
  <c r="H1526" i="4"/>
  <c r="G1526" i="4"/>
  <c r="J1526" i="4" s="1"/>
  <c r="M1525" i="4"/>
  <c r="K1525" i="4"/>
  <c r="J1525" i="4"/>
  <c r="Q1525" i="4" s="1"/>
  <c r="I1525" i="4"/>
  <c r="H1525" i="4"/>
  <c r="G1525" i="4"/>
  <c r="K1524" i="4"/>
  <c r="I1524" i="4"/>
  <c r="H1524" i="4"/>
  <c r="G1524" i="4"/>
  <c r="K1523" i="4"/>
  <c r="I1523" i="4"/>
  <c r="H1523" i="4"/>
  <c r="J1523" i="4" s="1"/>
  <c r="G1523" i="4"/>
  <c r="Q1522" i="4"/>
  <c r="K1522" i="4"/>
  <c r="N1522" i="4" s="1"/>
  <c r="I1522" i="4"/>
  <c r="J1522" i="4" s="1"/>
  <c r="H1522" i="4"/>
  <c r="G1522" i="4"/>
  <c r="K1521" i="4"/>
  <c r="I1521" i="4"/>
  <c r="H1521" i="4"/>
  <c r="G1521" i="4"/>
  <c r="K1520" i="4"/>
  <c r="L1520" i="4" s="1"/>
  <c r="J1520" i="4"/>
  <c r="I1520" i="4"/>
  <c r="H1520" i="4"/>
  <c r="G1520" i="4"/>
  <c r="K1519" i="4"/>
  <c r="L1519" i="4" s="1"/>
  <c r="I1519" i="4"/>
  <c r="H1519" i="4"/>
  <c r="G1519" i="4"/>
  <c r="J1519" i="4" s="1"/>
  <c r="M1518" i="4"/>
  <c r="K1518" i="4"/>
  <c r="I1518" i="4"/>
  <c r="H1518" i="4"/>
  <c r="G1518" i="4"/>
  <c r="J1518" i="4" s="1"/>
  <c r="K1517" i="4"/>
  <c r="J1517" i="4"/>
  <c r="I1517" i="4"/>
  <c r="H1517" i="4"/>
  <c r="G1517" i="4"/>
  <c r="K1516" i="4"/>
  <c r="I1516" i="4"/>
  <c r="H1516" i="4"/>
  <c r="G1516" i="4"/>
  <c r="J1516" i="4" s="1"/>
  <c r="O1516" i="4" s="1"/>
  <c r="K1515" i="4"/>
  <c r="I1515" i="4"/>
  <c r="H1515" i="4"/>
  <c r="G1515" i="4"/>
  <c r="M1514" i="4"/>
  <c r="K1514" i="4"/>
  <c r="I1514" i="4"/>
  <c r="J1514" i="4" s="1"/>
  <c r="H1514" i="4"/>
  <c r="G1514" i="4"/>
  <c r="K1513" i="4"/>
  <c r="I1513" i="4"/>
  <c r="H1513" i="4"/>
  <c r="G1513" i="4"/>
  <c r="K1512" i="4"/>
  <c r="I1512" i="4"/>
  <c r="H1512" i="4"/>
  <c r="J1512" i="4" s="1"/>
  <c r="G1512" i="4"/>
  <c r="M1511" i="4"/>
  <c r="K1511" i="4"/>
  <c r="I1511" i="4"/>
  <c r="H1511" i="4"/>
  <c r="G1511" i="4"/>
  <c r="J1511" i="4" s="1"/>
  <c r="K1510" i="4"/>
  <c r="I1510" i="4"/>
  <c r="H1510" i="4"/>
  <c r="J1510" i="4" s="1"/>
  <c r="G1510" i="4"/>
  <c r="K1509" i="4"/>
  <c r="I1509" i="4"/>
  <c r="H1509" i="4"/>
  <c r="J1509" i="4" s="1"/>
  <c r="G1509" i="4"/>
  <c r="K1508" i="4"/>
  <c r="I1508" i="4"/>
  <c r="H1508" i="4"/>
  <c r="G1508" i="4"/>
  <c r="J1508" i="4" s="1"/>
  <c r="M1508" i="4" s="1"/>
  <c r="K1507" i="4"/>
  <c r="J1507" i="4"/>
  <c r="I1507" i="4"/>
  <c r="H1507" i="4"/>
  <c r="G1507" i="4"/>
  <c r="Q1506" i="4"/>
  <c r="K1506" i="4"/>
  <c r="J1506" i="4"/>
  <c r="I1506" i="4"/>
  <c r="H1506" i="4"/>
  <c r="G1506" i="4"/>
  <c r="K1505" i="4"/>
  <c r="I1505" i="4"/>
  <c r="H1505" i="4"/>
  <c r="G1505" i="4"/>
  <c r="K1504" i="4"/>
  <c r="I1504" i="4"/>
  <c r="H1504" i="4"/>
  <c r="G1504" i="4"/>
  <c r="J1504" i="4" s="1"/>
  <c r="K1503" i="4"/>
  <c r="I1503" i="4"/>
  <c r="H1503" i="4"/>
  <c r="G1503" i="4"/>
  <c r="J1503" i="4" s="1"/>
  <c r="M1503" i="4" s="1"/>
  <c r="K1502" i="4"/>
  <c r="I1502" i="4"/>
  <c r="H1502" i="4"/>
  <c r="G1502" i="4"/>
  <c r="M1501" i="4"/>
  <c r="K1501" i="4"/>
  <c r="H1501" i="4"/>
  <c r="G1501" i="4"/>
  <c r="O1500" i="4"/>
  <c r="M1500" i="4"/>
  <c r="K1500" i="4"/>
  <c r="J1500" i="4"/>
  <c r="H1500" i="4"/>
  <c r="G1500" i="4"/>
  <c r="P1499" i="4"/>
  <c r="M1499" i="4"/>
  <c r="K1499" i="4"/>
  <c r="J1499" i="4"/>
  <c r="N1499" i="4" s="1"/>
  <c r="H1499" i="4"/>
  <c r="G1499" i="4"/>
  <c r="M1498" i="4"/>
  <c r="K1498" i="4"/>
  <c r="H1498" i="4"/>
  <c r="J1498" i="4" s="1"/>
  <c r="G1498" i="4"/>
  <c r="M1497" i="4"/>
  <c r="K1497" i="4"/>
  <c r="H1497" i="4"/>
  <c r="G1497" i="4"/>
  <c r="J1497" i="4" s="1"/>
  <c r="M1496" i="4"/>
  <c r="K1496" i="4"/>
  <c r="H1496" i="4"/>
  <c r="G1496" i="4"/>
  <c r="J1496" i="4" s="1"/>
  <c r="M1495" i="4"/>
  <c r="K1495" i="4"/>
  <c r="H1495" i="4"/>
  <c r="G1495" i="4"/>
  <c r="J1495" i="4" s="1"/>
  <c r="K1494" i="4"/>
  <c r="H1494" i="4"/>
  <c r="J1494" i="4" s="1"/>
  <c r="G1494" i="4"/>
  <c r="M1493" i="4"/>
  <c r="K1493" i="4"/>
  <c r="H1493" i="4"/>
  <c r="G1493" i="4"/>
  <c r="K1492" i="4"/>
  <c r="H1492" i="4"/>
  <c r="G1492" i="4"/>
  <c r="J1492" i="4" s="1"/>
  <c r="N1492" i="4" s="1"/>
  <c r="M1491" i="4"/>
  <c r="K1491" i="4"/>
  <c r="J1491" i="4"/>
  <c r="H1491" i="4"/>
  <c r="G1491" i="4"/>
  <c r="K1490" i="4"/>
  <c r="L1490" i="4" s="1"/>
  <c r="J1490" i="4"/>
  <c r="O1490" i="4" s="1"/>
  <c r="H1490" i="4"/>
  <c r="G1490" i="4"/>
  <c r="M1489" i="4"/>
  <c r="K1489" i="4"/>
  <c r="H1489" i="4"/>
  <c r="G1489" i="4"/>
  <c r="K1488" i="4"/>
  <c r="J1488" i="4"/>
  <c r="H1488" i="4"/>
  <c r="G1488" i="4"/>
  <c r="P1487" i="4"/>
  <c r="K1487" i="4"/>
  <c r="H1487" i="4"/>
  <c r="G1487" i="4"/>
  <c r="J1487" i="4" s="1"/>
  <c r="M1486" i="4"/>
  <c r="K1486" i="4"/>
  <c r="H1486" i="4"/>
  <c r="J1486" i="4" s="1"/>
  <c r="G1486" i="4"/>
  <c r="K1485" i="4"/>
  <c r="H1485" i="4"/>
  <c r="G1485" i="4"/>
  <c r="J1485" i="4" s="1"/>
  <c r="K1484" i="4"/>
  <c r="H1484" i="4"/>
  <c r="G1484" i="4"/>
  <c r="M1483" i="4"/>
  <c r="K1483" i="4"/>
  <c r="J1483" i="4"/>
  <c r="H1483" i="4"/>
  <c r="G1483" i="4"/>
  <c r="O1482" i="4"/>
  <c r="K1482" i="4"/>
  <c r="J1482" i="4"/>
  <c r="H1482" i="4"/>
  <c r="G1482" i="4"/>
  <c r="Q1481" i="4"/>
  <c r="M1481" i="4"/>
  <c r="K1481" i="4"/>
  <c r="O1481" i="4" s="1"/>
  <c r="H1481" i="4"/>
  <c r="G1481" i="4"/>
  <c r="J1481" i="4" s="1"/>
  <c r="K1480" i="4"/>
  <c r="H1480" i="4"/>
  <c r="G1480" i="4"/>
  <c r="J1480" i="4" s="1"/>
  <c r="K1479" i="4"/>
  <c r="J1479" i="4"/>
  <c r="H1479" i="4"/>
  <c r="G1479" i="4"/>
  <c r="Q1478" i="4"/>
  <c r="M1478" i="4"/>
  <c r="K1478" i="4"/>
  <c r="J1478" i="4"/>
  <c r="H1478" i="4"/>
  <c r="G1478" i="4"/>
  <c r="K1477" i="4"/>
  <c r="H1477" i="4"/>
  <c r="G1477" i="4"/>
  <c r="J1477" i="4" s="1"/>
  <c r="M1476" i="4"/>
  <c r="K1476" i="4"/>
  <c r="H1476" i="4"/>
  <c r="G1476" i="4"/>
  <c r="K1475" i="4"/>
  <c r="J1475" i="4"/>
  <c r="H1475" i="4"/>
  <c r="G1475" i="4"/>
  <c r="K1474" i="4"/>
  <c r="O1474" i="4" s="1"/>
  <c r="J1474" i="4"/>
  <c r="H1474" i="4"/>
  <c r="G1474" i="4"/>
  <c r="M1473" i="4"/>
  <c r="K1473" i="4"/>
  <c r="O1473" i="4" s="1"/>
  <c r="H1473" i="4"/>
  <c r="G1473" i="4"/>
  <c r="J1473" i="4" s="1"/>
  <c r="Q1473" i="4" s="1"/>
  <c r="K1472" i="4"/>
  <c r="H1472" i="4"/>
  <c r="G1472" i="4"/>
  <c r="M1471" i="4"/>
  <c r="K1471" i="4"/>
  <c r="J1471" i="4"/>
  <c r="O1471" i="4" s="1"/>
  <c r="H1471" i="4"/>
  <c r="G1471" i="4"/>
  <c r="O1470" i="4"/>
  <c r="K1470" i="4"/>
  <c r="J1470" i="4"/>
  <c r="Q1470" i="4" s="1"/>
  <c r="H1470" i="4"/>
  <c r="G1470" i="4"/>
  <c r="M1469" i="4"/>
  <c r="K1469" i="4"/>
  <c r="H1469" i="4"/>
  <c r="G1469" i="4"/>
  <c r="J1469" i="4" s="1"/>
  <c r="K1468" i="4"/>
  <c r="H1468" i="4"/>
  <c r="G1468" i="4"/>
  <c r="J1468" i="4" s="1"/>
  <c r="N1468" i="4" s="1"/>
  <c r="M1467" i="4"/>
  <c r="K1467" i="4"/>
  <c r="L1467" i="4" s="1"/>
  <c r="J1467" i="4"/>
  <c r="H1467" i="4"/>
  <c r="G1467" i="4"/>
  <c r="K1466" i="4"/>
  <c r="O1466" i="4" s="1"/>
  <c r="J1466" i="4"/>
  <c r="H1466" i="4"/>
  <c r="G1466" i="4"/>
  <c r="M1465" i="4"/>
  <c r="K1465" i="4"/>
  <c r="O1465" i="4" s="1"/>
  <c r="H1465" i="4"/>
  <c r="G1465" i="4"/>
  <c r="J1465" i="4" s="1"/>
  <c r="Q1465" i="4" s="1"/>
  <c r="K1464" i="4"/>
  <c r="H1464" i="4"/>
  <c r="G1464" i="4"/>
  <c r="M1463" i="4"/>
  <c r="K1463" i="4"/>
  <c r="J1463" i="4"/>
  <c r="O1463" i="4" s="1"/>
  <c r="H1463" i="4"/>
  <c r="G1463" i="4"/>
  <c r="O1462" i="4"/>
  <c r="K1462" i="4"/>
  <c r="J1462" i="4"/>
  <c r="Q1462" i="4" s="1"/>
  <c r="H1462" i="4"/>
  <c r="G1462" i="4"/>
  <c r="Q1461" i="4"/>
  <c r="P1461" i="4"/>
  <c r="M1461" i="4"/>
  <c r="K1461" i="4"/>
  <c r="H1461" i="4"/>
  <c r="G1461" i="4"/>
  <c r="J1461" i="4" s="1"/>
  <c r="K1460" i="4"/>
  <c r="H1460" i="4"/>
  <c r="G1460" i="4"/>
  <c r="M1459" i="4"/>
  <c r="K1459" i="4"/>
  <c r="J1459" i="4"/>
  <c r="H1459" i="4"/>
  <c r="G1459" i="4"/>
  <c r="K1458" i="4"/>
  <c r="J1458" i="4"/>
  <c r="H1458" i="4"/>
  <c r="G1458" i="4"/>
  <c r="Q1457" i="4"/>
  <c r="M1457" i="4"/>
  <c r="K1457" i="4"/>
  <c r="H1457" i="4"/>
  <c r="G1457" i="4"/>
  <c r="J1457" i="4" s="1"/>
  <c r="K1456" i="4"/>
  <c r="I1456" i="4"/>
  <c r="H1456" i="4"/>
  <c r="J1456" i="4" s="1"/>
  <c r="N1456" i="4" s="1"/>
  <c r="G1456" i="4"/>
  <c r="O1455" i="4"/>
  <c r="K1455" i="4"/>
  <c r="I1455" i="4"/>
  <c r="H1455" i="4"/>
  <c r="G1455" i="4"/>
  <c r="J1455" i="4" s="1"/>
  <c r="P1455" i="4" s="1"/>
  <c r="K1454" i="4"/>
  <c r="I1454" i="4"/>
  <c r="H1454" i="4"/>
  <c r="G1454" i="4"/>
  <c r="J1454" i="4" s="1"/>
  <c r="N1453" i="4"/>
  <c r="M1453" i="4"/>
  <c r="K1453" i="4"/>
  <c r="L1453" i="4" s="1"/>
  <c r="J1453" i="4"/>
  <c r="I1453" i="4"/>
  <c r="H1453" i="4"/>
  <c r="G1453" i="4"/>
  <c r="Q1452" i="4"/>
  <c r="K1452" i="4"/>
  <c r="I1452" i="4"/>
  <c r="H1452" i="4"/>
  <c r="J1452" i="4" s="1"/>
  <c r="G1452" i="4"/>
  <c r="K1451" i="4"/>
  <c r="I1451" i="4"/>
  <c r="H1451" i="4"/>
  <c r="G1451" i="4"/>
  <c r="O1450" i="4"/>
  <c r="K1450" i="4"/>
  <c r="I1450" i="4"/>
  <c r="H1450" i="4"/>
  <c r="G1450" i="4"/>
  <c r="J1450" i="4" s="1"/>
  <c r="N1450" i="4" s="1"/>
  <c r="Q1449" i="4"/>
  <c r="K1449" i="4"/>
  <c r="L1449" i="4" s="1"/>
  <c r="J1449" i="4"/>
  <c r="I1449" i="4"/>
  <c r="H1449" i="4"/>
  <c r="G1449" i="4"/>
  <c r="K1448" i="4"/>
  <c r="I1448" i="4"/>
  <c r="H1448" i="4"/>
  <c r="G1448" i="4"/>
  <c r="K1447" i="4"/>
  <c r="I1447" i="4"/>
  <c r="H1447" i="4"/>
  <c r="G1447" i="4"/>
  <c r="K1446" i="4"/>
  <c r="I1446" i="4"/>
  <c r="H1446" i="4"/>
  <c r="G1446" i="4"/>
  <c r="J1446" i="4" s="1"/>
  <c r="N1445" i="4"/>
  <c r="M1445" i="4"/>
  <c r="K1445" i="4"/>
  <c r="L1445" i="4" s="1"/>
  <c r="J1445" i="4"/>
  <c r="I1445" i="4"/>
  <c r="H1445" i="4"/>
  <c r="G1445" i="4"/>
  <c r="Q1444" i="4"/>
  <c r="L1444" i="4"/>
  <c r="K1444" i="4"/>
  <c r="I1444" i="4"/>
  <c r="H1444" i="4"/>
  <c r="J1444" i="4" s="1"/>
  <c r="P1444" i="4" s="1"/>
  <c r="G1444" i="4"/>
  <c r="K1443" i="4"/>
  <c r="L1443" i="4" s="1"/>
  <c r="I1443" i="4"/>
  <c r="H1443" i="4"/>
  <c r="G1443" i="4"/>
  <c r="J1443" i="4" s="1"/>
  <c r="K1442" i="4"/>
  <c r="I1442" i="4"/>
  <c r="H1442" i="4"/>
  <c r="G1442" i="4"/>
  <c r="J1442" i="4" s="1"/>
  <c r="K1441" i="4"/>
  <c r="I1441" i="4"/>
  <c r="J1441" i="4" s="1"/>
  <c r="H1441" i="4"/>
  <c r="G1441" i="4"/>
  <c r="K1440" i="4"/>
  <c r="I1440" i="4"/>
  <c r="H1440" i="4"/>
  <c r="G1440" i="4"/>
  <c r="K1439" i="4"/>
  <c r="I1439" i="4"/>
  <c r="H1439" i="4"/>
  <c r="G1439" i="4"/>
  <c r="K1438" i="4"/>
  <c r="I1438" i="4"/>
  <c r="H1438" i="4"/>
  <c r="G1438" i="4"/>
  <c r="J1438" i="4" s="1"/>
  <c r="O1437" i="4"/>
  <c r="N1437" i="4"/>
  <c r="K1437" i="4"/>
  <c r="L1437" i="4" s="1"/>
  <c r="J1437" i="4"/>
  <c r="Q1437" i="4" s="1"/>
  <c r="I1437" i="4"/>
  <c r="H1437" i="4"/>
  <c r="G1437" i="4"/>
  <c r="K1436" i="4"/>
  <c r="I1436" i="4"/>
  <c r="J1436" i="4" s="1"/>
  <c r="H1436" i="4"/>
  <c r="G1436" i="4"/>
  <c r="M1435" i="4"/>
  <c r="K1435" i="4"/>
  <c r="I1435" i="4"/>
  <c r="H1435" i="4"/>
  <c r="G1435" i="4"/>
  <c r="J1435" i="4" s="1"/>
  <c r="O1435" i="4" s="1"/>
  <c r="K1434" i="4"/>
  <c r="I1434" i="4"/>
  <c r="H1434" i="4"/>
  <c r="G1434" i="4"/>
  <c r="J1434" i="4" s="1"/>
  <c r="K1433" i="4"/>
  <c r="I1433" i="4"/>
  <c r="J1433" i="4" s="1"/>
  <c r="H1433" i="4"/>
  <c r="G1433" i="4"/>
  <c r="Q1432" i="4"/>
  <c r="N1432" i="4"/>
  <c r="K1432" i="4"/>
  <c r="I1432" i="4"/>
  <c r="H1432" i="4"/>
  <c r="J1432" i="4" s="1"/>
  <c r="O1432" i="4" s="1"/>
  <c r="G1432" i="4"/>
  <c r="K1431" i="4"/>
  <c r="I1431" i="4"/>
  <c r="H1431" i="4"/>
  <c r="G1431" i="4"/>
  <c r="J1431" i="4" s="1"/>
  <c r="Q1431" i="4" s="1"/>
  <c r="K1430" i="4"/>
  <c r="L1430" i="4" s="1"/>
  <c r="I1430" i="4"/>
  <c r="H1430" i="4"/>
  <c r="G1430" i="4"/>
  <c r="J1430" i="4" s="1"/>
  <c r="K1429" i="4"/>
  <c r="I1429" i="4"/>
  <c r="H1429" i="4"/>
  <c r="G1429" i="4"/>
  <c r="J1429" i="4" s="1"/>
  <c r="K1428" i="4"/>
  <c r="I1428" i="4"/>
  <c r="H1428" i="4"/>
  <c r="J1428" i="4" s="1"/>
  <c r="N1428" i="4" s="1"/>
  <c r="G1428" i="4"/>
  <c r="Q1427" i="4"/>
  <c r="K1427" i="4"/>
  <c r="L1427" i="4" s="1"/>
  <c r="I1427" i="4"/>
  <c r="H1427" i="4"/>
  <c r="G1427" i="4"/>
  <c r="J1427" i="4" s="1"/>
  <c r="K1426" i="4"/>
  <c r="L1426" i="4" s="1"/>
  <c r="I1426" i="4"/>
  <c r="H1426" i="4"/>
  <c r="J1426" i="4" s="1"/>
  <c r="G1426" i="4"/>
  <c r="K1425" i="4"/>
  <c r="I1425" i="4"/>
  <c r="H1425" i="4"/>
  <c r="G1425" i="4"/>
  <c r="K1424" i="4"/>
  <c r="I1424" i="4"/>
  <c r="H1424" i="4"/>
  <c r="J1424" i="4" s="1"/>
  <c r="G1424" i="4"/>
  <c r="M1423" i="4"/>
  <c r="K1423" i="4"/>
  <c r="L1423" i="4" s="1"/>
  <c r="I1423" i="4"/>
  <c r="H1423" i="4"/>
  <c r="G1423" i="4"/>
  <c r="J1423" i="4" s="1"/>
  <c r="N1423" i="4" s="1"/>
  <c r="N1422" i="4"/>
  <c r="K1422" i="4"/>
  <c r="I1422" i="4"/>
  <c r="H1422" i="4"/>
  <c r="J1422" i="4" s="1"/>
  <c r="G1422" i="4"/>
  <c r="K1421" i="4"/>
  <c r="I1421" i="4"/>
  <c r="H1421" i="4"/>
  <c r="G1421" i="4"/>
  <c r="J1421" i="4" s="1"/>
  <c r="O1421" i="4" s="1"/>
  <c r="K1420" i="4"/>
  <c r="I1420" i="4"/>
  <c r="H1420" i="4"/>
  <c r="J1420" i="4" s="1"/>
  <c r="G1420" i="4"/>
  <c r="K1419" i="4"/>
  <c r="I1419" i="4"/>
  <c r="H1419" i="4"/>
  <c r="G1419" i="4"/>
  <c r="M1418" i="4"/>
  <c r="K1418" i="4"/>
  <c r="H1418" i="4"/>
  <c r="G1418" i="4"/>
  <c r="J1418" i="4" s="1"/>
  <c r="M1417" i="4"/>
  <c r="L1417" i="4"/>
  <c r="K1417" i="4"/>
  <c r="H1417" i="4"/>
  <c r="J1417" i="4" s="1"/>
  <c r="G1417" i="4"/>
  <c r="M1416" i="4"/>
  <c r="K1416" i="4"/>
  <c r="H1416" i="4"/>
  <c r="G1416" i="4"/>
  <c r="J1416" i="4" s="1"/>
  <c r="M1415" i="4"/>
  <c r="K1415" i="4"/>
  <c r="H1415" i="4"/>
  <c r="G1415" i="4"/>
  <c r="J1415" i="4" s="1"/>
  <c r="O1414" i="4"/>
  <c r="M1414" i="4"/>
  <c r="K1414" i="4"/>
  <c r="J1414" i="4"/>
  <c r="Q1414" i="4" s="1"/>
  <c r="H1414" i="4"/>
  <c r="G1414" i="4"/>
  <c r="M1413" i="4"/>
  <c r="K1413" i="4"/>
  <c r="H1413" i="4"/>
  <c r="G1413" i="4"/>
  <c r="J1413" i="4" s="1"/>
  <c r="Q1413" i="4" s="1"/>
  <c r="M1412" i="4"/>
  <c r="K1412" i="4"/>
  <c r="J1412" i="4"/>
  <c r="H1412" i="4"/>
  <c r="G1412" i="4"/>
  <c r="K1411" i="4"/>
  <c r="H1411" i="4"/>
  <c r="G1411" i="4"/>
  <c r="J1411" i="4" s="1"/>
  <c r="M1410" i="4"/>
  <c r="K1410" i="4"/>
  <c r="H1410" i="4"/>
  <c r="G1410" i="4"/>
  <c r="J1410" i="4" s="1"/>
  <c r="O1409" i="4"/>
  <c r="K1409" i="4"/>
  <c r="N1409" i="4" s="1"/>
  <c r="J1409" i="4"/>
  <c r="M1409" i="4" s="1"/>
  <c r="H1409" i="4"/>
  <c r="G1409" i="4"/>
  <c r="M1408" i="4"/>
  <c r="K1408" i="4"/>
  <c r="H1408" i="4"/>
  <c r="J1408" i="4" s="1"/>
  <c r="G1408" i="4"/>
  <c r="K1407" i="4"/>
  <c r="H1407" i="4"/>
  <c r="G1407" i="4"/>
  <c r="J1407" i="4" s="1"/>
  <c r="M1406" i="4"/>
  <c r="K1406" i="4"/>
  <c r="H1406" i="4"/>
  <c r="G1406" i="4"/>
  <c r="J1406" i="4" s="1"/>
  <c r="O1405" i="4"/>
  <c r="K1405" i="4"/>
  <c r="N1405" i="4" s="1"/>
  <c r="J1405" i="4"/>
  <c r="M1405" i="4" s="1"/>
  <c r="H1405" i="4"/>
  <c r="G1405" i="4"/>
  <c r="Q1404" i="4"/>
  <c r="M1404" i="4"/>
  <c r="L1404" i="4"/>
  <c r="K1404" i="4"/>
  <c r="H1404" i="4"/>
  <c r="J1404" i="4" s="1"/>
  <c r="G1404" i="4"/>
  <c r="N1403" i="4"/>
  <c r="K1403" i="4"/>
  <c r="L1403" i="4" s="1"/>
  <c r="H1403" i="4"/>
  <c r="G1403" i="4"/>
  <c r="J1403" i="4" s="1"/>
  <c r="P1402" i="4"/>
  <c r="K1402" i="4"/>
  <c r="J1402" i="4"/>
  <c r="M1402" i="4" s="1"/>
  <c r="H1402" i="4"/>
  <c r="G1402" i="4"/>
  <c r="O1401" i="4"/>
  <c r="M1401" i="4"/>
  <c r="L1401" i="4"/>
  <c r="K1401" i="4"/>
  <c r="J1401" i="4"/>
  <c r="H1401" i="4"/>
  <c r="G1401" i="4"/>
  <c r="K1400" i="4"/>
  <c r="H1400" i="4"/>
  <c r="J1400" i="4" s="1"/>
  <c r="G1400" i="4"/>
  <c r="K1399" i="4"/>
  <c r="H1399" i="4"/>
  <c r="G1399" i="4"/>
  <c r="J1399" i="4" s="1"/>
  <c r="M1398" i="4"/>
  <c r="K1398" i="4"/>
  <c r="P1398" i="4" s="1"/>
  <c r="J1398" i="4"/>
  <c r="H1398" i="4"/>
  <c r="G1398" i="4"/>
  <c r="O1397" i="4"/>
  <c r="M1397" i="4"/>
  <c r="K1397" i="4"/>
  <c r="N1397" i="4" s="1"/>
  <c r="J1397" i="4"/>
  <c r="P1397" i="4" s="1"/>
  <c r="H1397" i="4"/>
  <c r="G1397" i="4"/>
  <c r="O1396" i="4"/>
  <c r="N1396" i="4"/>
  <c r="M1396" i="4"/>
  <c r="L1396" i="4"/>
  <c r="K1396" i="4"/>
  <c r="H1396" i="4"/>
  <c r="J1396" i="4" s="1"/>
  <c r="Q1396" i="4" s="1"/>
  <c r="G1396" i="4"/>
  <c r="K1395" i="4"/>
  <c r="H1395" i="4"/>
  <c r="G1395" i="4"/>
  <c r="M1394" i="4"/>
  <c r="K1394" i="4"/>
  <c r="H1394" i="4"/>
  <c r="G1394" i="4"/>
  <c r="J1394" i="4" s="1"/>
  <c r="M1393" i="4"/>
  <c r="K1393" i="4"/>
  <c r="H1393" i="4"/>
  <c r="J1393" i="4" s="1"/>
  <c r="G1393" i="4"/>
  <c r="Q1392" i="4"/>
  <c r="L1392" i="4"/>
  <c r="K1392" i="4"/>
  <c r="O1392" i="4" s="1"/>
  <c r="H1392" i="4"/>
  <c r="J1392" i="4" s="1"/>
  <c r="G1392" i="4"/>
  <c r="M1391" i="4"/>
  <c r="K1391" i="4"/>
  <c r="H1391" i="4"/>
  <c r="G1391" i="4"/>
  <c r="K1390" i="4"/>
  <c r="H1390" i="4"/>
  <c r="G1390" i="4"/>
  <c r="J1390" i="4" s="1"/>
  <c r="K1389" i="4"/>
  <c r="H1389" i="4"/>
  <c r="J1389" i="4" s="1"/>
  <c r="G1389" i="4"/>
  <c r="M1388" i="4"/>
  <c r="K1388" i="4"/>
  <c r="H1388" i="4"/>
  <c r="J1388" i="4" s="1"/>
  <c r="G1388" i="4"/>
  <c r="K1387" i="4"/>
  <c r="H1387" i="4"/>
  <c r="G1387" i="4"/>
  <c r="J1387" i="4" s="1"/>
  <c r="M1386" i="4"/>
  <c r="K1386" i="4"/>
  <c r="H1386" i="4"/>
  <c r="G1386" i="4"/>
  <c r="J1386" i="4" s="1"/>
  <c r="Q1385" i="4"/>
  <c r="K1385" i="4"/>
  <c r="H1385" i="4"/>
  <c r="J1385" i="4" s="1"/>
  <c r="G1385" i="4"/>
  <c r="Q1384" i="4"/>
  <c r="O1384" i="4"/>
  <c r="M1384" i="4"/>
  <c r="L1384" i="4"/>
  <c r="K1384" i="4"/>
  <c r="H1384" i="4"/>
  <c r="J1384" i="4" s="1"/>
  <c r="P1384" i="4" s="1"/>
  <c r="G1384" i="4"/>
  <c r="Q1383" i="4"/>
  <c r="P1383" i="4"/>
  <c r="M1383" i="4"/>
  <c r="K1383" i="4"/>
  <c r="L1383" i="4" s="1"/>
  <c r="H1383" i="4"/>
  <c r="G1383" i="4"/>
  <c r="J1383" i="4" s="1"/>
  <c r="O1382" i="4"/>
  <c r="M1382" i="4"/>
  <c r="K1382" i="4"/>
  <c r="J1382" i="4"/>
  <c r="P1382" i="4" s="1"/>
  <c r="H1382" i="4"/>
  <c r="G1382" i="4"/>
  <c r="M1381" i="4"/>
  <c r="K1381" i="4"/>
  <c r="J1381" i="4"/>
  <c r="P1381" i="4" s="1"/>
  <c r="H1381" i="4"/>
  <c r="G1381" i="4"/>
  <c r="N1380" i="4"/>
  <c r="M1380" i="4"/>
  <c r="K1380" i="4"/>
  <c r="L1380" i="4" s="1"/>
  <c r="H1380" i="4"/>
  <c r="J1380" i="4" s="1"/>
  <c r="Q1380" i="4" s="1"/>
  <c r="G1380" i="4"/>
  <c r="K1379" i="4"/>
  <c r="H1379" i="4"/>
  <c r="G1379" i="4"/>
  <c r="M1378" i="4"/>
  <c r="K1378" i="4"/>
  <c r="H1378" i="4"/>
  <c r="G1378" i="4"/>
  <c r="J1378" i="4" s="1"/>
  <c r="K1377" i="4"/>
  <c r="N1377" i="4" s="1"/>
  <c r="J1377" i="4"/>
  <c r="P1377" i="4" s="1"/>
  <c r="H1377" i="4"/>
  <c r="G1377" i="4"/>
  <c r="Q1376" i="4"/>
  <c r="M1376" i="4"/>
  <c r="L1376" i="4"/>
  <c r="K1376" i="4"/>
  <c r="O1376" i="4" s="1"/>
  <c r="H1376" i="4"/>
  <c r="J1376" i="4" s="1"/>
  <c r="G1376" i="4"/>
  <c r="K1375" i="4"/>
  <c r="H1375" i="4"/>
  <c r="G1375" i="4"/>
  <c r="M1374" i="4"/>
  <c r="K1374" i="4"/>
  <c r="H1374" i="4"/>
  <c r="G1374" i="4"/>
  <c r="J1374" i="4" s="1"/>
  <c r="K1373" i="4"/>
  <c r="I1373" i="4"/>
  <c r="J1373" i="4" s="1"/>
  <c r="H1373" i="4"/>
  <c r="G1373" i="4"/>
  <c r="K1372" i="4"/>
  <c r="J1372" i="4"/>
  <c r="I1372" i="4"/>
  <c r="H1372" i="4"/>
  <c r="G1372" i="4"/>
  <c r="K1371" i="4"/>
  <c r="J1371" i="4"/>
  <c r="I1371" i="4"/>
  <c r="H1371" i="4"/>
  <c r="G1371" i="4"/>
  <c r="K1370" i="4"/>
  <c r="J1370" i="4"/>
  <c r="I1370" i="4"/>
  <c r="H1370" i="4"/>
  <c r="G1370" i="4"/>
  <c r="K1369" i="4"/>
  <c r="L1369" i="4" s="1"/>
  <c r="I1369" i="4"/>
  <c r="H1369" i="4"/>
  <c r="G1369" i="4"/>
  <c r="J1369" i="4" s="1"/>
  <c r="Q1369" i="4" s="1"/>
  <c r="K1368" i="4"/>
  <c r="L1368" i="4" s="1"/>
  <c r="I1368" i="4"/>
  <c r="H1368" i="4"/>
  <c r="G1368" i="4"/>
  <c r="J1368" i="4" s="1"/>
  <c r="Q1368" i="4" s="1"/>
  <c r="K1367" i="4"/>
  <c r="L1367" i="4" s="1"/>
  <c r="I1367" i="4"/>
  <c r="H1367" i="4"/>
  <c r="G1367" i="4"/>
  <c r="J1367" i="4" s="1"/>
  <c r="Q1367" i="4" s="1"/>
  <c r="K1366" i="4"/>
  <c r="J1366" i="4"/>
  <c r="I1366" i="4"/>
  <c r="H1366" i="4"/>
  <c r="G1366" i="4"/>
  <c r="M1365" i="4"/>
  <c r="K1365" i="4"/>
  <c r="J1365" i="4"/>
  <c r="N1365" i="4" s="1"/>
  <c r="I1365" i="4"/>
  <c r="H1365" i="4"/>
  <c r="G1365" i="4"/>
  <c r="O1364" i="4"/>
  <c r="M1364" i="4"/>
  <c r="K1364" i="4"/>
  <c r="L1364" i="4" s="1"/>
  <c r="J1364" i="4"/>
  <c r="P1364" i="4" s="1"/>
  <c r="I1364" i="4"/>
  <c r="H1364" i="4"/>
  <c r="G1364" i="4"/>
  <c r="K1363" i="4"/>
  <c r="I1363" i="4"/>
  <c r="H1363" i="4"/>
  <c r="G1363" i="4"/>
  <c r="J1363" i="4" s="1"/>
  <c r="K1362" i="4"/>
  <c r="I1362" i="4"/>
  <c r="H1362" i="4"/>
  <c r="J1362" i="4" s="1"/>
  <c r="G1362" i="4"/>
  <c r="K1361" i="4"/>
  <c r="I1361" i="4"/>
  <c r="H1361" i="4"/>
  <c r="G1361" i="4"/>
  <c r="K1360" i="4"/>
  <c r="L1360" i="4" s="1"/>
  <c r="I1360" i="4"/>
  <c r="H1360" i="4"/>
  <c r="G1360" i="4"/>
  <c r="J1360" i="4" s="1"/>
  <c r="M1360" i="4" s="1"/>
  <c r="K1359" i="4"/>
  <c r="L1359" i="4" s="1"/>
  <c r="J1359" i="4"/>
  <c r="I1359" i="4"/>
  <c r="H1359" i="4"/>
  <c r="G1359" i="4"/>
  <c r="M1358" i="4"/>
  <c r="K1358" i="4"/>
  <c r="J1358" i="4"/>
  <c r="Q1358" i="4" s="1"/>
  <c r="I1358" i="4"/>
  <c r="H1358" i="4"/>
  <c r="G1358" i="4"/>
  <c r="K1357" i="4"/>
  <c r="I1357" i="4"/>
  <c r="H1357" i="4"/>
  <c r="G1357" i="4"/>
  <c r="J1357" i="4" s="1"/>
  <c r="K1356" i="4"/>
  <c r="I1356" i="4"/>
  <c r="H1356" i="4"/>
  <c r="G1356" i="4"/>
  <c r="J1356" i="4" s="1"/>
  <c r="K1355" i="4"/>
  <c r="I1355" i="4"/>
  <c r="H1355" i="4"/>
  <c r="J1355" i="4" s="1"/>
  <c r="G1355" i="4"/>
  <c r="K1354" i="4"/>
  <c r="J1354" i="4"/>
  <c r="I1354" i="4"/>
  <c r="H1354" i="4"/>
  <c r="G1354" i="4"/>
  <c r="K1353" i="4"/>
  <c r="I1353" i="4"/>
  <c r="H1353" i="4"/>
  <c r="G1353" i="4"/>
  <c r="K1352" i="4"/>
  <c r="I1352" i="4"/>
  <c r="H1352" i="4"/>
  <c r="G1352" i="4"/>
  <c r="N1351" i="4"/>
  <c r="K1351" i="4"/>
  <c r="J1351" i="4"/>
  <c r="Q1351" i="4" s="1"/>
  <c r="I1351" i="4"/>
  <c r="H1351" i="4"/>
  <c r="G1351" i="4"/>
  <c r="K1350" i="4"/>
  <c r="I1350" i="4"/>
  <c r="H1350" i="4"/>
  <c r="G1350" i="4"/>
  <c r="J1350" i="4" s="1"/>
  <c r="K1349" i="4"/>
  <c r="I1349" i="4"/>
  <c r="H1349" i="4"/>
  <c r="G1349" i="4"/>
  <c r="K1348" i="4"/>
  <c r="I1348" i="4"/>
  <c r="H1348" i="4"/>
  <c r="J1348" i="4" s="1"/>
  <c r="G1348" i="4"/>
  <c r="N1347" i="4"/>
  <c r="K1347" i="4"/>
  <c r="J1347" i="4"/>
  <c r="Q1347" i="4" s="1"/>
  <c r="I1347" i="4"/>
  <c r="H1347" i="4"/>
  <c r="G1347" i="4"/>
  <c r="K1346" i="4"/>
  <c r="I1346" i="4"/>
  <c r="H1346" i="4"/>
  <c r="J1346" i="4" s="1"/>
  <c r="G1346" i="4"/>
  <c r="K1345" i="4"/>
  <c r="I1345" i="4"/>
  <c r="H1345" i="4"/>
  <c r="G1345" i="4"/>
  <c r="K1344" i="4"/>
  <c r="I1344" i="4"/>
  <c r="H1344" i="4"/>
  <c r="J1344" i="4" s="1"/>
  <c r="G1344" i="4"/>
  <c r="M1343" i="4"/>
  <c r="K1343" i="4"/>
  <c r="J1343" i="4"/>
  <c r="Q1343" i="4" s="1"/>
  <c r="I1343" i="4"/>
  <c r="H1343" i="4"/>
  <c r="G1343" i="4"/>
  <c r="K1342" i="4"/>
  <c r="I1342" i="4"/>
  <c r="H1342" i="4"/>
  <c r="G1342" i="4"/>
  <c r="K1341" i="4"/>
  <c r="J1341" i="4"/>
  <c r="I1341" i="4"/>
  <c r="H1341" i="4"/>
  <c r="G1341" i="4"/>
  <c r="K1340" i="4"/>
  <c r="I1340" i="4"/>
  <c r="H1340" i="4"/>
  <c r="G1340" i="4"/>
  <c r="J1340" i="4" s="1"/>
  <c r="O1339" i="4"/>
  <c r="K1339" i="4"/>
  <c r="L1339" i="4" s="1"/>
  <c r="J1339" i="4"/>
  <c r="M1339" i="4" s="1"/>
  <c r="I1339" i="4"/>
  <c r="H1339" i="4"/>
  <c r="G1339" i="4"/>
  <c r="K1338" i="4"/>
  <c r="I1338" i="4"/>
  <c r="H1338" i="4"/>
  <c r="J1338" i="4" s="1"/>
  <c r="G1338" i="4"/>
  <c r="K1337" i="4"/>
  <c r="L1337" i="4" s="1"/>
  <c r="I1337" i="4"/>
  <c r="H1337" i="4"/>
  <c r="G1337" i="4"/>
  <c r="J1337" i="4" s="1"/>
  <c r="Q1337" i="4" s="1"/>
  <c r="L1336" i="4"/>
  <c r="K1336" i="4"/>
  <c r="I1336" i="4"/>
  <c r="H1336" i="4"/>
  <c r="J1336" i="4" s="1"/>
  <c r="G1336" i="4"/>
  <c r="N1335" i="4"/>
  <c r="M1335" i="4"/>
  <c r="K1335" i="4"/>
  <c r="L1335" i="4" s="1"/>
  <c r="J1335" i="4"/>
  <c r="Q1335" i="4" s="1"/>
  <c r="H1335" i="4"/>
  <c r="G1335" i="4"/>
  <c r="P1334" i="4"/>
  <c r="O1334" i="4"/>
  <c r="M1334" i="4"/>
  <c r="L1334" i="4"/>
  <c r="K1334" i="4"/>
  <c r="H1334" i="4"/>
  <c r="G1334" i="4"/>
  <c r="J1334" i="4" s="1"/>
  <c r="N1334" i="4" s="1"/>
  <c r="Q1333" i="4"/>
  <c r="M1333" i="4"/>
  <c r="K1333" i="4"/>
  <c r="H1333" i="4"/>
  <c r="G1333" i="4"/>
  <c r="J1333" i="4" s="1"/>
  <c r="M1332" i="4"/>
  <c r="K1332" i="4"/>
  <c r="H1332" i="4"/>
  <c r="G1332" i="4"/>
  <c r="J1332" i="4" s="1"/>
  <c r="K1331" i="4"/>
  <c r="L1331" i="4" s="1"/>
  <c r="J1331" i="4"/>
  <c r="H1331" i="4"/>
  <c r="G1331" i="4"/>
  <c r="M1330" i="4"/>
  <c r="K1330" i="4"/>
  <c r="H1330" i="4"/>
  <c r="G1330" i="4"/>
  <c r="J1330" i="4" s="1"/>
  <c r="M1329" i="4"/>
  <c r="K1329" i="4"/>
  <c r="H1329" i="4"/>
  <c r="G1329" i="4"/>
  <c r="J1329" i="4" s="1"/>
  <c r="K1328" i="4"/>
  <c r="J1328" i="4"/>
  <c r="H1328" i="4"/>
  <c r="G1328" i="4"/>
  <c r="M1327" i="4"/>
  <c r="K1327" i="4"/>
  <c r="J1327" i="4"/>
  <c r="Q1327" i="4" s="1"/>
  <c r="H1327" i="4"/>
  <c r="G1327" i="4"/>
  <c r="P1326" i="4"/>
  <c r="O1326" i="4"/>
  <c r="M1326" i="4"/>
  <c r="L1326" i="4"/>
  <c r="K1326" i="4"/>
  <c r="H1326" i="4"/>
  <c r="G1326" i="4"/>
  <c r="J1326" i="4" s="1"/>
  <c r="N1326" i="4" s="1"/>
  <c r="K1325" i="4"/>
  <c r="H1325" i="4"/>
  <c r="G1325" i="4"/>
  <c r="M1324" i="4"/>
  <c r="K1324" i="4"/>
  <c r="H1324" i="4"/>
  <c r="G1324" i="4"/>
  <c r="J1324" i="4" s="1"/>
  <c r="M1323" i="4"/>
  <c r="K1323" i="4"/>
  <c r="J1323" i="4"/>
  <c r="H1323" i="4"/>
  <c r="G1323" i="4"/>
  <c r="O1322" i="4"/>
  <c r="L1322" i="4"/>
  <c r="K1322" i="4"/>
  <c r="H1322" i="4"/>
  <c r="G1322" i="4"/>
  <c r="J1322" i="4" s="1"/>
  <c r="M1321" i="4"/>
  <c r="K1321" i="4"/>
  <c r="H1321" i="4"/>
  <c r="G1321" i="4"/>
  <c r="K1320" i="4"/>
  <c r="H1320" i="4"/>
  <c r="G1320" i="4"/>
  <c r="J1320" i="4" s="1"/>
  <c r="M1319" i="4"/>
  <c r="K1319" i="4"/>
  <c r="J1319" i="4"/>
  <c r="H1319" i="4"/>
  <c r="G1319" i="4"/>
  <c r="K1318" i="4"/>
  <c r="H1318" i="4"/>
  <c r="G1318" i="4"/>
  <c r="J1318" i="4" s="1"/>
  <c r="Q1317" i="4"/>
  <c r="N1317" i="4"/>
  <c r="M1317" i="4"/>
  <c r="K1317" i="4"/>
  <c r="H1317" i="4"/>
  <c r="G1317" i="4"/>
  <c r="J1317" i="4" s="1"/>
  <c r="P1317" i="4" s="1"/>
  <c r="K1316" i="4"/>
  <c r="H1316" i="4"/>
  <c r="G1316" i="4"/>
  <c r="J1316" i="4" s="1"/>
  <c r="M1315" i="4"/>
  <c r="K1315" i="4"/>
  <c r="J1315" i="4"/>
  <c r="H1315" i="4"/>
  <c r="G1315" i="4"/>
  <c r="O1314" i="4"/>
  <c r="M1314" i="4"/>
  <c r="L1314" i="4"/>
  <c r="K1314" i="4"/>
  <c r="H1314" i="4"/>
  <c r="G1314" i="4"/>
  <c r="J1314" i="4" s="1"/>
  <c r="K1313" i="4"/>
  <c r="H1313" i="4"/>
  <c r="G1313" i="4"/>
  <c r="M1312" i="4"/>
  <c r="K1312" i="4"/>
  <c r="H1312" i="4"/>
  <c r="G1312" i="4"/>
  <c r="J1312" i="4" s="1"/>
  <c r="K1311" i="4"/>
  <c r="J1311" i="4"/>
  <c r="H1311" i="4"/>
  <c r="G1311" i="4"/>
  <c r="K1310" i="4"/>
  <c r="H1310" i="4"/>
  <c r="G1310" i="4"/>
  <c r="J1310" i="4" s="1"/>
  <c r="M1309" i="4"/>
  <c r="K1309" i="4"/>
  <c r="H1309" i="4"/>
  <c r="G1309" i="4"/>
  <c r="K1308" i="4"/>
  <c r="H1308" i="4"/>
  <c r="G1308" i="4"/>
  <c r="J1308" i="4" s="1"/>
  <c r="M1307" i="4"/>
  <c r="K1307" i="4"/>
  <c r="J1307" i="4"/>
  <c r="H1307" i="4"/>
  <c r="G1307" i="4"/>
  <c r="O1306" i="4"/>
  <c r="L1306" i="4"/>
  <c r="K1306" i="4"/>
  <c r="H1306" i="4"/>
  <c r="G1306" i="4"/>
  <c r="J1306" i="4" s="1"/>
  <c r="M1305" i="4"/>
  <c r="K1305" i="4"/>
  <c r="H1305" i="4"/>
  <c r="G1305" i="4"/>
  <c r="K1304" i="4"/>
  <c r="H1304" i="4"/>
  <c r="G1304" i="4"/>
  <c r="J1304" i="4" s="1"/>
  <c r="M1303" i="4"/>
  <c r="K1303" i="4"/>
  <c r="O1303" i="4" s="1"/>
  <c r="J1303" i="4"/>
  <c r="H1303" i="4"/>
  <c r="G1303" i="4"/>
  <c r="K1302" i="4"/>
  <c r="H1302" i="4"/>
  <c r="G1302" i="4"/>
  <c r="J1302" i="4" s="1"/>
  <c r="M1301" i="4"/>
  <c r="K1301" i="4"/>
  <c r="H1301" i="4"/>
  <c r="G1301" i="4"/>
  <c r="M1300" i="4"/>
  <c r="K1300" i="4"/>
  <c r="H1300" i="4"/>
  <c r="G1300" i="4"/>
  <c r="J1300" i="4" s="1"/>
  <c r="K1299" i="4"/>
  <c r="J1299" i="4"/>
  <c r="H1299" i="4"/>
  <c r="G1299" i="4"/>
  <c r="O1298" i="4"/>
  <c r="M1298" i="4"/>
  <c r="K1298" i="4"/>
  <c r="H1298" i="4"/>
  <c r="G1298" i="4"/>
  <c r="J1298" i="4" s="1"/>
  <c r="Q1297" i="4"/>
  <c r="N1297" i="4"/>
  <c r="K1297" i="4"/>
  <c r="L1297" i="4" s="1"/>
  <c r="H1297" i="4"/>
  <c r="G1297" i="4"/>
  <c r="J1297" i="4" s="1"/>
  <c r="M1296" i="4"/>
  <c r="K1296" i="4"/>
  <c r="H1296" i="4"/>
  <c r="G1296" i="4"/>
  <c r="J1296" i="4" s="1"/>
  <c r="K1295" i="4"/>
  <c r="H1295" i="4"/>
  <c r="J1295" i="4" s="1"/>
  <c r="G1295" i="4"/>
  <c r="O1294" i="4"/>
  <c r="N1294" i="4"/>
  <c r="M1294" i="4"/>
  <c r="K1294" i="4"/>
  <c r="H1294" i="4"/>
  <c r="G1294" i="4"/>
  <c r="J1294" i="4" s="1"/>
  <c r="P1293" i="4"/>
  <c r="N1293" i="4"/>
  <c r="K1293" i="4"/>
  <c r="H1293" i="4"/>
  <c r="G1293" i="4"/>
  <c r="J1293" i="4" s="1"/>
  <c r="O1293" i="4" s="1"/>
  <c r="M1292" i="4"/>
  <c r="K1292" i="4"/>
  <c r="H1292" i="4"/>
  <c r="G1292" i="4"/>
  <c r="J1292" i="4" s="1"/>
  <c r="K1291" i="4"/>
  <c r="N1291" i="4" s="1"/>
  <c r="J1291" i="4"/>
  <c r="H1291" i="4"/>
  <c r="G1291" i="4"/>
  <c r="M1290" i="4"/>
  <c r="K1290" i="4"/>
  <c r="H1290" i="4"/>
  <c r="G1290" i="4"/>
  <c r="J1290" i="4" s="1"/>
  <c r="K1289" i="4"/>
  <c r="I1289" i="4"/>
  <c r="H1289" i="4"/>
  <c r="G1289" i="4"/>
  <c r="K1288" i="4"/>
  <c r="I1288" i="4"/>
  <c r="H1288" i="4"/>
  <c r="J1288" i="4" s="1"/>
  <c r="G1288" i="4"/>
  <c r="K1287" i="4"/>
  <c r="L1287" i="4" s="1"/>
  <c r="I1287" i="4"/>
  <c r="H1287" i="4"/>
  <c r="G1287" i="4"/>
  <c r="J1287" i="4" s="1"/>
  <c r="K1286" i="4"/>
  <c r="I1286" i="4"/>
  <c r="H1286" i="4"/>
  <c r="G1286" i="4"/>
  <c r="J1286" i="4" s="1"/>
  <c r="Q1285" i="4"/>
  <c r="K1285" i="4"/>
  <c r="J1285" i="4"/>
  <c r="I1285" i="4"/>
  <c r="H1285" i="4"/>
  <c r="G1285" i="4"/>
  <c r="K1284" i="4"/>
  <c r="I1284" i="4"/>
  <c r="H1284" i="4"/>
  <c r="G1284" i="4"/>
  <c r="J1284" i="4" s="1"/>
  <c r="K1283" i="4"/>
  <c r="I1283" i="4"/>
  <c r="H1283" i="4"/>
  <c r="G1283" i="4"/>
  <c r="J1283" i="4" s="1"/>
  <c r="N1282" i="4"/>
  <c r="M1282" i="4"/>
  <c r="K1282" i="4"/>
  <c r="J1282" i="4"/>
  <c r="I1282" i="4"/>
  <c r="H1282" i="4"/>
  <c r="G1282" i="4"/>
  <c r="K1281" i="4"/>
  <c r="I1281" i="4"/>
  <c r="H1281" i="4"/>
  <c r="G1281" i="4"/>
  <c r="K1280" i="4"/>
  <c r="I1280" i="4"/>
  <c r="H1280" i="4"/>
  <c r="J1280" i="4" s="1"/>
  <c r="G1280" i="4"/>
  <c r="N1279" i="4"/>
  <c r="M1279" i="4"/>
  <c r="K1279" i="4"/>
  <c r="L1279" i="4" s="1"/>
  <c r="I1279" i="4"/>
  <c r="H1279" i="4"/>
  <c r="G1279" i="4"/>
  <c r="J1279" i="4" s="1"/>
  <c r="O1279" i="4" s="1"/>
  <c r="P1278" i="4"/>
  <c r="K1278" i="4"/>
  <c r="I1278" i="4"/>
  <c r="H1278" i="4"/>
  <c r="G1278" i="4"/>
  <c r="J1278" i="4" s="1"/>
  <c r="Q1277" i="4"/>
  <c r="K1277" i="4"/>
  <c r="I1277" i="4"/>
  <c r="J1277" i="4" s="1"/>
  <c r="H1277" i="4"/>
  <c r="G1277" i="4"/>
  <c r="K1276" i="4"/>
  <c r="I1276" i="4"/>
  <c r="H1276" i="4"/>
  <c r="G1276" i="4"/>
  <c r="K1275" i="4"/>
  <c r="I1275" i="4"/>
  <c r="H1275" i="4"/>
  <c r="J1275" i="4" s="1"/>
  <c r="G1275" i="4"/>
  <c r="K1274" i="4"/>
  <c r="J1274" i="4"/>
  <c r="I1274" i="4"/>
  <c r="H1274" i="4"/>
  <c r="G1274" i="4"/>
  <c r="M1273" i="4"/>
  <c r="K1273" i="4"/>
  <c r="I1273" i="4"/>
  <c r="H1273" i="4"/>
  <c r="G1273" i="4"/>
  <c r="J1273" i="4" s="1"/>
  <c r="K1272" i="4"/>
  <c r="I1272" i="4"/>
  <c r="H1272" i="4"/>
  <c r="J1272" i="4" s="1"/>
  <c r="G1272" i="4"/>
  <c r="K1271" i="4"/>
  <c r="I1271" i="4"/>
  <c r="H1271" i="4"/>
  <c r="G1271" i="4"/>
  <c r="K1270" i="4"/>
  <c r="I1270" i="4"/>
  <c r="H1270" i="4"/>
  <c r="G1270" i="4"/>
  <c r="J1270" i="4" s="1"/>
  <c r="Q1270" i="4" s="1"/>
  <c r="Q1269" i="4"/>
  <c r="K1269" i="4"/>
  <c r="L1269" i="4" s="1"/>
  <c r="J1269" i="4"/>
  <c r="I1269" i="4"/>
  <c r="H1269" i="4"/>
  <c r="G1269" i="4"/>
  <c r="K1268" i="4"/>
  <c r="I1268" i="4"/>
  <c r="H1268" i="4"/>
  <c r="G1268" i="4"/>
  <c r="K1267" i="4"/>
  <c r="L1267" i="4" s="1"/>
  <c r="J1267" i="4"/>
  <c r="I1267" i="4"/>
  <c r="H1267" i="4"/>
  <c r="G1267" i="4"/>
  <c r="L1266" i="4"/>
  <c r="K1266" i="4"/>
  <c r="I1266" i="4"/>
  <c r="H1266" i="4"/>
  <c r="G1266" i="4"/>
  <c r="J1266" i="4" s="1"/>
  <c r="O1265" i="4"/>
  <c r="K1265" i="4"/>
  <c r="I1265" i="4"/>
  <c r="H1265" i="4"/>
  <c r="G1265" i="4"/>
  <c r="J1265" i="4" s="1"/>
  <c r="Q1264" i="4"/>
  <c r="K1264" i="4"/>
  <c r="J1264" i="4"/>
  <c r="I1264" i="4"/>
  <c r="H1264" i="4"/>
  <c r="G1264" i="4"/>
  <c r="K1263" i="4"/>
  <c r="I1263" i="4"/>
  <c r="H1263" i="4"/>
  <c r="G1263" i="4"/>
  <c r="K1262" i="4"/>
  <c r="J1262" i="4"/>
  <c r="I1262" i="4"/>
  <c r="H1262" i="4"/>
  <c r="G1262" i="4"/>
  <c r="K1261" i="4"/>
  <c r="I1261" i="4"/>
  <c r="H1261" i="4"/>
  <c r="G1261" i="4"/>
  <c r="J1261" i="4" s="1"/>
  <c r="O1260" i="4"/>
  <c r="K1260" i="4"/>
  <c r="I1260" i="4"/>
  <c r="H1260" i="4"/>
  <c r="G1260" i="4"/>
  <c r="J1260" i="4" s="1"/>
  <c r="K1259" i="4"/>
  <c r="I1259" i="4"/>
  <c r="H1259" i="4"/>
  <c r="J1259" i="4" s="1"/>
  <c r="G1259" i="4"/>
  <c r="K1258" i="4"/>
  <c r="L1258" i="4" s="1"/>
  <c r="J1258" i="4"/>
  <c r="Q1258" i="4" s="1"/>
  <c r="I1258" i="4"/>
  <c r="H1258" i="4"/>
  <c r="G1258" i="4"/>
  <c r="K1257" i="4"/>
  <c r="I1257" i="4"/>
  <c r="H1257" i="4"/>
  <c r="G1257" i="4"/>
  <c r="J1257" i="4" s="1"/>
  <c r="N1257" i="4" s="1"/>
  <c r="N1256" i="4"/>
  <c r="K1256" i="4"/>
  <c r="J1256" i="4"/>
  <c r="O1256" i="4" s="1"/>
  <c r="I1256" i="4"/>
  <c r="H1256" i="4"/>
  <c r="G1256" i="4"/>
  <c r="K1255" i="4"/>
  <c r="I1255" i="4"/>
  <c r="H1255" i="4"/>
  <c r="G1255" i="4"/>
  <c r="K1254" i="4"/>
  <c r="L1254" i="4" s="1"/>
  <c r="J1254" i="4"/>
  <c r="M1254" i="4" s="1"/>
  <c r="I1254" i="4"/>
  <c r="H1254" i="4"/>
  <c r="G1254" i="4"/>
  <c r="K1253" i="4"/>
  <c r="I1253" i="4"/>
  <c r="H1253" i="4"/>
  <c r="G1253" i="4"/>
  <c r="J1253" i="4" s="1"/>
  <c r="K1252" i="4"/>
  <c r="I1252" i="4"/>
  <c r="H1252" i="4"/>
  <c r="G1252" i="4"/>
  <c r="K1251" i="4"/>
  <c r="I1251" i="4"/>
  <c r="H1251" i="4"/>
  <c r="G1251" i="4"/>
  <c r="J1251" i="4" s="1"/>
  <c r="O1250" i="4"/>
  <c r="N1250" i="4"/>
  <c r="M1250" i="4"/>
  <c r="K1250" i="4"/>
  <c r="J1250" i="4"/>
  <c r="L1250" i="4" s="1"/>
  <c r="H1250" i="4"/>
  <c r="G1250" i="4"/>
  <c r="M1249" i="4"/>
  <c r="K1249" i="4"/>
  <c r="H1249" i="4"/>
  <c r="G1249" i="4"/>
  <c r="M1248" i="4"/>
  <c r="K1248" i="4"/>
  <c r="J1248" i="4"/>
  <c r="Q1248" i="4" s="1"/>
  <c r="H1248" i="4"/>
  <c r="G1248" i="4"/>
  <c r="M1247" i="4"/>
  <c r="K1247" i="4"/>
  <c r="H1247" i="4"/>
  <c r="G1247" i="4"/>
  <c r="J1247" i="4" s="1"/>
  <c r="O1246" i="4"/>
  <c r="N1246" i="4"/>
  <c r="K1246" i="4"/>
  <c r="J1246" i="4"/>
  <c r="M1246" i="4" s="1"/>
  <c r="H1246" i="4"/>
  <c r="G1246" i="4"/>
  <c r="M1245" i="4"/>
  <c r="K1245" i="4"/>
  <c r="H1245" i="4"/>
  <c r="G1245" i="4"/>
  <c r="K1244" i="4"/>
  <c r="J1244" i="4"/>
  <c r="Q1244" i="4" s="1"/>
  <c r="H1244" i="4"/>
  <c r="G1244" i="4"/>
  <c r="M1243" i="4"/>
  <c r="K1243" i="4"/>
  <c r="H1243" i="4"/>
  <c r="G1243" i="4"/>
  <c r="J1243" i="4" s="1"/>
  <c r="O1242" i="4"/>
  <c r="N1242" i="4"/>
  <c r="M1242" i="4"/>
  <c r="K1242" i="4"/>
  <c r="J1242" i="4"/>
  <c r="L1242" i="4" s="1"/>
  <c r="H1242" i="4"/>
  <c r="G1242" i="4"/>
  <c r="K1241" i="4"/>
  <c r="N1241" i="4" s="1"/>
  <c r="H1241" i="4"/>
  <c r="G1241" i="4"/>
  <c r="J1241" i="4" s="1"/>
  <c r="Q1241" i="4" s="1"/>
  <c r="K1240" i="4"/>
  <c r="J1240" i="4"/>
  <c r="Q1240" i="4" s="1"/>
  <c r="H1240" i="4"/>
  <c r="G1240" i="4"/>
  <c r="M1239" i="4"/>
  <c r="K1239" i="4"/>
  <c r="H1239" i="4"/>
  <c r="G1239" i="4"/>
  <c r="J1239" i="4" s="1"/>
  <c r="O1238" i="4"/>
  <c r="N1238" i="4"/>
  <c r="K1238" i="4"/>
  <c r="J1238" i="4"/>
  <c r="M1238" i="4" s="1"/>
  <c r="H1238" i="4"/>
  <c r="G1238" i="4"/>
  <c r="M1237" i="4"/>
  <c r="K1237" i="4"/>
  <c r="H1237" i="4"/>
  <c r="G1237" i="4"/>
  <c r="J1237" i="4" s="1"/>
  <c r="K1236" i="4"/>
  <c r="J1236" i="4"/>
  <c r="Q1236" i="4" s="1"/>
  <c r="H1236" i="4"/>
  <c r="G1236" i="4"/>
  <c r="K1235" i="4"/>
  <c r="H1235" i="4"/>
  <c r="G1235" i="4"/>
  <c r="J1235" i="4" s="1"/>
  <c r="O1234" i="4"/>
  <c r="N1234" i="4"/>
  <c r="M1234" i="4"/>
  <c r="K1234" i="4"/>
  <c r="J1234" i="4"/>
  <c r="L1234" i="4" s="1"/>
  <c r="H1234" i="4"/>
  <c r="G1234" i="4"/>
  <c r="M1233" i="4"/>
  <c r="K1233" i="4"/>
  <c r="H1233" i="4"/>
  <c r="G1233" i="4"/>
  <c r="K1232" i="4"/>
  <c r="J1232" i="4"/>
  <c r="Q1232" i="4" s="1"/>
  <c r="H1232" i="4"/>
  <c r="G1232" i="4"/>
  <c r="M1231" i="4"/>
  <c r="K1231" i="4"/>
  <c r="H1231" i="4"/>
  <c r="G1231" i="4"/>
  <c r="J1231" i="4" s="1"/>
  <c r="O1230" i="4"/>
  <c r="N1230" i="4"/>
  <c r="M1230" i="4"/>
  <c r="K1230" i="4"/>
  <c r="J1230" i="4"/>
  <c r="L1230" i="4" s="1"/>
  <c r="H1230" i="4"/>
  <c r="G1230" i="4"/>
  <c r="K1229" i="4"/>
  <c r="N1229" i="4" s="1"/>
  <c r="H1229" i="4"/>
  <c r="G1229" i="4"/>
  <c r="J1229" i="4" s="1"/>
  <c r="M1228" i="4"/>
  <c r="K1228" i="4"/>
  <c r="J1228" i="4"/>
  <c r="Q1228" i="4" s="1"/>
  <c r="H1228" i="4"/>
  <c r="G1228" i="4"/>
  <c r="K1227" i="4"/>
  <c r="H1227" i="4"/>
  <c r="G1227" i="4"/>
  <c r="J1227" i="4" s="1"/>
  <c r="O1226" i="4"/>
  <c r="N1226" i="4"/>
  <c r="K1226" i="4"/>
  <c r="J1226" i="4"/>
  <c r="M1226" i="4" s="1"/>
  <c r="H1226" i="4"/>
  <c r="G1226" i="4"/>
  <c r="M1225" i="4"/>
  <c r="K1225" i="4"/>
  <c r="O1225" i="4" s="1"/>
  <c r="H1225" i="4"/>
  <c r="G1225" i="4"/>
  <c r="J1225" i="4" s="1"/>
  <c r="Q1225" i="4" s="1"/>
  <c r="K1224" i="4"/>
  <c r="J1224" i="4"/>
  <c r="Q1224" i="4" s="1"/>
  <c r="H1224" i="4"/>
  <c r="G1224" i="4"/>
  <c r="M1223" i="4"/>
  <c r="K1223" i="4"/>
  <c r="H1223" i="4"/>
  <c r="G1223" i="4"/>
  <c r="J1223" i="4" s="1"/>
  <c r="O1222" i="4"/>
  <c r="N1222" i="4"/>
  <c r="K1222" i="4"/>
  <c r="J1222" i="4"/>
  <c r="M1222" i="4" s="1"/>
  <c r="H1222" i="4"/>
  <c r="G1222" i="4"/>
  <c r="K1221" i="4"/>
  <c r="N1221" i="4" s="1"/>
  <c r="H1221" i="4"/>
  <c r="G1221" i="4"/>
  <c r="J1221" i="4" s="1"/>
  <c r="Q1221" i="4" s="1"/>
  <c r="M1220" i="4"/>
  <c r="K1220" i="4"/>
  <c r="J1220" i="4"/>
  <c r="Q1220" i="4" s="1"/>
  <c r="H1220" i="4"/>
  <c r="G1220" i="4"/>
  <c r="M1219" i="4"/>
  <c r="K1219" i="4"/>
  <c r="H1219" i="4"/>
  <c r="G1219" i="4"/>
  <c r="J1219" i="4" s="1"/>
  <c r="O1218" i="4"/>
  <c r="N1218" i="4"/>
  <c r="M1218" i="4"/>
  <c r="K1218" i="4"/>
  <c r="J1218" i="4"/>
  <c r="L1218" i="4" s="1"/>
  <c r="H1218" i="4"/>
  <c r="G1218" i="4"/>
  <c r="K1217" i="4"/>
  <c r="H1217" i="4"/>
  <c r="G1217" i="4"/>
  <c r="M1216" i="4"/>
  <c r="K1216" i="4"/>
  <c r="J1216" i="4"/>
  <c r="Q1216" i="4" s="1"/>
  <c r="H1216" i="4"/>
  <c r="G1216" i="4"/>
  <c r="M1215" i="4"/>
  <c r="K1215" i="4"/>
  <c r="H1215" i="4"/>
  <c r="G1215" i="4"/>
  <c r="J1215" i="4" s="1"/>
  <c r="O1214" i="4"/>
  <c r="N1214" i="4"/>
  <c r="M1214" i="4"/>
  <c r="K1214" i="4"/>
  <c r="J1214" i="4"/>
  <c r="L1214" i="4" s="1"/>
  <c r="H1214" i="4"/>
  <c r="G1214" i="4"/>
  <c r="K1213" i="4"/>
  <c r="N1213" i="4" s="1"/>
  <c r="H1213" i="4"/>
  <c r="G1213" i="4"/>
  <c r="J1213" i="4" s="1"/>
  <c r="Q1213" i="4" s="1"/>
  <c r="M1212" i="4"/>
  <c r="K1212" i="4"/>
  <c r="J1212" i="4"/>
  <c r="Q1212" i="4" s="1"/>
  <c r="H1212" i="4"/>
  <c r="G1212" i="4"/>
  <c r="M1211" i="4"/>
  <c r="K1211" i="4"/>
  <c r="H1211" i="4"/>
  <c r="G1211" i="4"/>
  <c r="J1211" i="4" s="1"/>
  <c r="O1210" i="4"/>
  <c r="N1210" i="4"/>
  <c r="K1210" i="4"/>
  <c r="J1210" i="4"/>
  <c r="M1210" i="4" s="1"/>
  <c r="H1210" i="4"/>
  <c r="G1210" i="4"/>
  <c r="M1209" i="4"/>
  <c r="K1209" i="4"/>
  <c r="H1209" i="4"/>
  <c r="G1209" i="4"/>
  <c r="J1209" i="4" s="1"/>
  <c r="K1208" i="4"/>
  <c r="J1208" i="4"/>
  <c r="Q1208" i="4" s="1"/>
  <c r="H1208" i="4"/>
  <c r="G1208" i="4"/>
  <c r="M1207" i="4"/>
  <c r="K1207" i="4"/>
  <c r="H1207" i="4"/>
  <c r="G1207" i="4"/>
  <c r="J1207" i="4" s="1"/>
  <c r="K1206" i="4"/>
  <c r="H1206" i="4"/>
  <c r="J1206" i="4" s="1"/>
  <c r="O1206" i="4" s="1"/>
  <c r="G1206" i="4"/>
  <c r="M1205" i="4"/>
  <c r="K1205" i="4"/>
  <c r="H1205" i="4"/>
  <c r="G1205" i="4"/>
  <c r="K1204" i="4"/>
  <c r="L1204" i="4" s="1"/>
  <c r="J1204" i="4"/>
  <c r="Q1204" i="4" s="1"/>
  <c r="I1204" i="4"/>
  <c r="H1204" i="4"/>
  <c r="G1204" i="4"/>
  <c r="N1203" i="4"/>
  <c r="K1203" i="4"/>
  <c r="L1203" i="4" s="1"/>
  <c r="I1203" i="4"/>
  <c r="H1203" i="4"/>
  <c r="G1203" i="4"/>
  <c r="J1203" i="4" s="1"/>
  <c r="K1202" i="4"/>
  <c r="I1202" i="4"/>
  <c r="H1202" i="4"/>
  <c r="J1202" i="4" s="1"/>
  <c r="G1202" i="4"/>
  <c r="K1201" i="4"/>
  <c r="I1201" i="4"/>
  <c r="H1201" i="4"/>
  <c r="G1201" i="4"/>
  <c r="J1201" i="4" s="1"/>
  <c r="L1201" i="4" s="1"/>
  <c r="K1200" i="4"/>
  <c r="I1200" i="4"/>
  <c r="H1200" i="4"/>
  <c r="G1200" i="4"/>
  <c r="J1200" i="4" s="1"/>
  <c r="O1200" i="4" s="1"/>
  <c r="K1199" i="4"/>
  <c r="J1199" i="4"/>
  <c r="I1199" i="4"/>
  <c r="H1199" i="4"/>
  <c r="G1199" i="4"/>
  <c r="M1198" i="4"/>
  <c r="K1198" i="4"/>
  <c r="I1198" i="4"/>
  <c r="H1198" i="4"/>
  <c r="G1198" i="4"/>
  <c r="J1198" i="4" s="1"/>
  <c r="K1197" i="4"/>
  <c r="I1197" i="4"/>
  <c r="H1197" i="4"/>
  <c r="G1197" i="4"/>
  <c r="K1196" i="4"/>
  <c r="L1196" i="4" s="1"/>
  <c r="J1196" i="4"/>
  <c r="Q1196" i="4" s="1"/>
  <c r="I1196" i="4"/>
  <c r="H1196" i="4"/>
  <c r="G1196" i="4"/>
  <c r="N1195" i="4"/>
  <c r="M1195" i="4"/>
  <c r="K1195" i="4"/>
  <c r="I1195" i="4"/>
  <c r="H1195" i="4"/>
  <c r="G1195" i="4"/>
  <c r="J1195" i="4" s="1"/>
  <c r="K1194" i="4"/>
  <c r="I1194" i="4"/>
  <c r="H1194" i="4"/>
  <c r="G1194" i="4"/>
  <c r="K1193" i="4"/>
  <c r="I1193" i="4"/>
  <c r="H1193" i="4"/>
  <c r="G1193" i="4"/>
  <c r="J1193" i="4" s="1"/>
  <c r="O1192" i="4"/>
  <c r="N1192" i="4"/>
  <c r="K1192" i="4"/>
  <c r="I1192" i="4"/>
  <c r="H1192" i="4"/>
  <c r="G1192" i="4"/>
  <c r="J1192" i="4" s="1"/>
  <c r="K1191" i="4"/>
  <c r="J1191" i="4"/>
  <c r="I1191" i="4"/>
  <c r="H1191" i="4"/>
  <c r="G1191" i="4"/>
  <c r="M1190" i="4"/>
  <c r="K1190" i="4"/>
  <c r="I1190" i="4"/>
  <c r="H1190" i="4"/>
  <c r="G1190" i="4"/>
  <c r="J1190" i="4" s="1"/>
  <c r="K1189" i="4"/>
  <c r="I1189" i="4"/>
  <c r="H1189" i="4"/>
  <c r="G1189" i="4"/>
  <c r="J1189" i="4" s="1"/>
  <c r="K1188" i="4"/>
  <c r="L1188" i="4" s="1"/>
  <c r="J1188" i="4"/>
  <c r="I1188" i="4"/>
  <c r="H1188" i="4"/>
  <c r="G1188" i="4"/>
  <c r="K1187" i="4"/>
  <c r="L1187" i="4" s="1"/>
  <c r="I1187" i="4"/>
  <c r="H1187" i="4"/>
  <c r="G1187" i="4"/>
  <c r="J1187" i="4" s="1"/>
  <c r="N1187" i="4" s="1"/>
  <c r="K1186" i="4"/>
  <c r="I1186" i="4"/>
  <c r="H1186" i="4"/>
  <c r="J1186" i="4" s="1"/>
  <c r="G1186" i="4"/>
  <c r="K1185" i="4"/>
  <c r="L1185" i="4" s="1"/>
  <c r="I1185" i="4"/>
  <c r="H1185" i="4"/>
  <c r="G1185" i="4"/>
  <c r="J1185" i="4" s="1"/>
  <c r="O1184" i="4"/>
  <c r="N1184" i="4"/>
  <c r="K1184" i="4"/>
  <c r="I1184" i="4"/>
  <c r="H1184" i="4"/>
  <c r="G1184" i="4"/>
  <c r="J1184" i="4" s="1"/>
  <c r="K1183" i="4"/>
  <c r="I1183" i="4"/>
  <c r="J1183" i="4" s="1"/>
  <c r="H1183" i="4"/>
  <c r="G1183" i="4"/>
  <c r="K1182" i="4"/>
  <c r="I1182" i="4"/>
  <c r="H1182" i="4"/>
  <c r="G1182" i="4"/>
  <c r="J1182" i="4" s="1"/>
  <c r="K1181" i="4"/>
  <c r="I1181" i="4"/>
  <c r="H1181" i="4"/>
  <c r="G1181" i="4"/>
  <c r="K1180" i="4"/>
  <c r="J1180" i="4"/>
  <c r="I1180" i="4"/>
  <c r="H1180" i="4"/>
  <c r="G1180" i="4"/>
  <c r="K1179" i="4"/>
  <c r="I1179" i="4"/>
  <c r="H1179" i="4"/>
  <c r="G1179" i="4"/>
  <c r="J1179" i="4" s="1"/>
  <c r="K1178" i="4"/>
  <c r="I1178" i="4"/>
  <c r="H1178" i="4"/>
  <c r="G1178" i="4"/>
  <c r="K1177" i="4"/>
  <c r="L1177" i="4" s="1"/>
  <c r="I1177" i="4"/>
  <c r="H1177" i="4"/>
  <c r="G1177" i="4"/>
  <c r="J1177" i="4" s="1"/>
  <c r="O1176" i="4"/>
  <c r="K1176" i="4"/>
  <c r="I1176" i="4"/>
  <c r="H1176" i="4"/>
  <c r="G1176" i="4"/>
  <c r="J1176" i="4" s="1"/>
  <c r="Q1175" i="4"/>
  <c r="K1175" i="4"/>
  <c r="J1175" i="4"/>
  <c r="I1175" i="4"/>
  <c r="H1175" i="4"/>
  <c r="G1175" i="4"/>
  <c r="M1174" i="4"/>
  <c r="K1174" i="4"/>
  <c r="I1174" i="4"/>
  <c r="H1174" i="4"/>
  <c r="G1174" i="4"/>
  <c r="J1174" i="4" s="1"/>
  <c r="L1174" i="4" s="1"/>
  <c r="K1173" i="4"/>
  <c r="I1173" i="4"/>
  <c r="H1173" i="4"/>
  <c r="G1173" i="4"/>
  <c r="N1172" i="4"/>
  <c r="K1172" i="4"/>
  <c r="J1172" i="4"/>
  <c r="I1172" i="4"/>
  <c r="H1172" i="4"/>
  <c r="G1172" i="4"/>
  <c r="K1171" i="4"/>
  <c r="I1171" i="4"/>
  <c r="H1171" i="4"/>
  <c r="G1171" i="4"/>
  <c r="K1170" i="4"/>
  <c r="I1170" i="4"/>
  <c r="H1170" i="4"/>
  <c r="J1170" i="4" s="1"/>
  <c r="G1170" i="4"/>
  <c r="K1169" i="4"/>
  <c r="I1169" i="4"/>
  <c r="H1169" i="4"/>
  <c r="G1169" i="4"/>
  <c r="J1169" i="4" s="1"/>
  <c r="Q1168" i="4"/>
  <c r="K1168" i="4"/>
  <c r="I1168" i="4"/>
  <c r="H1168" i="4"/>
  <c r="G1168" i="4"/>
  <c r="J1168" i="4" s="1"/>
  <c r="Q1167" i="4"/>
  <c r="L1167" i="4"/>
  <c r="K1167" i="4"/>
  <c r="J1167" i="4"/>
  <c r="M1167" i="4" s="1"/>
  <c r="I1167" i="4"/>
  <c r="H1167" i="4"/>
  <c r="G1167" i="4"/>
  <c r="K1166" i="4"/>
  <c r="I1166" i="4"/>
  <c r="H1166" i="4"/>
  <c r="G1166" i="4"/>
  <c r="J1166" i="4" s="1"/>
  <c r="P1165" i="4"/>
  <c r="M1165" i="4"/>
  <c r="K1165" i="4"/>
  <c r="O1165" i="4" s="1"/>
  <c r="J1165" i="4"/>
  <c r="H1165" i="4"/>
  <c r="G1165" i="4"/>
  <c r="Q1164" i="4"/>
  <c r="M1164" i="4"/>
  <c r="K1164" i="4"/>
  <c r="H1164" i="4"/>
  <c r="J1164" i="4" s="1"/>
  <c r="G1164" i="4"/>
  <c r="N1163" i="4"/>
  <c r="M1163" i="4"/>
  <c r="K1163" i="4"/>
  <c r="O1163" i="4" s="1"/>
  <c r="H1163" i="4"/>
  <c r="G1163" i="4"/>
  <c r="J1163" i="4" s="1"/>
  <c r="M1162" i="4"/>
  <c r="K1162" i="4"/>
  <c r="H1162" i="4"/>
  <c r="G1162" i="4"/>
  <c r="M1161" i="4"/>
  <c r="K1161" i="4"/>
  <c r="J1161" i="4"/>
  <c r="H1161" i="4"/>
  <c r="G1161" i="4"/>
  <c r="M1160" i="4"/>
  <c r="K1160" i="4"/>
  <c r="J1160" i="4"/>
  <c r="H1160" i="4"/>
  <c r="G1160" i="4"/>
  <c r="K1159" i="4"/>
  <c r="H1159" i="4"/>
  <c r="G1159" i="4"/>
  <c r="J1159" i="4" s="1"/>
  <c r="Q1158" i="4"/>
  <c r="N1158" i="4"/>
  <c r="M1158" i="4"/>
  <c r="K1158" i="4"/>
  <c r="L1158" i="4" s="1"/>
  <c r="H1158" i="4"/>
  <c r="G1158" i="4"/>
  <c r="J1158" i="4" s="1"/>
  <c r="O1158" i="4" s="1"/>
  <c r="P1157" i="4"/>
  <c r="O1157" i="4"/>
  <c r="K1157" i="4"/>
  <c r="J1157" i="4"/>
  <c r="H1157" i="4"/>
  <c r="G1157" i="4"/>
  <c r="M1156" i="4"/>
  <c r="L1156" i="4"/>
  <c r="K1156" i="4"/>
  <c r="H1156" i="4"/>
  <c r="J1156" i="4" s="1"/>
  <c r="G1156" i="4"/>
  <c r="K1155" i="4"/>
  <c r="H1155" i="4"/>
  <c r="G1155" i="4"/>
  <c r="J1155" i="4" s="1"/>
  <c r="M1154" i="4"/>
  <c r="K1154" i="4"/>
  <c r="H1154" i="4"/>
  <c r="G1154" i="4"/>
  <c r="O1153" i="4"/>
  <c r="K1153" i="4"/>
  <c r="J1153" i="4"/>
  <c r="P1153" i="4" s="1"/>
  <c r="H1153" i="4"/>
  <c r="G1153" i="4"/>
  <c r="Q1152" i="4"/>
  <c r="M1152" i="4"/>
  <c r="K1152" i="4"/>
  <c r="H1152" i="4"/>
  <c r="J1152" i="4" s="1"/>
  <c r="G1152" i="4"/>
  <c r="O1151" i="4"/>
  <c r="N1151" i="4"/>
  <c r="L1151" i="4"/>
  <c r="K1151" i="4"/>
  <c r="H1151" i="4"/>
  <c r="G1151" i="4"/>
  <c r="J1151" i="4" s="1"/>
  <c r="M1150" i="4"/>
  <c r="K1150" i="4"/>
  <c r="L1150" i="4" s="1"/>
  <c r="H1150" i="4"/>
  <c r="G1150" i="4"/>
  <c r="J1150" i="4" s="1"/>
  <c r="O1150" i="4" s="1"/>
  <c r="M1149" i="4"/>
  <c r="K1149" i="4"/>
  <c r="J1149" i="4"/>
  <c r="H1149" i="4"/>
  <c r="G1149" i="4"/>
  <c r="K1148" i="4"/>
  <c r="H1148" i="4"/>
  <c r="J1148" i="4" s="1"/>
  <c r="G1148" i="4"/>
  <c r="N1147" i="4"/>
  <c r="K1147" i="4"/>
  <c r="L1147" i="4" s="1"/>
  <c r="H1147" i="4"/>
  <c r="G1147" i="4"/>
  <c r="J1147" i="4" s="1"/>
  <c r="O1147" i="4" s="1"/>
  <c r="M1146" i="4"/>
  <c r="K1146" i="4"/>
  <c r="H1146" i="4"/>
  <c r="G1146" i="4"/>
  <c r="O1145" i="4"/>
  <c r="K1145" i="4"/>
  <c r="H1145" i="4"/>
  <c r="G1145" i="4"/>
  <c r="J1145" i="4" s="1"/>
  <c r="M1144" i="4"/>
  <c r="K1144" i="4"/>
  <c r="J1144" i="4"/>
  <c r="H1144" i="4"/>
  <c r="G1144" i="4"/>
  <c r="K1143" i="4"/>
  <c r="H1143" i="4"/>
  <c r="G1143" i="4"/>
  <c r="K1142" i="4"/>
  <c r="H1142" i="4"/>
  <c r="G1142" i="4"/>
  <c r="M1141" i="4"/>
  <c r="K1141" i="4"/>
  <c r="H1141" i="4"/>
  <c r="J1141" i="4" s="1"/>
  <c r="G1141" i="4"/>
  <c r="K1140" i="4"/>
  <c r="H1140" i="4"/>
  <c r="J1140" i="4" s="1"/>
  <c r="G1140" i="4"/>
  <c r="M1139" i="4"/>
  <c r="K1139" i="4"/>
  <c r="H1139" i="4"/>
  <c r="G1139" i="4"/>
  <c r="K1138" i="4"/>
  <c r="H1138" i="4"/>
  <c r="G1138" i="4"/>
  <c r="K1137" i="4"/>
  <c r="J1137" i="4"/>
  <c r="H1137" i="4"/>
  <c r="G1137" i="4"/>
  <c r="M1136" i="4"/>
  <c r="K1136" i="4"/>
  <c r="H1136" i="4"/>
  <c r="J1136" i="4" s="1"/>
  <c r="G1136" i="4"/>
  <c r="K1135" i="4"/>
  <c r="H1135" i="4"/>
  <c r="G1135" i="4"/>
  <c r="M1134" i="4"/>
  <c r="K1134" i="4"/>
  <c r="H1134" i="4"/>
  <c r="G1134" i="4"/>
  <c r="K1133" i="4"/>
  <c r="J1133" i="4"/>
  <c r="H1133" i="4"/>
  <c r="G1133" i="4"/>
  <c r="M1132" i="4"/>
  <c r="K1132" i="4"/>
  <c r="H1132" i="4"/>
  <c r="J1132" i="4" s="1"/>
  <c r="G1132" i="4"/>
  <c r="K1131" i="4"/>
  <c r="H1131" i="4"/>
  <c r="G1131" i="4"/>
  <c r="M1130" i="4"/>
  <c r="K1130" i="4"/>
  <c r="H1130" i="4"/>
  <c r="G1130" i="4"/>
  <c r="K1129" i="4"/>
  <c r="J1129" i="4"/>
  <c r="H1129" i="4"/>
  <c r="G1129" i="4"/>
  <c r="M1128" i="4"/>
  <c r="K1128" i="4"/>
  <c r="H1128" i="4"/>
  <c r="J1128" i="4" s="1"/>
  <c r="G1128" i="4"/>
  <c r="K1127" i="4"/>
  <c r="H1127" i="4"/>
  <c r="G1127" i="4"/>
  <c r="M1126" i="4"/>
  <c r="K1126" i="4"/>
  <c r="H1126" i="4"/>
  <c r="G1126" i="4"/>
  <c r="K1125" i="4"/>
  <c r="J1125" i="4"/>
  <c r="H1125" i="4"/>
  <c r="G1125" i="4"/>
  <c r="M1124" i="4"/>
  <c r="K1124" i="4"/>
  <c r="H1124" i="4"/>
  <c r="J1124" i="4" s="1"/>
  <c r="G1124" i="4"/>
  <c r="K1123" i="4"/>
  <c r="H1123" i="4"/>
  <c r="G1123" i="4"/>
  <c r="M1122" i="4"/>
  <c r="K1122" i="4"/>
  <c r="H1122" i="4"/>
  <c r="G1122" i="4"/>
  <c r="K1121" i="4"/>
  <c r="J1121" i="4"/>
  <c r="H1121" i="4"/>
  <c r="G1121" i="4"/>
  <c r="M1120" i="4"/>
  <c r="K1120" i="4"/>
  <c r="H1120" i="4"/>
  <c r="J1120" i="4" s="1"/>
  <c r="G1120" i="4"/>
  <c r="K1119" i="4"/>
  <c r="I1119" i="4"/>
  <c r="H1119" i="4"/>
  <c r="G1119" i="4"/>
  <c r="K1118" i="4"/>
  <c r="I1118" i="4"/>
  <c r="H1118" i="4"/>
  <c r="G1118" i="4"/>
  <c r="J1118" i="4" s="1"/>
  <c r="M1117" i="4"/>
  <c r="L1117" i="4"/>
  <c r="K1117" i="4"/>
  <c r="J1117" i="4"/>
  <c r="Q1117" i="4" s="1"/>
  <c r="I1117" i="4"/>
  <c r="H1117" i="4"/>
  <c r="G1117" i="4"/>
  <c r="O1116" i="4"/>
  <c r="K1116" i="4"/>
  <c r="I1116" i="4"/>
  <c r="H1116" i="4"/>
  <c r="G1116" i="4"/>
  <c r="J1116" i="4" s="1"/>
  <c r="K1115" i="4"/>
  <c r="I1115" i="4"/>
  <c r="H1115" i="4"/>
  <c r="G1115" i="4"/>
  <c r="J1115" i="4" s="1"/>
  <c r="Q1115" i="4" s="1"/>
  <c r="K1114" i="4"/>
  <c r="I1114" i="4"/>
  <c r="H1114" i="4"/>
  <c r="J1114" i="4" s="1"/>
  <c r="G1114" i="4"/>
  <c r="K1113" i="4"/>
  <c r="I1113" i="4"/>
  <c r="H1113" i="4"/>
  <c r="G1113" i="4"/>
  <c r="K1112" i="4"/>
  <c r="J1112" i="4"/>
  <c r="I1112" i="4"/>
  <c r="H1112" i="4"/>
  <c r="G1112" i="4"/>
  <c r="M1111" i="4"/>
  <c r="L1111" i="4"/>
  <c r="K1111" i="4"/>
  <c r="I1111" i="4"/>
  <c r="H1111" i="4"/>
  <c r="G1111" i="4"/>
  <c r="J1111" i="4" s="1"/>
  <c r="P1111" i="4" s="1"/>
  <c r="N1110" i="4"/>
  <c r="K1110" i="4"/>
  <c r="I1110" i="4"/>
  <c r="H1110" i="4"/>
  <c r="G1110" i="4"/>
  <c r="J1110" i="4" s="1"/>
  <c r="O1110" i="4" s="1"/>
  <c r="K1109" i="4"/>
  <c r="J1109" i="4"/>
  <c r="I1109" i="4"/>
  <c r="H1109" i="4"/>
  <c r="G1109" i="4"/>
  <c r="K1108" i="4"/>
  <c r="I1108" i="4"/>
  <c r="H1108" i="4"/>
  <c r="J1108" i="4" s="1"/>
  <c r="G1108" i="4"/>
  <c r="K1107" i="4"/>
  <c r="I1107" i="4"/>
  <c r="J1107" i="4" s="1"/>
  <c r="H1107" i="4"/>
  <c r="G1107" i="4"/>
  <c r="P1106" i="4"/>
  <c r="L1106" i="4"/>
  <c r="K1106" i="4"/>
  <c r="I1106" i="4"/>
  <c r="H1106" i="4"/>
  <c r="J1106" i="4" s="1"/>
  <c r="G1106" i="4"/>
  <c r="K1105" i="4"/>
  <c r="J1105" i="4"/>
  <c r="I1105" i="4"/>
  <c r="H1105" i="4"/>
  <c r="G1105" i="4"/>
  <c r="K1104" i="4"/>
  <c r="J1104" i="4"/>
  <c r="I1104" i="4"/>
  <c r="H1104" i="4"/>
  <c r="G1104" i="4"/>
  <c r="K1103" i="4"/>
  <c r="J1103" i="4"/>
  <c r="I1103" i="4"/>
  <c r="H1103" i="4"/>
  <c r="G1103" i="4"/>
  <c r="K1102" i="4"/>
  <c r="I1102" i="4"/>
  <c r="H1102" i="4"/>
  <c r="G1102" i="4"/>
  <c r="K1101" i="4"/>
  <c r="I1101" i="4"/>
  <c r="H1101" i="4"/>
  <c r="J1101" i="4" s="1"/>
  <c r="G1101" i="4"/>
  <c r="K1100" i="4"/>
  <c r="I1100" i="4"/>
  <c r="H1100" i="4"/>
  <c r="G1100" i="4"/>
  <c r="J1100" i="4" s="1"/>
  <c r="Q1099" i="4"/>
  <c r="L1099" i="4"/>
  <c r="K1099" i="4"/>
  <c r="I1099" i="4"/>
  <c r="H1099" i="4"/>
  <c r="J1099" i="4" s="1"/>
  <c r="G1099" i="4"/>
  <c r="K1098" i="4"/>
  <c r="I1098" i="4"/>
  <c r="H1098" i="4"/>
  <c r="G1098" i="4"/>
  <c r="O1097" i="4"/>
  <c r="N1097" i="4"/>
  <c r="K1097" i="4"/>
  <c r="J1097" i="4"/>
  <c r="I1097" i="4"/>
  <c r="H1097" i="4"/>
  <c r="G1097" i="4"/>
  <c r="K1096" i="4"/>
  <c r="I1096" i="4"/>
  <c r="J1096" i="4" s="1"/>
  <c r="H1096" i="4"/>
  <c r="G1096" i="4"/>
  <c r="M1095" i="4"/>
  <c r="K1095" i="4"/>
  <c r="J1095" i="4"/>
  <c r="I1095" i="4"/>
  <c r="H1095" i="4"/>
  <c r="G1095" i="4"/>
  <c r="K1094" i="4"/>
  <c r="I1094" i="4"/>
  <c r="H1094" i="4"/>
  <c r="G1094" i="4"/>
  <c r="N1093" i="4"/>
  <c r="K1093" i="4"/>
  <c r="I1093" i="4"/>
  <c r="H1093" i="4"/>
  <c r="J1093" i="4" s="1"/>
  <c r="G1093" i="4"/>
  <c r="M1092" i="4"/>
  <c r="K1092" i="4"/>
  <c r="L1092" i="4" s="1"/>
  <c r="I1092" i="4"/>
  <c r="H1092" i="4"/>
  <c r="G1092" i="4"/>
  <c r="J1092" i="4" s="1"/>
  <c r="Q1092" i="4" s="1"/>
  <c r="Q1091" i="4"/>
  <c r="N1091" i="4"/>
  <c r="L1091" i="4"/>
  <c r="K1091" i="4"/>
  <c r="I1091" i="4"/>
  <c r="H1091" i="4"/>
  <c r="J1091" i="4" s="1"/>
  <c r="P1091" i="4" s="1"/>
  <c r="G1091" i="4"/>
  <c r="K1090" i="4"/>
  <c r="I1090" i="4"/>
  <c r="H1090" i="4"/>
  <c r="G1090" i="4"/>
  <c r="K1089" i="4"/>
  <c r="J1089" i="4"/>
  <c r="I1089" i="4"/>
  <c r="H1089" i="4"/>
  <c r="G1089" i="4"/>
  <c r="K1088" i="4"/>
  <c r="J1088" i="4"/>
  <c r="I1088" i="4"/>
  <c r="H1088" i="4"/>
  <c r="G1088" i="4"/>
  <c r="K1087" i="4"/>
  <c r="J1087" i="4"/>
  <c r="I1087" i="4"/>
  <c r="H1087" i="4"/>
  <c r="G1087" i="4"/>
  <c r="K1086" i="4"/>
  <c r="I1086" i="4"/>
  <c r="H1086" i="4"/>
  <c r="G1086" i="4"/>
  <c r="K1085" i="4"/>
  <c r="I1085" i="4"/>
  <c r="H1085" i="4"/>
  <c r="J1085" i="4" s="1"/>
  <c r="G1085" i="4"/>
  <c r="K1084" i="4"/>
  <c r="I1084" i="4"/>
  <c r="H1084" i="4"/>
  <c r="G1084" i="4"/>
  <c r="J1084" i="4" s="1"/>
  <c r="Q1083" i="4"/>
  <c r="L1083" i="4"/>
  <c r="K1083" i="4"/>
  <c r="I1083" i="4"/>
  <c r="H1083" i="4"/>
  <c r="J1083" i="4" s="1"/>
  <c r="G1083" i="4"/>
  <c r="K1082" i="4"/>
  <c r="I1082" i="4"/>
  <c r="H1082" i="4"/>
  <c r="G1082" i="4"/>
  <c r="O1081" i="4"/>
  <c r="N1081" i="4"/>
  <c r="K1081" i="4"/>
  <c r="J1081" i="4"/>
  <c r="I1081" i="4"/>
  <c r="H1081" i="4"/>
  <c r="G1081" i="4"/>
  <c r="Q1080" i="4"/>
  <c r="M1080" i="4"/>
  <c r="K1080" i="4"/>
  <c r="H1080" i="4"/>
  <c r="J1080" i="4" s="1"/>
  <c r="G1080" i="4"/>
  <c r="O1079" i="4"/>
  <c r="M1079" i="4"/>
  <c r="K1079" i="4"/>
  <c r="L1079" i="4" s="1"/>
  <c r="H1079" i="4"/>
  <c r="G1079" i="4"/>
  <c r="J1079" i="4" s="1"/>
  <c r="Q1079" i="4" s="1"/>
  <c r="Q1078" i="4"/>
  <c r="M1078" i="4"/>
  <c r="K1078" i="4"/>
  <c r="H1078" i="4"/>
  <c r="J1078" i="4" s="1"/>
  <c r="G1078" i="4"/>
  <c r="M1077" i="4"/>
  <c r="K1077" i="4"/>
  <c r="H1077" i="4"/>
  <c r="G1077" i="4"/>
  <c r="J1077" i="4" s="1"/>
  <c r="M1076" i="4"/>
  <c r="K1076" i="4"/>
  <c r="H1076" i="4"/>
  <c r="J1076" i="4" s="1"/>
  <c r="G1076" i="4"/>
  <c r="Q1075" i="4"/>
  <c r="M1075" i="4"/>
  <c r="K1075" i="4"/>
  <c r="O1075" i="4" s="1"/>
  <c r="H1075" i="4"/>
  <c r="G1075" i="4"/>
  <c r="J1075" i="4" s="1"/>
  <c r="Q1074" i="4"/>
  <c r="N1074" i="4"/>
  <c r="K1074" i="4"/>
  <c r="H1074" i="4"/>
  <c r="J1074" i="4" s="1"/>
  <c r="G1074" i="4"/>
  <c r="M1073" i="4"/>
  <c r="K1073" i="4"/>
  <c r="L1073" i="4" s="1"/>
  <c r="H1073" i="4"/>
  <c r="G1073" i="4"/>
  <c r="J1073" i="4" s="1"/>
  <c r="P1073" i="4" s="1"/>
  <c r="K1072" i="4"/>
  <c r="J1072" i="4"/>
  <c r="H1072" i="4"/>
  <c r="G1072" i="4"/>
  <c r="M1071" i="4"/>
  <c r="K1071" i="4"/>
  <c r="H1071" i="4"/>
  <c r="G1071" i="4"/>
  <c r="M1070" i="4"/>
  <c r="K1070" i="4"/>
  <c r="L1070" i="4" s="1"/>
  <c r="H1070" i="4"/>
  <c r="J1070" i="4" s="1"/>
  <c r="G1070" i="4"/>
  <c r="P1069" i="4"/>
  <c r="O1069" i="4"/>
  <c r="M1069" i="4"/>
  <c r="K1069" i="4"/>
  <c r="H1069" i="4"/>
  <c r="G1069" i="4"/>
  <c r="J1069" i="4" s="1"/>
  <c r="M1068" i="4"/>
  <c r="K1068" i="4"/>
  <c r="H1068" i="4"/>
  <c r="J1068" i="4" s="1"/>
  <c r="G1068" i="4"/>
  <c r="K1067" i="4"/>
  <c r="H1067" i="4"/>
  <c r="G1067" i="4"/>
  <c r="N1066" i="4"/>
  <c r="M1066" i="4"/>
  <c r="K1066" i="4"/>
  <c r="H1066" i="4"/>
  <c r="J1066" i="4" s="1"/>
  <c r="P1066" i="4" s="1"/>
  <c r="G1066" i="4"/>
  <c r="P1065" i="4"/>
  <c r="M1065" i="4"/>
  <c r="K1065" i="4"/>
  <c r="H1065" i="4"/>
  <c r="G1065" i="4"/>
  <c r="J1065" i="4" s="1"/>
  <c r="Q1065" i="4" s="1"/>
  <c r="O1064" i="4"/>
  <c r="K1064" i="4"/>
  <c r="H1064" i="4"/>
  <c r="J1064" i="4" s="1"/>
  <c r="G1064" i="4"/>
  <c r="M1063" i="4"/>
  <c r="L1063" i="4"/>
  <c r="K1063" i="4"/>
  <c r="H1063" i="4"/>
  <c r="G1063" i="4"/>
  <c r="J1063" i="4" s="1"/>
  <c r="Q1063" i="4" s="1"/>
  <c r="K1062" i="4"/>
  <c r="H1062" i="4"/>
  <c r="J1062" i="4" s="1"/>
  <c r="G1062" i="4"/>
  <c r="M1061" i="4"/>
  <c r="K1061" i="4"/>
  <c r="H1061" i="4"/>
  <c r="G1061" i="4"/>
  <c r="J1061" i="4" s="1"/>
  <c r="Q1060" i="4"/>
  <c r="K1060" i="4"/>
  <c r="J1060" i="4"/>
  <c r="P1060" i="4" s="1"/>
  <c r="H1060" i="4"/>
  <c r="G1060" i="4"/>
  <c r="Q1059" i="4"/>
  <c r="O1059" i="4"/>
  <c r="K1059" i="4"/>
  <c r="H1059" i="4"/>
  <c r="G1059" i="4"/>
  <c r="J1059" i="4" s="1"/>
  <c r="Q1058" i="4"/>
  <c r="M1058" i="4"/>
  <c r="K1058" i="4"/>
  <c r="H1058" i="4"/>
  <c r="J1058" i="4" s="1"/>
  <c r="G1058" i="4"/>
  <c r="K1057" i="4"/>
  <c r="H1057" i="4"/>
  <c r="G1057" i="4"/>
  <c r="M1056" i="4"/>
  <c r="K1056" i="4"/>
  <c r="H1056" i="4"/>
  <c r="J1056" i="4" s="1"/>
  <c r="G1056" i="4"/>
  <c r="K1055" i="4"/>
  <c r="H1055" i="4"/>
  <c r="G1055" i="4"/>
  <c r="J1055" i="4" s="1"/>
  <c r="Q1054" i="4"/>
  <c r="M1054" i="4"/>
  <c r="K1054" i="4"/>
  <c r="L1054" i="4" s="1"/>
  <c r="H1054" i="4"/>
  <c r="J1054" i="4" s="1"/>
  <c r="G1054" i="4"/>
  <c r="M1053" i="4"/>
  <c r="K1053" i="4"/>
  <c r="H1053" i="4"/>
  <c r="G1053" i="4"/>
  <c r="O1052" i="4"/>
  <c r="K1052" i="4"/>
  <c r="H1052" i="4"/>
  <c r="J1052" i="4" s="1"/>
  <c r="G1052" i="4"/>
  <c r="M1051" i="4"/>
  <c r="L1051" i="4"/>
  <c r="K1051" i="4"/>
  <c r="H1051" i="4"/>
  <c r="G1051" i="4"/>
  <c r="J1051" i="4" s="1"/>
  <c r="Q1051" i="4" s="1"/>
  <c r="Q1050" i="4"/>
  <c r="M1050" i="4"/>
  <c r="K1050" i="4"/>
  <c r="L1050" i="4" s="1"/>
  <c r="H1050" i="4"/>
  <c r="J1050" i="4" s="1"/>
  <c r="G1050" i="4"/>
  <c r="K1049" i="4"/>
  <c r="H1049" i="4"/>
  <c r="G1049" i="4"/>
  <c r="M1048" i="4"/>
  <c r="K1048" i="4"/>
  <c r="H1048" i="4"/>
  <c r="J1048" i="4" s="1"/>
  <c r="G1048" i="4"/>
  <c r="K1047" i="4"/>
  <c r="H1047" i="4"/>
  <c r="G1047" i="4"/>
  <c r="J1047" i="4" s="1"/>
  <c r="Q1046" i="4"/>
  <c r="M1046" i="4"/>
  <c r="K1046" i="4"/>
  <c r="L1046" i="4" s="1"/>
  <c r="H1046" i="4"/>
  <c r="J1046" i="4" s="1"/>
  <c r="G1046" i="4"/>
  <c r="M1045" i="4"/>
  <c r="K1045" i="4"/>
  <c r="H1045" i="4"/>
  <c r="G1045" i="4"/>
  <c r="K1044" i="4"/>
  <c r="H1044" i="4"/>
  <c r="J1044" i="4" s="1"/>
  <c r="G1044" i="4"/>
  <c r="M1043" i="4"/>
  <c r="L1043" i="4"/>
  <c r="K1043" i="4"/>
  <c r="H1043" i="4"/>
  <c r="G1043" i="4"/>
  <c r="J1043" i="4" s="1"/>
  <c r="Q1043" i="4" s="1"/>
  <c r="Q1042" i="4"/>
  <c r="M1042" i="4"/>
  <c r="K1042" i="4"/>
  <c r="L1042" i="4" s="1"/>
  <c r="H1042" i="4"/>
  <c r="J1042" i="4" s="1"/>
  <c r="G1042" i="4"/>
  <c r="M1041" i="4"/>
  <c r="K1041" i="4"/>
  <c r="H1041" i="4"/>
  <c r="G1041" i="4"/>
  <c r="K1040" i="4"/>
  <c r="H1040" i="4"/>
  <c r="J1040" i="4" s="1"/>
  <c r="G1040" i="4"/>
  <c r="M1039" i="4"/>
  <c r="K1039" i="4"/>
  <c r="H1039" i="4"/>
  <c r="G1039" i="4"/>
  <c r="J1039" i="4" s="1"/>
  <c r="Q1038" i="4"/>
  <c r="M1038" i="4"/>
  <c r="K1038" i="4"/>
  <c r="L1038" i="4" s="1"/>
  <c r="H1038" i="4"/>
  <c r="J1038" i="4" s="1"/>
  <c r="G1038" i="4"/>
  <c r="M1037" i="4"/>
  <c r="K1037" i="4"/>
  <c r="H1037" i="4"/>
  <c r="G1037" i="4"/>
  <c r="O1036" i="4"/>
  <c r="K1036" i="4"/>
  <c r="H1036" i="4"/>
  <c r="J1036" i="4" s="1"/>
  <c r="G1036" i="4"/>
  <c r="M1035" i="4"/>
  <c r="L1035" i="4"/>
  <c r="K1035" i="4"/>
  <c r="H1035" i="4"/>
  <c r="G1035" i="4"/>
  <c r="J1035" i="4" s="1"/>
  <c r="Q1035" i="4" s="1"/>
  <c r="Q1034" i="4"/>
  <c r="M1034" i="4"/>
  <c r="K1034" i="4"/>
  <c r="L1034" i="4" s="1"/>
  <c r="I1034" i="4"/>
  <c r="H1034" i="4"/>
  <c r="G1034" i="4"/>
  <c r="J1034" i="4" s="1"/>
  <c r="O1034" i="4" s="1"/>
  <c r="L1033" i="4"/>
  <c r="K1033" i="4"/>
  <c r="I1033" i="4"/>
  <c r="H1033" i="4"/>
  <c r="J1033" i="4" s="1"/>
  <c r="G1033" i="4"/>
  <c r="M1032" i="4"/>
  <c r="K1032" i="4"/>
  <c r="I1032" i="4"/>
  <c r="H1032" i="4"/>
  <c r="G1032" i="4"/>
  <c r="J1032" i="4" s="1"/>
  <c r="Q1032" i="4" s="1"/>
  <c r="K1031" i="4"/>
  <c r="I1031" i="4"/>
  <c r="H1031" i="4"/>
  <c r="J1031" i="4" s="1"/>
  <c r="N1031" i="4" s="1"/>
  <c r="G1031" i="4"/>
  <c r="K1030" i="4"/>
  <c r="I1030" i="4"/>
  <c r="J1030" i="4" s="1"/>
  <c r="H1030" i="4"/>
  <c r="G1030" i="4"/>
  <c r="N1029" i="4"/>
  <c r="M1029" i="4"/>
  <c r="K1029" i="4"/>
  <c r="J1029" i="4"/>
  <c r="P1029" i="4" s="1"/>
  <c r="I1029" i="4"/>
  <c r="H1029" i="4"/>
  <c r="G1029" i="4"/>
  <c r="K1028" i="4"/>
  <c r="I1028" i="4"/>
  <c r="H1028" i="4"/>
  <c r="G1028" i="4"/>
  <c r="P1027" i="4"/>
  <c r="N1027" i="4"/>
  <c r="K1027" i="4"/>
  <c r="L1027" i="4" s="1"/>
  <c r="J1027" i="4"/>
  <c r="I1027" i="4"/>
  <c r="H1027" i="4"/>
  <c r="G1027" i="4"/>
  <c r="K1026" i="4"/>
  <c r="I1026" i="4"/>
  <c r="H1026" i="4"/>
  <c r="G1026" i="4"/>
  <c r="Q1025" i="4"/>
  <c r="P1025" i="4"/>
  <c r="K1025" i="4"/>
  <c r="J1025" i="4"/>
  <c r="I1025" i="4"/>
  <c r="H1025" i="4"/>
  <c r="G1025" i="4"/>
  <c r="K1024" i="4"/>
  <c r="L1024" i="4" s="1"/>
  <c r="I1024" i="4"/>
  <c r="H1024" i="4"/>
  <c r="G1024" i="4"/>
  <c r="J1024" i="4" s="1"/>
  <c r="K1023" i="4"/>
  <c r="I1023" i="4"/>
  <c r="H1023" i="4"/>
  <c r="G1023" i="4"/>
  <c r="K1022" i="4"/>
  <c r="I1022" i="4"/>
  <c r="J1022" i="4" s="1"/>
  <c r="H1022" i="4"/>
  <c r="G1022" i="4"/>
  <c r="K1021" i="4"/>
  <c r="J1021" i="4"/>
  <c r="O1021" i="4" s="1"/>
  <c r="I1021" i="4"/>
  <c r="H1021" i="4"/>
  <c r="G1021" i="4"/>
  <c r="M1020" i="4"/>
  <c r="L1020" i="4"/>
  <c r="K1020" i="4"/>
  <c r="I1020" i="4"/>
  <c r="H1020" i="4"/>
  <c r="G1020" i="4"/>
  <c r="J1020" i="4" s="1"/>
  <c r="N1020" i="4" s="1"/>
  <c r="K1019" i="4"/>
  <c r="I1019" i="4"/>
  <c r="H1019" i="4"/>
  <c r="J1019" i="4" s="1"/>
  <c r="N1019" i="4" s="1"/>
  <c r="G1019" i="4"/>
  <c r="K1018" i="4"/>
  <c r="I1018" i="4"/>
  <c r="J1018" i="4" s="1"/>
  <c r="H1018" i="4"/>
  <c r="G1018" i="4"/>
  <c r="K1017" i="4"/>
  <c r="I1017" i="4"/>
  <c r="H1017" i="4"/>
  <c r="J1017" i="4" s="1"/>
  <c r="G1017" i="4"/>
  <c r="K1016" i="4"/>
  <c r="I1016" i="4"/>
  <c r="H1016" i="4"/>
  <c r="G1016" i="4"/>
  <c r="K1015" i="4"/>
  <c r="L1015" i="4" s="1"/>
  <c r="J1015" i="4"/>
  <c r="I1015" i="4"/>
  <c r="H1015" i="4"/>
  <c r="G1015" i="4"/>
  <c r="K1014" i="4"/>
  <c r="L1014" i="4" s="1"/>
  <c r="J1014" i="4"/>
  <c r="I1014" i="4"/>
  <c r="H1014" i="4"/>
  <c r="G1014" i="4"/>
  <c r="M1013" i="4"/>
  <c r="K1013" i="4"/>
  <c r="I1013" i="4"/>
  <c r="H1013" i="4"/>
  <c r="J1013" i="4" s="1"/>
  <c r="G1013" i="4"/>
  <c r="K1012" i="4"/>
  <c r="I1012" i="4"/>
  <c r="H1012" i="4"/>
  <c r="G1012" i="4"/>
  <c r="K1011" i="4"/>
  <c r="I1011" i="4"/>
  <c r="H1011" i="4"/>
  <c r="G1011" i="4"/>
  <c r="J1011" i="4" s="1"/>
  <c r="K1010" i="4"/>
  <c r="I1010" i="4"/>
  <c r="H1010" i="4"/>
  <c r="G1010" i="4"/>
  <c r="J1010" i="4" s="1"/>
  <c r="K1009" i="4"/>
  <c r="J1009" i="4"/>
  <c r="I1009" i="4"/>
  <c r="H1009" i="4"/>
  <c r="G1009" i="4"/>
  <c r="L1008" i="4"/>
  <c r="K1008" i="4"/>
  <c r="P1008" i="4" s="1"/>
  <c r="I1008" i="4"/>
  <c r="H1008" i="4"/>
  <c r="G1008" i="4"/>
  <c r="J1008" i="4" s="1"/>
  <c r="O1008" i="4" s="1"/>
  <c r="K1007" i="4"/>
  <c r="I1007" i="4"/>
  <c r="H1007" i="4"/>
  <c r="G1007" i="4"/>
  <c r="J1007" i="4" s="1"/>
  <c r="N1006" i="4"/>
  <c r="K1006" i="4"/>
  <c r="I1006" i="4"/>
  <c r="J1006" i="4" s="1"/>
  <c r="H1006" i="4"/>
  <c r="G1006" i="4"/>
  <c r="N1005" i="4"/>
  <c r="K1005" i="4"/>
  <c r="J1005" i="4"/>
  <c r="O1005" i="4" s="1"/>
  <c r="I1005" i="4"/>
  <c r="H1005" i="4"/>
  <c r="G1005" i="4"/>
  <c r="K1004" i="4"/>
  <c r="I1004" i="4"/>
  <c r="H1004" i="4"/>
  <c r="G1004" i="4"/>
  <c r="K1003" i="4"/>
  <c r="I1003" i="4"/>
  <c r="H1003" i="4"/>
  <c r="J1003" i="4" s="1"/>
  <c r="G1003" i="4"/>
  <c r="K1002" i="4"/>
  <c r="J1002" i="4"/>
  <c r="I1002" i="4"/>
  <c r="H1002" i="4"/>
  <c r="G1002" i="4"/>
  <c r="K1001" i="4"/>
  <c r="I1001" i="4"/>
  <c r="H1001" i="4"/>
  <c r="J1001" i="4" s="1"/>
  <c r="L1001" i="4" s="1"/>
  <c r="G1001" i="4"/>
  <c r="K1000" i="4"/>
  <c r="I1000" i="4"/>
  <c r="H1000" i="4"/>
  <c r="G1000" i="4"/>
  <c r="O999" i="4"/>
  <c r="N999" i="4"/>
  <c r="K999" i="4"/>
  <c r="L999" i="4" s="1"/>
  <c r="J999" i="4"/>
  <c r="P999" i="4" s="1"/>
  <c r="I999" i="4"/>
  <c r="H999" i="4"/>
  <c r="G999" i="4"/>
  <c r="Q998" i="4"/>
  <c r="K998" i="4"/>
  <c r="I998" i="4"/>
  <c r="H998" i="4"/>
  <c r="G998" i="4"/>
  <c r="J998" i="4" s="1"/>
  <c r="K997" i="4"/>
  <c r="I997" i="4"/>
  <c r="H997" i="4"/>
  <c r="G997" i="4"/>
  <c r="K996" i="4"/>
  <c r="I996" i="4"/>
  <c r="H996" i="4"/>
  <c r="G996" i="4"/>
  <c r="M995" i="4"/>
  <c r="L995" i="4"/>
  <c r="K995" i="4"/>
  <c r="H995" i="4"/>
  <c r="G995" i="4"/>
  <c r="J995" i="4" s="1"/>
  <c r="M994" i="4"/>
  <c r="K994" i="4"/>
  <c r="H994" i="4"/>
  <c r="G994" i="4"/>
  <c r="J994" i="4" s="1"/>
  <c r="N993" i="4"/>
  <c r="M993" i="4"/>
  <c r="K993" i="4"/>
  <c r="L993" i="4" s="1"/>
  <c r="J993" i="4"/>
  <c r="Q993" i="4" s="1"/>
  <c r="H993" i="4"/>
  <c r="G993" i="4"/>
  <c r="P992" i="4"/>
  <c r="N992" i="4"/>
  <c r="M992" i="4"/>
  <c r="K992" i="4"/>
  <c r="J992" i="4"/>
  <c r="L992" i="4" s="1"/>
  <c r="H992" i="4"/>
  <c r="G992" i="4"/>
  <c r="M991" i="4"/>
  <c r="K991" i="4"/>
  <c r="L991" i="4" s="1"/>
  <c r="H991" i="4"/>
  <c r="G991" i="4"/>
  <c r="J991" i="4" s="1"/>
  <c r="M990" i="4"/>
  <c r="K990" i="4"/>
  <c r="H990" i="4"/>
  <c r="G990" i="4"/>
  <c r="M989" i="4"/>
  <c r="K989" i="4"/>
  <c r="J989" i="4"/>
  <c r="H989" i="4"/>
  <c r="G989" i="4"/>
  <c r="K988" i="4"/>
  <c r="J988" i="4"/>
  <c r="O988" i="4" s="1"/>
  <c r="H988" i="4"/>
  <c r="G988" i="4"/>
  <c r="M987" i="4"/>
  <c r="L987" i="4"/>
  <c r="K987" i="4"/>
  <c r="H987" i="4"/>
  <c r="G987" i="4"/>
  <c r="J987" i="4" s="1"/>
  <c r="K986" i="4"/>
  <c r="H986" i="4"/>
  <c r="G986" i="4"/>
  <c r="J986" i="4" s="1"/>
  <c r="N985" i="4"/>
  <c r="M985" i="4"/>
  <c r="K985" i="4"/>
  <c r="L985" i="4" s="1"/>
  <c r="J985" i="4"/>
  <c r="Q985" i="4" s="1"/>
  <c r="H985" i="4"/>
  <c r="G985" i="4"/>
  <c r="P984" i="4"/>
  <c r="N984" i="4"/>
  <c r="K984" i="4"/>
  <c r="J984" i="4"/>
  <c r="O984" i="4" s="1"/>
  <c r="H984" i="4"/>
  <c r="G984" i="4"/>
  <c r="M983" i="4"/>
  <c r="K983" i="4"/>
  <c r="H983" i="4"/>
  <c r="G983" i="4"/>
  <c r="J983" i="4" s="1"/>
  <c r="K982" i="4"/>
  <c r="J982" i="4"/>
  <c r="H982" i="4"/>
  <c r="G982" i="4"/>
  <c r="K981" i="4"/>
  <c r="H981" i="4"/>
  <c r="G981" i="4"/>
  <c r="J981" i="4" s="1"/>
  <c r="K980" i="4"/>
  <c r="L980" i="4" s="1"/>
  <c r="H980" i="4"/>
  <c r="J980" i="4" s="1"/>
  <c r="N980" i="4" s="1"/>
  <c r="G980" i="4"/>
  <c r="K979" i="4"/>
  <c r="H979" i="4"/>
  <c r="G979" i="4"/>
  <c r="J979" i="4" s="1"/>
  <c r="M978" i="4"/>
  <c r="K978" i="4"/>
  <c r="O978" i="4" s="1"/>
  <c r="J978" i="4"/>
  <c r="H978" i="4"/>
  <c r="G978" i="4"/>
  <c r="L977" i="4"/>
  <c r="K977" i="4"/>
  <c r="N977" i="4" s="1"/>
  <c r="H977" i="4"/>
  <c r="G977" i="4"/>
  <c r="J977" i="4" s="1"/>
  <c r="K976" i="4"/>
  <c r="H976" i="4"/>
  <c r="J976" i="4" s="1"/>
  <c r="G976" i="4"/>
  <c r="M975" i="4"/>
  <c r="K975" i="4"/>
  <c r="L975" i="4" s="1"/>
  <c r="H975" i="4"/>
  <c r="G975" i="4"/>
  <c r="J975" i="4" s="1"/>
  <c r="P975" i="4" s="1"/>
  <c r="K974" i="4"/>
  <c r="J974" i="4"/>
  <c r="H974" i="4"/>
  <c r="G974" i="4"/>
  <c r="M973" i="4"/>
  <c r="L973" i="4"/>
  <c r="K973" i="4"/>
  <c r="H973" i="4"/>
  <c r="G973" i="4"/>
  <c r="J973" i="4" s="1"/>
  <c r="N972" i="4"/>
  <c r="K972" i="4"/>
  <c r="H972" i="4"/>
  <c r="J972" i="4" s="1"/>
  <c r="G972" i="4"/>
  <c r="P971" i="4"/>
  <c r="K971" i="4"/>
  <c r="H971" i="4"/>
  <c r="G971" i="4"/>
  <c r="J971" i="4" s="1"/>
  <c r="M970" i="4"/>
  <c r="K970" i="4"/>
  <c r="J970" i="4"/>
  <c r="H970" i="4"/>
  <c r="G970" i="4"/>
  <c r="K969" i="4"/>
  <c r="H969" i="4"/>
  <c r="G969" i="4"/>
  <c r="J969" i="4" s="1"/>
  <c r="L969" i="4" s="1"/>
  <c r="M968" i="4"/>
  <c r="K968" i="4"/>
  <c r="L968" i="4" s="1"/>
  <c r="H968" i="4"/>
  <c r="J968" i="4" s="1"/>
  <c r="G968" i="4"/>
  <c r="P967" i="4"/>
  <c r="K967" i="4"/>
  <c r="N967" i="4" s="1"/>
  <c r="H967" i="4"/>
  <c r="G967" i="4"/>
  <c r="J967" i="4" s="1"/>
  <c r="K966" i="4"/>
  <c r="J966" i="4"/>
  <c r="H966" i="4"/>
  <c r="G966" i="4"/>
  <c r="M965" i="4"/>
  <c r="K965" i="4"/>
  <c r="H965" i="4"/>
  <c r="G965" i="4"/>
  <c r="J965" i="4" s="1"/>
  <c r="N964" i="4"/>
  <c r="K964" i="4"/>
  <c r="L964" i="4" s="1"/>
  <c r="H964" i="4"/>
  <c r="J964" i="4" s="1"/>
  <c r="M964" i="4" s="1"/>
  <c r="G964" i="4"/>
  <c r="M963" i="4"/>
  <c r="K963" i="4"/>
  <c r="H963" i="4"/>
  <c r="G963" i="4"/>
  <c r="J963" i="4" s="1"/>
  <c r="P963" i="4" s="1"/>
  <c r="K962" i="4"/>
  <c r="H962" i="4"/>
  <c r="J962" i="4" s="1"/>
  <c r="G962" i="4"/>
  <c r="M961" i="4"/>
  <c r="K961" i="4"/>
  <c r="L961" i="4" s="1"/>
  <c r="H961" i="4"/>
  <c r="G961" i="4"/>
  <c r="J961" i="4" s="1"/>
  <c r="Q960" i="4"/>
  <c r="N960" i="4"/>
  <c r="K960" i="4"/>
  <c r="L960" i="4" s="1"/>
  <c r="H960" i="4"/>
  <c r="J960" i="4" s="1"/>
  <c r="M960" i="4" s="1"/>
  <c r="G960" i="4"/>
  <c r="M959" i="4"/>
  <c r="K959" i="4"/>
  <c r="H959" i="4"/>
  <c r="G959" i="4"/>
  <c r="J959" i="4" s="1"/>
  <c r="P959" i="4" s="1"/>
  <c r="M958" i="4"/>
  <c r="K958" i="4"/>
  <c r="H958" i="4"/>
  <c r="J958" i="4" s="1"/>
  <c r="G958" i="4"/>
  <c r="L957" i="4"/>
  <c r="K957" i="4"/>
  <c r="N957" i="4" s="1"/>
  <c r="H957" i="4"/>
  <c r="G957" i="4"/>
  <c r="J957" i="4" s="1"/>
  <c r="N956" i="4"/>
  <c r="M956" i="4"/>
  <c r="K956" i="4"/>
  <c r="H956" i="4"/>
  <c r="J956" i="4" s="1"/>
  <c r="Q956" i="4" s="1"/>
  <c r="G956" i="4"/>
  <c r="K955" i="4"/>
  <c r="H955" i="4"/>
  <c r="G955" i="4"/>
  <c r="J955" i="4" s="1"/>
  <c r="M954" i="4"/>
  <c r="K954" i="4"/>
  <c r="J954" i="4"/>
  <c r="Q954" i="4" s="1"/>
  <c r="H954" i="4"/>
  <c r="G954" i="4"/>
  <c r="O953" i="4"/>
  <c r="L953" i="4"/>
  <c r="K953" i="4"/>
  <c r="H953" i="4"/>
  <c r="G953" i="4"/>
  <c r="J953" i="4" s="1"/>
  <c r="M952" i="4"/>
  <c r="K952" i="4"/>
  <c r="H952" i="4"/>
  <c r="J952" i="4" s="1"/>
  <c r="G952" i="4"/>
  <c r="K951" i="4"/>
  <c r="H951" i="4"/>
  <c r="G951" i="4"/>
  <c r="J951" i="4" s="1"/>
  <c r="M950" i="4"/>
  <c r="K950" i="4"/>
  <c r="H950" i="4"/>
  <c r="J950" i="4" s="1"/>
  <c r="G950" i="4"/>
  <c r="M949" i="4"/>
  <c r="L949" i="4"/>
  <c r="K949" i="4"/>
  <c r="I949" i="4"/>
  <c r="H949" i="4"/>
  <c r="G949" i="4"/>
  <c r="J949" i="4" s="1"/>
  <c r="O949" i="4" s="1"/>
  <c r="N948" i="4"/>
  <c r="K948" i="4"/>
  <c r="L948" i="4" s="1"/>
  <c r="I948" i="4"/>
  <c r="H948" i="4"/>
  <c r="G948" i="4"/>
  <c r="J948" i="4" s="1"/>
  <c r="K947" i="4"/>
  <c r="L947" i="4" s="1"/>
  <c r="J947" i="4"/>
  <c r="I947" i="4"/>
  <c r="H947" i="4"/>
  <c r="G947" i="4"/>
  <c r="K946" i="4"/>
  <c r="I946" i="4"/>
  <c r="H946" i="4"/>
  <c r="G946" i="4"/>
  <c r="O945" i="4"/>
  <c r="L945" i="4"/>
  <c r="K945" i="4"/>
  <c r="I945" i="4"/>
  <c r="H945" i="4"/>
  <c r="G945" i="4"/>
  <c r="J945" i="4" s="1"/>
  <c r="Q945" i="4" s="1"/>
  <c r="K944" i="4"/>
  <c r="L944" i="4" s="1"/>
  <c r="I944" i="4"/>
  <c r="H944" i="4"/>
  <c r="G944" i="4"/>
  <c r="J944" i="4" s="1"/>
  <c r="N943" i="4"/>
  <c r="M943" i="4"/>
  <c r="K943" i="4"/>
  <c r="J943" i="4"/>
  <c r="Q943" i="4" s="1"/>
  <c r="I943" i="4"/>
  <c r="H943" i="4"/>
  <c r="G943" i="4"/>
  <c r="M942" i="4"/>
  <c r="K942" i="4"/>
  <c r="I942" i="4"/>
  <c r="J942" i="4" s="1"/>
  <c r="H942" i="4"/>
  <c r="G942" i="4"/>
  <c r="P941" i="4"/>
  <c r="O941" i="4"/>
  <c r="L941" i="4"/>
  <c r="K941" i="4"/>
  <c r="I941" i="4"/>
  <c r="H941" i="4"/>
  <c r="G941" i="4"/>
  <c r="J941" i="4" s="1"/>
  <c r="M941" i="4" s="1"/>
  <c r="O940" i="4"/>
  <c r="K940" i="4"/>
  <c r="I940" i="4"/>
  <c r="H940" i="4"/>
  <c r="G940" i="4"/>
  <c r="J940" i="4" s="1"/>
  <c r="K939" i="4"/>
  <c r="I939" i="4"/>
  <c r="H939" i="4"/>
  <c r="G939" i="4"/>
  <c r="J939" i="4" s="1"/>
  <c r="Q938" i="4"/>
  <c r="K938" i="4"/>
  <c r="I938" i="4"/>
  <c r="H938" i="4"/>
  <c r="J938" i="4" s="1"/>
  <c r="G938" i="4"/>
  <c r="K937" i="4"/>
  <c r="I937" i="4"/>
  <c r="H937" i="4"/>
  <c r="G937" i="4"/>
  <c r="K936" i="4"/>
  <c r="L936" i="4" s="1"/>
  <c r="J936" i="4"/>
  <c r="I936" i="4"/>
  <c r="H936" i="4"/>
  <c r="G936" i="4"/>
  <c r="K935" i="4"/>
  <c r="L935" i="4" s="1"/>
  <c r="J935" i="4"/>
  <c r="I935" i="4"/>
  <c r="H935" i="4"/>
  <c r="G935" i="4"/>
  <c r="M934" i="4"/>
  <c r="L934" i="4"/>
  <c r="K934" i="4"/>
  <c r="J934" i="4"/>
  <c r="O934" i="4" s="1"/>
  <c r="I934" i="4"/>
  <c r="H934" i="4"/>
  <c r="G934" i="4"/>
  <c r="K933" i="4"/>
  <c r="I933" i="4"/>
  <c r="H933" i="4"/>
  <c r="G933" i="4"/>
  <c r="K932" i="4"/>
  <c r="I932" i="4"/>
  <c r="H932" i="4"/>
  <c r="G932" i="4"/>
  <c r="J932" i="4" s="1"/>
  <c r="Q931" i="4"/>
  <c r="K931" i="4"/>
  <c r="I931" i="4"/>
  <c r="H931" i="4"/>
  <c r="G931" i="4"/>
  <c r="J931" i="4" s="1"/>
  <c r="K930" i="4"/>
  <c r="J930" i="4"/>
  <c r="I930" i="4"/>
  <c r="H930" i="4"/>
  <c r="G930" i="4"/>
  <c r="K929" i="4"/>
  <c r="I929" i="4"/>
  <c r="H929" i="4"/>
  <c r="G929" i="4"/>
  <c r="K928" i="4"/>
  <c r="L928" i="4" s="1"/>
  <c r="I928" i="4"/>
  <c r="H928" i="4"/>
  <c r="G928" i="4"/>
  <c r="J928" i="4" s="1"/>
  <c r="N927" i="4"/>
  <c r="M927" i="4"/>
  <c r="K927" i="4"/>
  <c r="J927" i="4"/>
  <c r="Q927" i="4" s="1"/>
  <c r="I927" i="4"/>
  <c r="H927" i="4"/>
  <c r="G927" i="4"/>
  <c r="P926" i="4"/>
  <c r="N926" i="4"/>
  <c r="L926" i="4"/>
  <c r="K926" i="4"/>
  <c r="J926" i="4"/>
  <c r="O926" i="4" s="1"/>
  <c r="I926" i="4"/>
  <c r="H926" i="4"/>
  <c r="G926" i="4"/>
  <c r="K925" i="4"/>
  <c r="I925" i="4"/>
  <c r="H925" i="4"/>
  <c r="G925" i="4"/>
  <c r="K924" i="4"/>
  <c r="I924" i="4"/>
  <c r="H924" i="4"/>
  <c r="J924" i="4" s="1"/>
  <c r="G924" i="4"/>
  <c r="K923" i="4"/>
  <c r="I923" i="4"/>
  <c r="J923" i="4" s="1"/>
  <c r="H923" i="4"/>
  <c r="G923" i="4"/>
  <c r="L922" i="4"/>
  <c r="K922" i="4"/>
  <c r="I922" i="4"/>
  <c r="H922" i="4"/>
  <c r="J922" i="4" s="1"/>
  <c r="G922" i="4"/>
  <c r="K921" i="4"/>
  <c r="I921" i="4"/>
  <c r="H921" i="4"/>
  <c r="G921" i="4"/>
  <c r="K920" i="4"/>
  <c r="I920" i="4"/>
  <c r="H920" i="4"/>
  <c r="G920" i="4"/>
  <c r="J920" i="4" s="1"/>
  <c r="K919" i="4"/>
  <c r="I919" i="4"/>
  <c r="H919" i="4"/>
  <c r="G919" i="4"/>
  <c r="J919" i="4" s="1"/>
  <c r="Q918" i="4"/>
  <c r="K918" i="4"/>
  <c r="I918" i="4"/>
  <c r="H918" i="4"/>
  <c r="J918" i="4" s="1"/>
  <c r="G918" i="4"/>
  <c r="K917" i="4"/>
  <c r="I917" i="4"/>
  <c r="H917" i="4"/>
  <c r="G917" i="4"/>
  <c r="K916" i="4"/>
  <c r="L916" i="4" s="1"/>
  <c r="J916" i="4"/>
  <c r="I916" i="4"/>
  <c r="H916" i="4"/>
  <c r="G916" i="4"/>
  <c r="M915" i="4"/>
  <c r="K915" i="4"/>
  <c r="L915" i="4" s="1"/>
  <c r="I915" i="4"/>
  <c r="H915" i="4"/>
  <c r="G915" i="4"/>
  <c r="J915" i="4" s="1"/>
  <c r="K914" i="4"/>
  <c r="I914" i="4"/>
  <c r="J914" i="4" s="1"/>
  <c r="H914" i="4"/>
  <c r="G914" i="4"/>
  <c r="Q913" i="4"/>
  <c r="K913" i="4"/>
  <c r="I913" i="4"/>
  <c r="H913" i="4"/>
  <c r="G913" i="4"/>
  <c r="J913" i="4" s="1"/>
  <c r="K912" i="4"/>
  <c r="L912" i="4" s="1"/>
  <c r="P912" i="4" s="1"/>
  <c r="I912" i="4"/>
  <c r="H912" i="4"/>
  <c r="G912" i="4"/>
  <c r="J912" i="4" s="1"/>
  <c r="K911" i="4"/>
  <c r="I911" i="4"/>
  <c r="J911" i="4" s="1"/>
  <c r="H911" i="4"/>
  <c r="G911" i="4"/>
  <c r="M910" i="4"/>
  <c r="K910" i="4"/>
  <c r="J910" i="4"/>
  <c r="H910" i="4"/>
  <c r="G910" i="4"/>
  <c r="M909" i="4"/>
  <c r="K909" i="4"/>
  <c r="H909" i="4"/>
  <c r="G909" i="4"/>
  <c r="J909" i="4" s="1"/>
  <c r="M908" i="4"/>
  <c r="L908" i="4"/>
  <c r="K908" i="4"/>
  <c r="J908" i="4"/>
  <c r="O908" i="4" s="1"/>
  <c r="H908" i="4"/>
  <c r="G908" i="4"/>
  <c r="N907" i="4"/>
  <c r="M907" i="4"/>
  <c r="K907" i="4"/>
  <c r="O907" i="4" s="1"/>
  <c r="J907" i="4"/>
  <c r="Q907" i="4" s="1"/>
  <c r="H907" i="4"/>
  <c r="G907" i="4"/>
  <c r="P906" i="4"/>
  <c r="N906" i="4"/>
  <c r="M906" i="4"/>
  <c r="L906" i="4"/>
  <c r="K906" i="4"/>
  <c r="J906" i="4"/>
  <c r="O906" i="4" s="1"/>
  <c r="H906" i="4"/>
  <c r="G906" i="4"/>
  <c r="P905" i="4"/>
  <c r="O905" i="4"/>
  <c r="M905" i="4"/>
  <c r="K905" i="4"/>
  <c r="L905" i="4" s="1"/>
  <c r="H905" i="4"/>
  <c r="G905" i="4"/>
  <c r="J905" i="4" s="1"/>
  <c r="K904" i="4"/>
  <c r="H904" i="4"/>
  <c r="G904" i="4"/>
  <c r="O903" i="4"/>
  <c r="M903" i="4"/>
  <c r="K903" i="4"/>
  <c r="J903" i="4"/>
  <c r="H903" i="4"/>
  <c r="G903" i="4"/>
  <c r="Q902" i="4"/>
  <c r="M902" i="4"/>
  <c r="K902" i="4"/>
  <c r="J902" i="4"/>
  <c r="H902" i="4"/>
  <c r="G902" i="4"/>
  <c r="K901" i="4"/>
  <c r="H901" i="4"/>
  <c r="G901" i="4"/>
  <c r="J901" i="4" s="1"/>
  <c r="M900" i="4"/>
  <c r="K900" i="4"/>
  <c r="H900" i="4"/>
  <c r="G900" i="4"/>
  <c r="K899" i="4"/>
  <c r="H899" i="4"/>
  <c r="G899" i="4"/>
  <c r="J899" i="4" s="1"/>
  <c r="M898" i="4"/>
  <c r="K898" i="4"/>
  <c r="H898" i="4"/>
  <c r="G898" i="4"/>
  <c r="J898" i="4" s="1"/>
  <c r="N897" i="4"/>
  <c r="L897" i="4"/>
  <c r="K897" i="4"/>
  <c r="J897" i="4"/>
  <c r="H897" i="4"/>
  <c r="G897" i="4"/>
  <c r="N896" i="4"/>
  <c r="M896" i="4"/>
  <c r="K896" i="4"/>
  <c r="H896" i="4"/>
  <c r="J896" i="4" s="1"/>
  <c r="G896" i="4"/>
  <c r="O895" i="4"/>
  <c r="K895" i="4"/>
  <c r="J895" i="4"/>
  <c r="H895" i="4"/>
  <c r="G895" i="4"/>
  <c r="M894" i="4"/>
  <c r="K894" i="4"/>
  <c r="J894" i="4"/>
  <c r="P894" i="4" s="1"/>
  <c r="H894" i="4"/>
  <c r="G894" i="4"/>
  <c r="P893" i="4"/>
  <c r="L893" i="4"/>
  <c r="K893" i="4"/>
  <c r="J893" i="4"/>
  <c r="H893" i="4"/>
  <c r="G893" i="4"/>
  <c r="Q892" i="4"/>
  <c r="P892" i="4"/>
  <c r="M892" i="4"/>
  <c r="K892" i="4"/>
  <c r="H892" i="4"/>
  <c r="G892" i="4"/>
  <c r="J892" i="4" s="1"/>
  <c r="K891" i="4"/>
  <c r="H891" i="4"/>
  <c r="G891" i="4"/>
  <c r="J891" i="4" s="1"/>
  <c r="K890" i="4"/>
  <c r="H890" i="4"/>
  <c r="G890" i="4"/>
  <c r="J890" i="4" s="1"/>
  <c r="O889" i="4"/>
  <c r="M889" i="4"/>
  <c r="K889" i="4"/>
  <c r="L889" i="4" s="1"/>
  <c r="J889" i="4"/>
  <c r="H889" i="4"/>
  <c r="G889" i="4"/>
  <c r="Q888" i="4"/>
  <c r="N888" i="4"/>
  <c r="K888" i="4"/>
  <c r="J888" i="4"/>
  <c r="H888" i="4"/>
  <c r="G888" i="4"/>
  <c r="M887" i="4"/>
  <c r="K887" i="4"/>
  <c r="H887" i="4"/>
  <c r="G887" i="4"/>
  <c r="J887" i="4" s="1"/>
  <c r="K886" i="4"/>
  <c r="H886" i="4"/>
  <c r="G886" i="4"/>
  <c r="J886" i="4" s="1"/>
  <c r="K885" i="4"/>
  <c r="H885" i="4"/>
  <c r="G885" i="4"/>
  <c r="J885" i="4" s="1"/>
  <c r="O884" i="4"/>
  <c r="N884" i="4"/>
  <c r="M884" i="4"/>
  <c r="K884" i="4"/>
  <c r="J884" i="4"/>
  <c r="H884" i="4"/>
  <c r="G884" i="4"/>
  <c r="Q883" i="4"/>
  <c r="P883" i="4"/>
  <c r="K883" i="4"/>
  <c r="H883" i="4"/>
  <c r="G883" i="4"/>
  <c r="J883" i="4" s="1"/>
  <c r="M882" i="4"/>
  <c r="K882" i="4"/>
  <c r="H882" i="4"/>
  <c r="J882" i="4" s="1"/>
  <c r="G882" i="4"/>
  <c r="K881" i="4"/>
  <c r="H881" i="4"/>
  <c r="G881" i="4"/>
  <c r="K880" i="4"/>
  <c r="H880" i="4"/>
  <c r="J880" i="4" s="1"/>
  <c r="G880" i="4"/>
  <c r="Q879" i="4"/>
  <c r="M879" i="4"/>
  <c r="K879" i="4"/>
  <c r="H879" i="4"/>
  <c r="G879" i="4"/>
  <c r="J879" i="4" s="1"/>
  <c r="N879" i="4" s="1"/>
  <c r="Q878" i="4"/>
  <c r="K878" i="4"/>
  <c r="H878" i="4"/>
  <c r="J878" i="4" s="1"/>
  <c r="G878" i="4"/>
  <c r="Q877" i="4"/>
  <c r="O877" i="4"/>
  <c r="M877" i="4"/>
  <c r="K877" i="4"/>
  <c r="L877" i="4" s="1"/>
  <c r="H877" i="4"/>
  <c r="G877" i="4"/>
  <c r="J877" i="4" s="1"/>
  <c r="Q876" i="4"/>
  <c r="O876" i="4"/>
  <c r="N876" i="4"/>
  <c r="M876" i="4"/>
  <c r="K876" i="4"/>
  <c r="H876" i="4"/>
  <c r="J876" i="4" s="1"/>
  <c r="P876" i="4" s="1"/>
  <c r="G876" i="4"/>
  <c r="M875" i="4"/>
  <c r="K875" i="4"/>
  <c r="L875" i="4" s="1"/>
  <c r="H875" i="4"/>
  <c r="G875" i="4"/>
  <c r="J875" i="4" s="1"/>
  <c r="Q875" i="4" s="1"/>
  <c r="K874" i="4"/>
  <c r="J874" i="4"/>
  <c r="H874" i="4"/>
  <c r="G874" i="4"/>
  <c r="M873" i="4"/>
  <c r="K873" i="4"/>
  <c r="H873" i="4"/>
  <c r="G873" i="4"/>
  <c r="K872" i="4"/>
  <c r="H872" i="4"/>
  <c r="J872" i="4" s="1"/>
  <c r="P872" i="4" s="1"/>
  <c r="G872" i="4"/>
  <c r="K871" i="4"/>
  <c r="H871" i="4"/>
  <c r="G871" i="4"/>
  <c r="J871" i="4" s="1"/>
  <c r="P871" i="4" s="1"/>
  <c r="Q870" i="4"/>
  <c r="M870" i="4"/>
  <c r="K870" i="4"/>
  <c r="H870" i="4"/>
  <c r="J870" i="4" s="1"/>
  <c r="G870" i="4"/>
  <c r="Q869" i="4"/>
  <c r="O869" i="4"/>
  <c r="M869" i="4"/>
  <c r="K869" i="4"/>
  <c r="N869" i="4" s="1"/>
  <c r="H869" i="4"/>
  <c r="G869" i="4"/>
  <c r="J869" i="4" s="1"/>
  <c r="O868" i="4"/>
  <c r="N868" i="4"/>
  <c r="M868" i="4"/>
  <c r="K868" i="4"/>
  <c r="H868" i="4"/>
  <c r="J868" i="4" s="1"/>
  <c r="P868" i="4" s="1"/>
  <c r="G868" i="4"/>
  <c r="M867" i="4"/>
  <c r="K867" i="4"/>
  <c r="H867" i="4"/>
  <c r="G867" i="4"/>
  <c r="J867" i="4" s="1"/>
  <c r="Q867" i="4" s="1"/>
  <c r="M866" i="4"/>
  <c r="K866" i="4"/>
  <c r="J866" i="4"/>
  <c r="H866" i="4"/>
  <c r="G866" i="4"/>
  <c r="K865" i="4"/>
  <c r="H865" i="4"/>
  <c r="G865" i="4"/>
  <c r="M864" i="4"/>
  <c r="K864" i="4"/>
  <c r="H864" i="4"/>
  <c r="J864" i="4" s="1"/>
  <c r="P864" i="4" s="1"/>
  <c r="G864" i="4"/>
  <c r="K863" i="4"/>
  <c r="I863" i="4"/>
  <c r="H863" i="4"/>
  <c r="G863" i="4"/>
  <c r="J863" i="4" s="1"/>
  <c r="K862" i="4"/>
  <c r="I862" i="4"/>
  <c r="H862" i="4"/>
  <c r="J862" i="4" s="1"/>
  <c r="G862" i="4"/>
  <c r="K861" i="4"/>
  <c r="I861" i="4"/>
  <c r="H861" i="4"/>
  <c r="G861" i="4"/>
  <c r="J861" i="4" s="1"/>
  <c r="K860" i="4"/>
  <c r="I860" i="4"/>
  <c r="H860" i="4"/>
  <c r="J860" i="4" s="1"/>
  <c r="G860" i="4"/>
  <c r="K859" i="4"/>
  <c r="I859" i="4"/>
  <c r="H859" i="4"/>
  <c r="G859" i="4"/>
  <c r="K858" i="4"/>
  <c r="J858" i="4"/>
  <c r="I858" i="4"/>
  <c r="H858" i="4"/>
  <c r="G858" i="4"/>
  <c r="K857" i="4"/>
  <c r="I857" i="4"/>
  <c r="J857" i="4" s="1"/>
  <c r="H857" i="4"/>
  <c r="G857" i="4"/>
  <c r="K856" i="4"/>
  <c r="J856" i="4"/>
  <c r="I856" i="4"/>
  <c r="H856" i="4"/>
  <c r="G856" i="4"/>
  <c r="K855" i="4"/>
  <c r="I855" i="4"/>
  <c r="H855" i="4"/>
  <c r="G855" i="4"/>
  <c r="K854" i="4"/>
  <c r="J854" i="4"/>
  <c r="I854" i="4"/>
  <c r="H854" i="4"/>
  <c r="G854" i="4"/>
  <c r="M853" i="4"/>
  <c r="K853" i="4"/>
  <c r="L853" i="4" s="1"/>
  <c r="I853" i="4"/>
  <c r="H853" i="4"/>
  <c r="G853" i="4"/>
  <c r="J853" i="4" s="1"/>
  <c r="Q853" i="4" s="1"/>
  <c r="K852" i="4"/>
  <c r="I852" i="4"/>
  <c r="H852" i="4"/>
  <c r="J852" i="4" s="1"/>
  <c r="G852" i="4"/>
  <c r="Q851" i="4"/>
  <c r="M851" i="4"/>
  <c r="L851" i="4"/>
  <c r="K851" i="4"/>
  <c r="O851" i="4" s="1"/>
  <c r="I851" i="4"/>
  <c r="H851" i="4"/>
  <c r="G851" i="4"/>
  <c r="J851" i="4" s="1"/>
  <c r="K850" i="4"/>
  <c r="I850" i="4"/>
  <c r="H850" i="4"/>
  <c r="G850" i="4"/>
  <c r="J850" i="4" s="1"/>
  <c r="K849" i="4"/>
  <c r="I849" i="4"/>
  <c r="H849" i="4"/>
  <c r="G849" i="4"/>
  <c r="J849" i="4" s="1"/>
  <c r="M849" i="4" s="1"/>
  <c r="N848" i="4"/>
  <c r="M848" i="4"/>
  <c r="K848" i="4"/>
  <c r="J848" i="4"/>
  <c r="I848" i="4"/>
  <c r="H848" i="4"/>
  <c r="G848" i="4"/>
  <c r="K847" i="4"/>
  <c r="I847" i="4"/>
  <c r="H847" i="4"/>
  <c r="G847" i="4"/>
  <c r="N846" i="4"/>
  <c r="K846" i="4"/>
  <c r="J846" i="4"/>
  <c r="L846" i="4" s="1"/>
  <c r="P846" i="4" s="1"/>
  <c r="I846" i="4"/>
  <c r="H846" i="4"/>
  <c r="G846" i="4"/>
  <c r="Q845" i="4"/>
  <c r="O845" i="4"/>
  <c r="K845" i="4"/>
  <c r="L845" i="4" s="1"/>
  <c r="I845" i="4"/>
  <c r="H845" i="4"/>
  <c r="G845" i="4"/>
  <c r="J845" i="4" s="1"/>
  <c r="K844" i="4"/>
  <c r="I844" i="4"/>
  <c r="H844" i="4"/>
  <c r="J844" i="4" s="1"/>
  <c r="G844" i="4"/>
  <c r="Q843" i="4"/>
  <c r="K843" i="4"/>
  <c r="I843" i="4"/>
  <c r="H843" i="4"/>
  <c r="G843" i="4"/>
  <c r="J843" i="4" s="1"/>
  <c r="O843" i="4" s="1"/>
  <c r="K842" i="4"/>
  <c r="I842" i="4"/>
  <c r="H842" i="4"/>
  <c r="G842" i="4"/>
  <c r="J842" i="4" s="1"/>
  <c r="K841" i="4"/>
  <c r="I841" i="4"/>
  <c r="H841" i="4"/>
  <c r="G841" i="4"/>
  <c r="J841" i="4" s="1"/>
  <c r="K840" i="4"/>
  <c r="I840" i="4"/>
  <c r="H840" i="4"/>
  <c r="J840" i="4" s="1"/>
  <c r="G840" i="4"/>
  <c r="K839" i="4"/>
  <c r="I839" i="4"/>
  <c r="H839" i="4"/>
  <c r="G839" i="4"/>
  <c r="K838" i="4"/>
  <c r="I838" i="4"/>
  <c r="H838" i="4"/>
  <c r="J838" i="4" s="1"/>
  <c r="G838" i="4"/>
  <c r="K837" i="4"/>
  <c r="I837" i="4"/>
  <c r="H837" i="4"/>
  <c r="G837" i="4"/>
  <c r="K836" i="4"/>
  <c r="I836" i="4"/>
  <c r="J836" i="4" s="1"/>
  <c r="H836" i="4"/>
  <c r="G836" i="4"/>
  <c r="K835" i="4"/>
  <c r="L835" i="4" s="1"/>
  <c r="I835" i="4"/>
  <c r="H835" i="4"/>
  <c r="G835" i="4"/>
  <c r="J835" i="4" s="1"/>
  <c r="P835" i="4" s="1"/>
  <c r="K834" i="4"/>
  <c r="I834" i="4"/>
  <c r="H834" i="4"/>
  <c r="J834" i="4" s="1"/>
  <c r="G834" i="4"/>
  <c r="M833" i="4"/>
  <c r="K833" i="4"/>
  <c r="I833" i="4"/>
  <c r="H833" i="4"/>
  <c r="G833" i="4"/>
  <c r="J833" i="4" s="1"/>
  <c r="K832" i="4"/>
  <c r="I832" i="4"/>
  <c r="H832" i="4"/>
  <c r="J832" i="4" s="1"/>
  <c r="G832" i="4"/>
  <c r="K831" i="4"/>
  <c r="L831" i="4" s="1"/>
  <c r="I831" i="4"/>
  <c r="H831" i="4"/>
  <c r="G831" i="4"/>
  <c r="J831" i="4" s="1"/>
  <c r="Q831" i="4" s="1"/>
  <c r="K830" i="4"/>
  <c r="I830" i="4"/>
  <c r="H830" i="4"/>
  <c r="G830" i="4"/>
  <c r="K829" i="4"/>
  <c r="I829" i="4"/>
  <c r="J829" i="4" s="1"/>
  <c r="H829" i="4"/>
  <c r="G829" i="4"/>
  <c r="K828" i="4"/>
  <c r="I828" i="4"/>
  <c r="H828" i="4"/>
  <c r="J828" i="4" s="1"/>
  <c r="G828" i="4"/>
  <c r="K827" i="4"/>
  <c r="I827" i="4"/>
  <c r="H827" i="4"/>
  <c r="G827" i="4"/>
  <c r="O826" i="4"/>
  <c r="N826" i="4"/>
  <c r="K826" i="4"/>
  <c r="J826" i="4"/>
  <c r="I826" i="4"/>
  <c r="H826" i="4"/>
  <c r="G826" i="4"/>
  <c r="K825" i="4"/>
  <c r="I825" i="4"/>
  <c r="H825" i="4"/>
  <c r="G825" i="4"/>
  <c r="J825" i="4" s="1"/>
  <c r="K824" i="4"/>
  <c r="I824" i="4"/>
  <c r="H824" i="4"/>
  <c r="J824" i="4" s="1"/>
  <c r="Q824" i="4" s="1"/>
  <c r="G824" i="4"/>
  <c r="K823" i="4"/>
  <c r="I823" i="4"/>
  <c r="H823" i="4"/>
  <c r="G823" i="4"/>
  <c r="K822" i="4"/>
  <c r="L822" i="4" s="1"/>
  <c r="J822" i="4"/>
  <c r="I822" i="4"/>
  <c r="H822" i="4"/>
  <c r="G822" i="4"/>
  <c r="M821" i="4"/>
  <c r="K821" i="4"/>
  <c r="J821" i="4"/>
  <c r="H821" i="4"/>
  <c r="G821" i="4"/>
  <c r="M820" i="4"/>
  <c r="L820" i="4"/>
  <c r="K820" i="4"/>
  <c r="O820" i="4" s="1"/>
  <c r="H820" i="4"/>
  <c r="G820" i="4"/>
  <c r="J820" i="4" s="1"/>
  <c r="N820" i="4" s="1"/>
  <c r="M819" i="4"/>
  <c r="K819" i="4"/>
  <c r="J819" i="4"/>
  <c r="H819" i="4"/>
  <c r="G819" i="4"/>
  <c r="M818" i="4"/>
  <c r="L818" i="4"/>
  <c r="K818" i="4"/>
  <c r="O818" i="4" s="1"/>
  <c r="H818" i="4"/>
  <c r="G818" i="4"/>
  <c r="J818" i="4" s="1"/>
  <c r="N818" i="4" s="1"/>
  <c r="M817" i="4"/>
  <c r="K817" i="4"/>
  <c r="J817" i="4"/>
  <c r="H817" i="4"/>
  <c r="G817" i="4"/>
  <c r="M816" i="4"/>
  <c r="K816" i="4"/>
  <c r="O816" i="4" s="1"/>
  <c r="H816" i="4"/>
  <c r="G816" i="4"/>
  <c r="J816" i="4" s="1"/>
  <c r="L816" i="4" s="1"/>
  <c r="M815" i="4"/>
  <c r="K815" i="4"/>
  <c r="J815" i="4"/>
  <c r="H815" i="4"/>
  <c r="G815" i="4"/>
  <c r="M814" i="4"/>
  <c r="K814" i="4"/>
  <c r="H814" i="4"/>
  <c r="G814" i="4"/>
  <c r="J814" i="4" s="1"/>
  <c r="M813" i="4"/>
  <c r="K813" i="4"/>
  <c r="J813" i="4"/>
  <c r="H813" i="4"/>
  <c r="G813" i="4"/>
  <c r="M812" i="4"/>
  <c r="K812" i="4"/>
  <c r="H812" i="4"/>
  <c r="G812" i="4"/>
  <c r="J812" i="4" s="1"/>
  <c r="M811" i="4"/>
  <c r="K811" i="4"/>
  <c r="J811" i="4"/>
  <c r="H811" i="4"/>
  <c r="G811" i="4"/>
  <c r="M810" i="4"/>
  <c r="K810" i="4"/>
  <c r="O810" i="4" s="1"/>
  <c r="H810" i="4"/>
  <c r="G810" i="4"/>
  <c r="J810" i="4" s="1"/>
  <c r="L810" i="4" s="1"/>
  <c r="M809" i="4"/>
  <c r="K809" i="4"/>
  <c r="J809" i="4"/>
  <c r="P809" i="4" s="1"/>
  <c r="H809" i="4"/>
  <c r="G809" i="4"/>
  <c r="M808" i="4"/>
  <c r="K808" i="4"/>
  <c r="O808" i="4" s="1"/>
  <c r="H808" i="4"/>
  <c r="G808" i="4"/>
  <c r="J808" i="4" s="1"/>
  <c r="K807" i="4"/>
  <c r="J807" i="4"/>
  <c r="H807" i="4"/>
  <c r="G807" i="4"/>
  <c r="M806" i="4"/>
  <c r="K806" i="4"/>
  <c r="O806" i="4" s="1"/>
  <c r="H806" i="4"/>
  <c r="G806" i="4"/>
  <c r="J806" i="4" s="1"/>
  <c r="M805" i="4"/>
  <c r="K805" i="4"/>
  <c r="J805" i="4"/>
  <c r="N805" i="4" s="1"/>
  <c r="H805" i="4"/>
  <c r="G805" i="4"/>
  <c r="M804" i="4"/>
  <c r="K804" i="4"/>
  <c r="N804" i="4" s="1"/>
  <c r="H804" i="4"/>
  <c r="G804" i="4"/>
  <c r="J804" i="4" s="1"/>
  <c r="O804" i="4" s="1"/>
  <c r="K803" i="4"/>
  <c r="J803" i="4"/>
  <c r="H803" i="4"/>
  <c r="G803" i="4"/>
  <c r="P802" i="4"/>
  <c r="O802" i="4"/>
  <c r="M802" i="4"/>
  <c r="L802" i="4"/>
  <c r="K802" i="4"/>
  <c r="H802" i="4"/>
  <c r="G802" i="4"/>
  <c r="J802" i="4" s="1"/>
  <c r="K801" i="4"/>
  <c r="L801" i="4" s="1"/>
  <c r="J801" i="4"/>
  <c r="H801" i="4"/>
  <c r="G801" i="4"/>
  <c r="M800" i="4"/>
  <c r="K800" i="4"/>
  <c r="N800" i="4" s="1"/>
  <c r="H800" i="4"/>
  <c r="G800" i="4"/>
  <c r="J800" i="4" s="1"/>
  <c r="Q800" i="4" s="1"/>
  <c r="O799" i="4"/>
  <c r="M799" i="4"/>
  <c r="K799" i="4"/>
  <c r="L799" i="4" s="1"/>
  <c r="J799" i="4"/>
  <c r="N799" i="4" s="1"/>
  <c r="H799" i="4"/>
  <c r="G799" i="4"/>
  <c r="O798" i="4"/>
  <c r="K798" i="4"/>
  <c r="H798" i="4"/>
  <c r="G798" i="4"/>
  <c r="J798" i="4" s="1"/>
  <c r="Q798" i="4" s="1"/>
  <c r="M797" i="4"/>
  <c r="K797" i="4"/>
  <c r="J797" i="4"/>
  <c r="O797" i="4" s="1"/>
  <c r="H797" i="4"/>
  <c r="G797" i="4"/>
  <c r="P796" i="4"/>
  <c r="O796" i="4"/>
  <c r="L796" i="4"/>
  <c r="K796" i="4"/>
  <c r="H796" i="4"/>
  <c r="G796" i="4"/>
  <c r="J796" i="4" s="1"/>
  <c r="Q796" i="4" s="1"/>
  <c r="K795" i="4"/>
  <c r="J795" i="4"/>
  <c r="H795" i="4"/>
  <c r="G795" i="4"/>
  <c r="P794" i="4"/>
  <c r="O794" i="4"/>
  <c r="M794" i="4"/>
  <c r="L794" i="4"/>
  <c r="K794" i="4"/>
  <c r="H794" i="4"/>
  <c r="G794" i="4"/>
  <c r="J794" i="4" s="1"/>
  <c r="K793" i="4"/>
  <c r="L793" i="4" s="1"/>
  <c r="J793" i="4"/>
  <c r="H793" i="4"/>
  <c r="G793" i="4"/>
  <c r="M792" i="4"/>
  <c r="K792" i="4"/>
  <c r="O792" i="4" s="1"/>
  <c r="H792" i="4"/>
  <c r="G792" i="4"/>
  <c r="J792" i="4" s="1"/>
  <c r="P792" i="4" s="1"/>
  <c r="O791" i="4"/>
  <c r="M791" i="4"/>
  <c r="K791" i="4"/>
  <c r="L791" i="4" s="1"/>
  <c r="J791" i="4"/>
  <c r="H791" i="4"/>
  <c r="G791" i="4"/>
  <c r="O790" i="4"/>
  <c r="K790" i="4"/>
  <c r="H790" i="4"/>
  <c r="G790" i="4"/>
  <c r="J790" i="4" s="1"/>
  <c r="Q790" i="4" s="1"/>
  <c r="M789" i="4"/>
  <c r="K789" i="4"/>
  <c r="J789" i="4"/>
  <c r="O789" i="4" s="1"/>
  <c r="H789" i="4"/>
  <c r="G789" i="4"/>
  <c r="P788" i="4"/>
  <c r="O788" i="4"/>
  <c r="M788" i="4"/>
  <c r="L788" i="4"/>
  <c r="K788" i="4"/>
  <c r="H788" i="4"/>
  <c r="G788" i="4"/>
  <c r="J788" i="4" s="1"/>
  <c r="K787" i="4"/>
  <c r="J787" i="4"/>
  <c r="H787" i="4"/>
  <c r="G787" i="4"/>
  <c r="P786" i="4"/>
  <c r="M786" i="4"/>
  <c r="L786" i="4"/>
  <c r="K786" i="4"/>
  <c r="O786" i="4" s="1"/>
  <c r="H786" i="4"/>
  <c r="G786" i="4"/>
  <c r="J786" i="4" s="1"/>
  <c r="K785" i="4"/>
  <c r="L785" i="4" s="1"/>
  <c r="J785" i="4"/>
  <c r="H785" i="4"/>
  <c r="G785" i="4"/>
  <c r="M784" i="4"/>
  <c r="K784" i="4"/>
  <c r="O784" i="4" s="1"/>
  <c r="H784" i="4"/>
  <c r="G784" i="4"/>
  <c r="J784" i="4" s="1"/>
  <c r="P784" i="4" s="1"/>
  <c r="O783" i="4"/>
  <c r="M783" i="4"/>
  <c r="K783" i="4"/>
  <c r="L783" i="4" s="1"/>
  <c r="J783" i="4"/>
  <c r="H783" i="4"/>
  <c r="G783" i="4"/>
  <c r="O782" i="4"/>
  <c r="K782" i="4"/>
  <c r="H782" i="4"/>
  <c r="G782" i="4"/>
  <c r="J782" i="4" s="1"/>
  <c r="Q782" i="4" s="1"/>
  <c r="M781" i="4"/>
  <c r="K781" i="4"/>
  <c r="J781" i="4"/>
  <c r="O781" i="4" s="1"/>
  <c r="H781" i="4"/>
  <c r="G781" i="4"/>
  <c r="P780" i="4"/>
  <c r="O780" i="4"/>
  <c r="L780" i="4"/>
  <c r="K780" i="4"/>
  <c r="H780" i="4"/>
  <c r="G780" i="4"/>
  <c r="J780" i="4" s="1"/>
  <c r="Q780" i="4" s="1"/>
  <c r="M779" i="4"/>
  <c r="K779" i="4"/>
  <c r="J779" i="4"/>
  <c r="H779" i="4"/>
  <c r="G779" i="4"/>
  <c r="P778" i="4"/>
  <c r="M778" i="4"/>
  <c r="L778" i="4"/>
  <c r="K778" i="4"/>
  <c r="N778" i="4" s="1"/>
  <c r="H778" i="4"/>
  <c r="G778" i="4"/>
  <c r="J778" i="4" s="1"/>
  <c r="Q778" i="4" s="1"/>
  <c r="M777" i="4"/>
  <c r="K777" i="4"/>
  <c r="L777" i="4" s="1"/>
  <c r="J777" i="4"/>
  <c r="H777" i="4"/>
  <c r="G777" i="4"/>
  <c r="M776" i="4"/>
  <c r="K776" i="4"/>
  <c r="N776" i="4" s="1"/>
  <c r="H776" i="4"/>
  <c r="G776" i="4"/>
  <c r="J776" i="4" s="1"/>
  <c r="Q776" i="4" s="1"/>
  <c r="M775" i="4"/>
  <c r="K775" i="4"/>
  <c r="H775" i="4"/>
  <c r="G775" i="4"/>
  <c r="K774" i="4"/>
  <c r="I774" i="4"/>
  <c r="H774" i="4"/>
  <c r="G774" i="4"/>
  <c r="Q773" i="4"/>
  <c r="K773" i="4"/>
  <c r="J773" i="4"/>
  <c r="I773" i="4"/>
  <c r="H773" i="4"/>
  <c r="G773" i="4"/>
  <c r="K772" i="4"/>
  <c r="I772" i="4"/>
  <c r="H772" i="4"/>
  <c r="G772" i="4"/>
  <c r="K771" i="4"/>
  <c r="J771" i="4"/>
  <c r="I771" i="4"/>
  <c r="H771" i="4"/>
  <c r="G771" i="4"/>
  <c r="K770" i="4"/>
  <c r="I770" i="4"/>
  <c r="H770" i="4"/>
  <c r="G770" i="4"/>
  <c r="J770" i="4" s="1"/>
  <c r="M769" i="4"/>
  <c r="K769" i="4"/>
  <c r="I769" i="4"/>
  <c r="H769" i="4"/>
  <c r="G769" i="4"/>
  <c r="J769" i="4" s="1"/>
  <c r="K768" i="4"/>
  <c r="I768" i="4"/>
  <c r="H768" i="4"/>
  <c r="G768" i="4"/>
  <c r="J768" i="4" s="1"/>
  <c r="P767" i="4"/>
  <c r="K767" i="4"/>
  <c r="J767" i="4"/>
  <c r="N767" i="4" s="1"/>
  <c r="I767" i="4"/>
  <c r="H767" i="4"/>
  <c r="G767" i="4"/>
  <c r="K766" i="4"/>
  <c r="I766" i="4"/>
  <c r="H766" i="4"/>
  <c r="G766" i="4"/>
  <c r="K765" i="4"/>
  <c r="I765" i="4"/>
  <c r="J765" i="4" s="1"/>
  <c r="H765" i="4"/>
  <c r="G765" i="4"/>
  <c r="M764" i="4"/>
  <c r="K764" i="4"/>
  <c r="I764" i="4"/>
  <c r="H764" i="4"/>
  <c r="G764" i="4"/>
  <c r="J764" i="4" s="1"/>
  <c r="O764" i="4" s="1"/>
  <c r="K763" i="4"/>
  <c r="I763" i="4"/>
  <c r="H763" i="4"/>
  <c r="G763" i="4"/>
  <c r="J763" i="4" s="1"/>
  <c r="M762" i="4"/>
  <c r="K762" i="4"/>
  <c r="I762" i="4"/>
  <c r="H762" i="4"/>
  <c r="G762" i="4"/>
  <c r="J762" i="4" s="1"/>
  <c r="O761" i="4"/>
  <c r="K761" i="4"/>
  <c r="I761" i="4"/>
  <c r="H761" i="4"/>
  <c r="G761" i="4"/>
  <c r="J761" i="4" s="1"/>
  <c r="K760" i="4"/>
  <c r="I760" i="4"/>
  <c r="H760" i="4"/>
  <c r="J760" i="4" s="1"/>
  <c r="G760" i="4"/>
  <c r="P759" i="4"/>
  <c r="L759" i="4"/>
  <c r="K759" i="4"/>
  <c r="N759" i="4" s="1"/>
  <c r="J759" i="4"/>
  <c r="I759" i="4"/>
  <c r="H759" i="4"/>
  <c r="G759" i="4"/>
  <c r="K758" i="4"/>
  <c r="I758" i="4"/>
  <c r="H758" i="4"/>
  <c r="G758" i="4"/>
  <c r="K757" i="4"/>
  <c r="L757" i="4" s="1"/>
  <c r="I757" i="4"/>
  <c r="H757" i="4"/>
  <c r="J757" i="4" s="1"/>
  <c r="G757" i="4"/>
  <c r="M756" i="4"/>
  <c r="K756" i="4"/>
  <c r="L756" i="4" s="1"/>
  <c r="I756" i="4"/>
  <c r="H756" i="4"/>
  <c r="G756" i="4"/>
  <c r="J756" i="4" s="1"/>
  <c r="O756" i="4" s="1"/>
  <c r="K755" i="4"/>
  <c r="I755" i="4"/>
  <c r="H755" i="4"/>
  <c r="G755" i="4"/>
  <c r="J755" i="4" s="1"/>
  <c r="K754" i="4"/>
  <c r="I754" i="4"/>
  <c r="H754" i="4"/>
  <c r="G754" i="4"/>
  <c r="J754" i="4" s="1"/>
  <c r="Q754" i="4" s="1"/>
  <c r="K753" i="4"/>
  <c r="I753" i="4"/>
  <c r="H753" i="4"/>
  <c r="G753" i="4"/>
  <c r="J753" i="4" s="1"/>
  <c r="K752" i="4"/>
  <c r="J752" i="4"/>
  <c r="I752" i="4"/>
  <c r="H752" i="4"/>
  <c r="G752" i="4"/>
  <c r="K751" i="4"/>
  <c r="L751" i="4" s="1"/>
  <c r="I751" i="4"/>
  <c r="H751" i="4"/>
  <c r="J751" i="4" s="1"/>
  <c r="G751" i="4"/>
  <c r="N750" i="4"/>
  <c r="K750" i="4"/>
  <c r="I750" i="4"/>
  <c r="H750" i="4"/>
  <c r="G750" i="4"/>
  <c r="J750" i="4" s="1"/>
  <c r="Q750" i="4" s="1"/>
  <c r="N749" i="4"/>
  <c r="K749" i="4"/>
  <c r="I749" i="4"/>
  <c r="H749" i="4"/>
  <c r="J749" i="4" s="1"/>
  <c r="G749" i="4"/>
  <c r="K748" i="4"/>
  <c r="I748" i="4"/>
  <c r="H748" i="4"/>
  <c r="G748" i="4"/>
  <c r="Q747" i="4"/>
  <c r="K747" i="4"/>
  <c r="I747" i="4"/>
  <c r="H747" i="4"/>
  <c r="J747" i="4" s="1"/>
  <c r="G747" i="4"/>
  <c r="K746" i="4"/>
  <c r="I746" i="4"/>
  <c r="H746" i="4"/>
  <c r="G746" i="4"/>
  <c r="K745" i="4"/>
  <c r="I745" i="4"/>
  <c r="H745" i="4"/>
  <c r="G745" i="4"/>
  <c r="J745" i="4" s="1"/>
  <c r="M744" i="4"/>
  <c r="K744" i="4"/>
  <c r="I744" i="4"/>
  <c r="H744" i="4"/>
  <c r="G744" i="4"/>
  <c r="J744" i="4" s="1"/>
  <c r="K743" i="4"/>
  <c r="I743" i="4"/>
  <c r="H743" i="4"/>
  <c r="J743" i="4" s="1"/>
  <c r="G743" i="4"/>
  <c r="K742" i="4"/>
  <c r="I742" i="4"/>
  <c r="H742" i="4"/>
  <c r="G742" i="4"/>
  <c r="Q741" i="4"/>
  <c r="K741" i="4"/>
  <c r="J741" i="4"/>
  <c r="I741" i="4"/>
  <c r="H741" i="4"/>
  <c r="G741" i="4"/>
  <c r="K740" i="4"/>
  <c r="I740" i="4"/>
  <c r="H740" i="4"/>
  <c r="G740" i="4"/>
  <c r="K739" i="4"/>
  <c r="J739" i="4"/>
  <c r="I739" i="4"/>
  <c r="H739" i="4"/>
  <c r="G739" i="4"/>
  <c r="K738" i="4"/>
  <c r="I738" i="4"/>
  <c r="H738" i="4"/>
  <c r="G738" i="4"/>
  <c r="J738" i="4" s="1"/>
  <c r="K737" i="4"/>
  <c r="I737" i="4"/>
  <c r="H737" i="4"/>
  <c r="G737" i="4"/>
  <c r="J737" i="4" s="1"/>
  <c r="M737" i="4" s="1"/>
  <c r="K736" i="4"/>
  <c r="I736" i="4"/>
  <c r="H736" i="4"/>
  <c r="G736" i="4"/>
  <c r="J736" i="4" s="1"/>
  <c r="K735" i="4"/>
  <c r="J735" i="4"/>
  <c r="N735" i="4" s="1"/>
  <c r="I735" i="4"/>
  <c r="H735" i="4"/>
  <c r="G735" i="4"/>
  <c r="K734" i="4"/>
  <c r="I734" i="4"/>
  <c r="H734" i="4"/>
  <c r="G734" i="4"/>
  <c r="K733" i="4"/>
  <c r="I733" i="4"/>
  <c r="J733" i="4" s="1"/>
  <c r="H733" i="4"/>
  <c r="G733" i="4"/>
  <c r="M732" i="4"/>
  <c r="K732" i="4"/>
  <c r="H732" i="4"/>
  <c r="G732" i="4"/>
  <c r="J732" i="4" s="1"/>
  <c r="Q732" i="4" s="1"/>
  <c r="M731" i="4"/>
  <c r="K731" i="4"/>
  <c r="H731" i="4"/>
  <c r="G731" i="4"/>
  <c r="J731" i="4" s="1"/>
  <c r="Q731" i="4" s="1"/>
  <c r="M730" i="4"/>
  <c r="K730" i="4"/>
  <c r="J730" i="4"/>
  <c r="H730" i="4"/>
  <c r="G730" i="4"/>
  <c r="M729" i="4"/>
  <c r="K729" i="4"/>
  <c r="O729" i="4" s="1"/>
  <c r="J729" i="4"/>
  <c r="H729" i="4"/>
  <c r="G729" i="4"/>
  <c r="K728" i="4"/>
  <c r="H728" i="4"/>
  <c r="G728" i="4"/>
  <c r="J728" i="4" s="1"/>
  <c r="Q728" i="4" s="1"/>
  <c r="M727" i="4"/>
  <c r="K727" i="4"/>
  <c r="H727" i="4"/>
  <c r="G727" i="4"/>
  <c r="J727" i="4" s="1"/>
  <c r="Q727" i="4" s="1"/>
  <c r="K726" i="4"/>
  <c r="J726" i="4"/>
  <c r="H726" i="4"/>
  <c r="G726" i="4"/>
  <c r="M725" i="4"/>
  <c r="K725" i="4"/>
  <c r="O725" i="4" s="1"/>
  <c r="J725" i="4"/>
  <c r="H725" i="4"/>
  <c r="G725" i="4"/>
  <c r="M724" i="4"/>
  <c r="K724" i="4"/>
  <c r="H724" i="4"/>
  <c r="G724" i="4"/>
  <c r="J724" i="4" s="1"/>
  <c r="Q724" i="4" s="1"/>
  <c r="K723" i="4"/>
  <c r="H723" i="4"/>
  <c r="G723" i="4"/>
  <c r="J723" i="4" s="1"/>
  <c r="Q723" i="4" s="1"/>
  <c r="K722" i="4"/>
  <c r="J722" i="4"/>
  <c r="H722" i="4"/>
  <c r="G722" i="4"/>
  <c r="M721" i="4"/>
  <c r="K721" i="4"/>
  <c r="O721" i="4" s="1"/>
  <c r="J721" i="4"/>
  <c r="H721" i="4"/>
  <c r="G721" i="4"/>
  <c r="K720" i="4"/>
  <c r="H720" i="4"/>
  <c r="G720" i="4"/>
  <c r="J720" i="4" s="1"/>
  <c r="Q720" i="4" s="1"/>
  <c r="M719" i="4"/>
  <c r="K719" i="4"/>
  <c r="H719" i="4"/>
  <c r="G719" i="4"/>
  <c r="J719" i="4" s="1"/>
  <c r="Q719" i="4" s="1"/>
  <c r="K718" i="4"/>
  <c r="J718" i="4"/>
  <c r="H718" i="4"/>
  <c r="G718" i="4"/>
  <c r="M717" i="4"/>
  <c r="K717" i="4"/>
  <c r="O717" i="4" s="1"/>
  <c r="J717" i="4"/>
  <c r="H717" i="4"/>
  <c r="G717" i="4"/>
  <c r="K716" i="4"/>
  <c r="H716" i="4"/>
  <c r="G716" i="4"/>
  <c r="J716" i="4" s="1"/>
  <c r="Q716" i="4" s="1"/>
  <c r="M715" i="4"/>
  <c r="K715" i="4"/>
  <c r="H715" i="4"/>
  <c r="G715" i="4"/>
  <c r="J715" i="4" s="1"/>
  <c r="Q715" i="4" s="1"/>
  <c r="K714" i="4"/>
  <c r="J714" i="4"/>
  <c r="H714" i="4"/>
  <c r="G714" i="4"/>
  <c r="M713" i="4"/>
  <c r="K713" i="4"/>
  <c r="O713" i="4" s="1"/>
  <c r="J713" i="4"/>
  <c r="H713" i="4"/>
  <c r="G713" i="4"/>
  <c r="K712" i="4"/>
  <c r="H712" i="4"/>
  <c r="G712" i="4"/>
  <c r="J712" i="4" s="1"/>
  <c r="Q712" i="4" s="1"/>
  <c r="M711" i="4"/>
  <c r="K711" i="4"/>
  <c r="H711" i="4"/>
  <c r="G711" i="4"/>
  <c r="J711" i="4" s="1"/>
  <c r="Q711" i="4" s="1"/>
  <c r="K710" i="4"/>
  <c r="J710" i="4"/>
  <c r="H710" i="4"/>
  <c r="G710" i="4"/>
  <c r="M709" i="4"/>
  <c r="K709" i="4"/>
  <c r="O709" i="4" s="1"/>
  <c r="J709" i="4"/>
  <c r="H709" i="4"/>
  <c r="G709" i="4"/>
  <c r="K708" i="4"/>
  <c r="H708" i="4"/>
  <c r="G708" i="4"/>
  <c r="J708" i="4" s="1"/>
  <c r="Q708" i="4" s="1"/>
  <c r="K707" i="4"/>
  <c r="H707" i="4"/>
  <c r="G707" i="4"/>
  <c r="J707" i="4" s="1"/>
  <c r="Q707" i="4" s="1"/>
  <c r="M706" i="4"/>
  <c r="K706" i="4"/>
  <c r="J706" i="4"/>
  <c r="H706" i="4"/>
  <c r="G706" i="4"/>
  <c r="K705" i="4"/>
  <c r="J705" i="4"/>
  <c r="H705" i="4"/>
  <c r="G705" i="4"/>
  <c r="M704" i="4"/>
  <c r="K704" i="4"/>
  <c r="H704" i="4"/>
  <c r="G704" i="4"/>
  <c r="J704" i="4" s="1"/>
  <c r="Q704" i="4" s="1"/>
  <c r="O703" i="4"/>
  <c r="L703" i="4"/>
  <c r="K703" i="4"/>
  <c r="J703" i="4"/>
  <c r="Q703" i="4" s="1"/>
  <c r="H703" i="4"/>
  <c r="G703" i="4"/>
  <c r="K702" i="4"/>
  <c r="H702" i="4"/>
  <c r="G702" i="4"/>
  <c r="J702" i="4" s="1"/>
  <c r="P701" i="4"/>
  <c r="M701" i="4"/>
  <c r="K701" i="4"/>
  <c r="L701" i="4" s="1"/>
  <c r="H701" i="4"/>
  <c r="G701" i="4"/>
  <c r="J701" i="4" s="1"/>
  <c r="K700" i="4"/>
  <c r="J700" i="4"/>
  <c r="H700" i="4"/>
  <c r="G700" i="4"/>
  <c r="O699" i="4"/>
  <c r="M699" i="4"/>
  <c r="L699" i="4"/>
  <c r="K699" i="4"/>
  <c r="J699" i="4"/>
  <c r="Q699" i="4" s="1"/>
  <c r="H699" i="4"/>
  <c r="G699" i="4"/>
  <c r="N698" i="4"/>
  <c r="M698" i="4"/>
  <c r="K698" i="4"/>
  <c r="H698" i="4"/>
  <c r="G698" i="4"/>
  <c r="J698" i="4" s="1"/>
  <c r="K697" i="4"/>
  <c r="H697" i="4"/>
  <c r="G697" i="4"/>
  <c r="J697" i="4" s="1"/>
  <c r="M696" i="4"/>
  <c r="K696" i="4"/>
  <c r="O696" i="4" s="1"/>
  <c r="J696" i="4"/>
  <c r="H696" i="4"/>
  <c r="G696" i="4"/>
  <c r="O695" i="4"/>
  <c r="L695" i="4"/>
  <c r="K695" i="4"/>
  <c r="J695" i="4"/>
  <c r="Q695" i="4" s="1"/>
  <c r="H695" i="4"/>
  <c r="G695" i="4"/>
  <c r="M694" i="4"/>
  <c r="K694" i="4"/>
  <c r="H694" i="4"/>
  <c r="G694" i="4"/>
  <c r="J694" i="4" s="1"/>
  <c r="K693" i="4"/>
  <c r="N693" i="4" s="1"/>
  <c r="H693" i="4"/>
  <c r="G693" i="4"/>
  <c r="J693" i="4" s="1"/>
  <c r="P693" i="4" s="1"/>
  <c r="M692" i="4"/>
  <c r="K692" i="4"/>
  <c r="J692" i="4"/>
  <c r="H692" i="4"/>
  <c r="G692" i="4"/>
  <c r="O691" i="4"/>
  <c r="L691" i="4"/>
  <c r="K691" i="4"/>
  <c r="J691" i="4"/>
  <c r="Q691" i="4" s="1"/>
  <c r="H691" i="4"/>
  <c r="G691" i="4"/>
  <c r="N690" i="4"/>
  <c r="M690" i="4"/>
  <c r="K690" i="4"/>
  <c r="H690" i="4"/>
  <c r="G690" i="4"/>
  <c r="J690" i="4" s="1"/>
  <c r="K689" i="4"/>
  <c r="H689" i="4"/>
  <c r="G689" i="4"/>
  <c r="J689" i="4" s="1"/>
  <c r="M688" i="4"/>
  <c r="K688" i="4"/>
  <c r="O688" i="4" s="1"/>
  <c r="J688" i="4"/>
  <c r="H688" i="4"/>
  <c r="G688" i="4"/>
  <c r="O687" i="4"/>
  <c r="L687" i="4"/>
  <c r="K687" i="4"/>
  <c r="J687" i="4"/>
  <c r="Q687" i="4" s="1"/>
  <c r="H687" i="4"/>
  <c r="G687" i="4"/>
  <c r="M686" i="4"/>
  <c r="K686" i="4"/>
  <c r="H686" i="4"/>
  <c r="G686" i="4"/>
  <c r="J686" i="4" s="1"/>
  <c r="K685" i="4"/>
  <c r="I685" i="4"/>
  <c r="H685" i="4"/>
  <c r="J685" i="4" s="1"/>
  <c r="P685" i="4" s="1"/>
  <c r="G685" i="4"/>
  <c r="K684" i="4"/>
  <c r="L684" i="4" s="1"/>
  <c r="I684" i="4"/>
  <c r="H684" i="4"/>
  <c r="G684" i="4"/>
  <c r="J684" i="4" s="1"/>
  <c r="N683" i="4"/>
  <c r="K683" i="4"/>
  <c r="I683" i="4"/>
  <c r="H683" i="4"/>
  <c r="G683" i="4"/>
  <c r="J683" i="4" s="1"/>
  <c r="Q682" i="4"/>
  <c r="K682" i="4"/>
  <c r="I682" i="4"/>
  <c r="H682" i="4"/>
  <c r="G682" i="4"/>
  <c r="J682" i="4" s="1"/>
  <c r="K681" i="4"/>
  <c r="I681" i="4"/>
  <c r="H681" i="4"/>
  <c r="G681" i="4"/>
  <c r="J681" i="4" s="1"/>
  <c r="O680" i="4"/>
  <c r="K680" i="4"/>
  <c r="I680" i="4"/>
  <c r="H680" i="4"/>
  <c r="G680" i="4"/>
  <c r="J680" i="4" s="1"/>
  <c r="K679" i="4"/>
  <c r="J679" i="4"/>
  <c r="I679" i="4"/>
  <c r="H679" i="4"/>
  <c r="G679" i="4"/>
  <c r="K678" i="4"/>
  <c r="I678" i="4"/>
  <c r="H678" i="4"/>
  <c r="G678" i="4"/>
  <c r="J678" i="4" s="1"/>
  <c r="P677" i="4"/>
  <c r="K677" i="4"/>
  <c r="I677" i="4"/>
  <c r="H677" i="4"/>
  <c r="J677" i="4" s="1"/>
  <c r="G677" i="4"/>
  <c r="K676" i="4"/>
  <c r="I676" i="4"/>
  <c r="H676" i="4"/>
  <c r="G676" i="4"/>
  <c r="J676" i="4" s="1"/>
  <c r="N675" i="4"/>
  <c r="K675" i="4"/>
  <c r="I675" i="4"/>
  <c r="H675" i="4"/>
  <c r="G675" i="4"/>
  <c r="J675" i="4" s="1"/>
  <c r="K674" i="4"/>
  <c r="I674" i="4"/>
  <c r="H674" i="4"/>
  <c r="G674" i="4"/>
  <c r="K673" i="4"/>
  <c r="I673" i="4"/>
  <c r="H673" i="4"/>
  <c r="G673" i="4"/>
  <c r="J673" i="4" s="1"/>
  <c r="O672" i="4"/>
  <c r="K672" i="4"/>
  <c r="I672" i="4"/>
  <c r="H672" i="4"/>
  <c r="G672" i="4"/>
  <c r="J672" i="4" s="1"/>
  <c r="K671" i="4"/>
  <c r="J671" i="4"/>
  <c r="I671" i="4"/>
  <c r="H671" i="4"/>
  <c r="G671" i="4"/>
  <c r="M670" i="4"/>
  <c r="K670" i="4"/>
  <c r="I670" i="4"/>
  <c r="H670" i="4"/>
  <c r="G670" i="4"/>
  <c r="J670" i="4" s="1"/>
  <c r="P669" i="4"/>
  <c r="K669" i="4"/>
  <c r="L669" i="4" s="1"/>
  <c r="I669" i="4"/>
  <c r="H669" i="4"/>
  <c r="J669" i="4" s="1"/>
  <c r="G669" i="4"/>
  <c r="K668" i="4"/>
  <c r="I668" i="4"/>
  <c r="H668" i="4"/>
  <c r="G668" i="4"/>
  <c r="J668" i="4" s="1"/>
  <c r="N667" i="4"/>
  <c r="K667" i="4"/>
  <c r="I667" i="4"/>
  <c r="H667" i="4"/>
  <c r="G667" i="4"/>
  <c r="J667" i="4" s="1"/>
  <c r="K666" i="4"/>
  <c r="I666" i="4"/>
  <c r="H666" i="4"/>
  <c r="G666" i="4"/>
  <c r="L665" i="4"/>
  <c r="K665" i="4"/>
  <c r="I665" i="4"/>
  <c r="H665" i="4"/>
  <c r="G665" i="4"/>
  <c r="J665" i="4" s="1"/>
  <c r="O664" i="4"/>
  <c r="K664" i="4"/>
  <c r="I664" i="4"/>
  <c r="H664" i="4"/>
  <c r="G664" i="4"/>
  <c r="J664" i="4" s="1"/>
  <c r="M663" i="4"/>
  <c r="K663" i="4"/>
  <c r="J663" i="4"/>
  <c r="I663" i="4"/>
  <c r="H663" i="4"/>
  <c r="G663" i="4"/>
  <c r="K662" i="4"/>
  <c r="I662" i="4"/>
  <c r="H662" i="4"/>
  <c r="G662" i="4"/>
  <c r="J662" i="4" s="1"/>
  <c r="K661" i="4"/>
  <c r="I661" i="4"/>
  <c r="H661" i="4"/>
  <c r="J661" i="4" s="1"/>
  <c r="G661" i="4"/>
  <c r="K660" i="4"/>
  <c r="L660" i="4" s="1"/>
  <c r="I660" i="4"/>
  <c r="H660" i="4"/>
  <c r="G660" i="4"/>
  <c r="J660" i="4" s="1"/>
  <c r="K659" i="4"/>
  <c r="I659" i="4"/>
  <c r="H659" i="4"/>
  <c r="G659" i="4"/>
  <c r="J659" i="4" s="1"/>
  <c r="K658" i="4"/>
  <c r="I658" i="4"/>
  <c r="H658" i="4"/>
  <c r="G658" i="4"/>
  <c r="O657" i="4"/>
  <c r="L657" i="4"/>
  <c r="K657" i="4"/>
  <c r="I657" i="4"/>
  <c r="H657" i="4"/>
  <c r="G657" i="4"/>
  <c r="J657" i="4" s="1"/>
  <c r="O656" i="4"/>
  <c r="K656" i="4"/>
  <c r="J656" i="4"/>
  <c r="I656" i="4"/>
  <c r="H656" i="4"/>
  <c r="G656" i="4"/>
  <c r="K655" i="4"/>
  <c r="J655" i="4"/>
  <c r="I655" i="4"/>
  <c r="H655" i="4"/>
  <c r="G655" i="4"/>
  <c r="K654" i="4"/>
  <c r="I654" i="4"/>
  <c r="H654" i="4"/>
  <c r="G654" i="4"/>
  <c r="K653" i="4"/>
  <c r="I653" i="4"/>
  <c r="H653" i="4"/>
  <c r="J653" i="4" s="1"/>
  <c r="G653" i="4"/>
  <c r="K652" i="4"/>
  <c r="I652" i="4"/>
  <c r="H652" i="4"/>
  <c r="G652" i="4"/>
  <c r="J652" i="4" s="1"/>
  <c r="K651" i="4"/>
  <c r="I651" i="4"/>
  <c r="H651" i="4"/>
  <c r="G651" i="4"/>
  <c r="Q650" i="4"/>
  <c r="L650" i="4"/>
  <c r="K650" i="4"/>
  <c r="I650" i="4"/>
  <c r="H650" i="4"/>
  <c r="G650" i="4"/>
  <c r="J650" i="4" s="1"/>
  <c r="O649" i="4"/>
  <c r="K649" i="4"/>
  <c r="I649" i="4"/>
  <c r="H649" i="4"/>
  <c r="G649" i="4"/>
  <c r="J649" i="4" s="1"/>
  <c r="K648" i="4"/>
  <c r="I648" i="4"/>
  <c r="H648" i="4"/>
  <c r="G648" i="4"/>
  <c r="J648" i="4" s="1"/>
  <c r="M647" i="4"/>
  <c r="K647" i="4"/>
  <c r="J647" i="4"/>
  <c r="I647" i="4"/>
  <c r="H647" i="4"/>
  <c r="G647" i="4"/>
  <c r="K646" i="4"/>
  <c r="I646" i="4"/>
  <c r="H646" i="4"/>
  <c r="G646" i="4"/>
  <c r="K645" i="4"/>
  <c r="I645" i="4"/>
  <c r="H645" i="4"/>
  <c r="J645" i="4" s="1"/>
  <c r="G645" i="4"/>
  <c r="K644" i="4"/>
  <c r="L644" i="4" s="1"/>
  <c r="I644" i="4"/>
  <c r="H644" i="4"/>
  <c r="G644" i="4"/>
  <c r="J644" i="4" s="1"/>
  <c r="M643" i="4"/>
  <c r="K643" i="4"/>
  <c r="H643" i="4"/>
  <c r="G643" i="4"/>
  <c r="M642" i="4"/>
  <c r="K642" i="4"/>
  <c r="H642" i="4"/>
  <c r="G642" i="4"/>
  <c r="J642" i="4" s="1"/>
  <c r="M641" i="4"/>
  <c r="K641" i="4"/>
  <c r="J641" i="4"/>
  <c r="H641" i="4"/>
  <c r="G641" i="4"/>
  <c r="O640" i="4"/>
  <c r="M640" i="4"/>
  <c r="L640" i="4"/>
  <c r="K640" i="4"/>
  <c r="J640" i="4"/>
  <c r="Q640" i="4" s="1"/>
  <c r="H640" i="4"/>
  <c r="G640" i="4"/>
  <c r="K639" i="4"/>
  <c r="H639" i="4"/>
  <c r="G639" i="4"/>
  <c r="P638" i="4"/>
  <c r="M638" i="4"/>
  <c r="K638" i="4"/>
  <c r="H638" i="4"/>
  <c r="G638" i="4"/>
  <c r="J638" i="4" s="1"/>
  <c r="M637" i="4"/>
  <c r="K637" i="4"/>
  <c r="J637" i="4"/>
  <c r="H637" i="4"/>
  <c r="G637" i="4"/>
  <c r="O636" i="4"/>
  <c r="L636" i="4"/>
  <c r="K636" i="4"/>
  <c r="J636" i="4"/>
  <c r="Q636" i="4" s="1"/>
  <c r="H636" i="4"/>
  <c r="G636" i="4"/>
  <c r="M635" i="4"/>
  <c r="K635" i="4"/>
  <c r="H635" i="4"/>
  <c r="G635" i="4"/>
  <c r="J635" i="4" s="1"/>
  <c r="P634" i="4"/>
  <c r="K634" i="4"/>
  <c r="H634" i="4"/>
  <c r="G634" i="4"/>
  <c r="J634" i="4" s="1"/>
  <c r="M633" i="4"/>
  <c r="K633" i="4"/>
  <c r="J633" i="4"/>
  <c r="H633" i="4"/>
  <c r="G633" i="4"/>
  <c r="O632" i="4"/>
  <c r="M632" i="4"/>
  <c r="L632" i="4"/>
  <c r="K632" i="4"/>
  <c r="J632" i="4"/>
  <c r="Q632" i="4" s="1"/>
  <c r="H632" i="4"/>
  <c r="G632" i="4"/>
  <c r="Q631" i="4"/>
  <c r="K631" i="4"/>
  <c r="H631" i="4"/>
  <c r="G631" i="4"/>
  <c r="J631" i="4" s="1"/>
  <c r="N631" i="4" s="1"/>
  <c r="K630" i="4"/>
  <c r="H630" i="4"/>
  <c r="G630" i="4"/>
  <c r="J630" i="4" s="1"/>
  <c r="K629" i="4"/>
  <c r="N629" i="4" s="1"/>
  <c r="J629" i="4"/>
  <c r="M629" i="4" s="1"/>
  <c r="H629" i="4"/>
  <c r="G629" i="4"/>
  <c r="O628" i="4"/>
  <c r="L628" i="4"/>
  <c r="K628" i="4"/>
  <c r="J628" i="4"/>
  <c r="Q628" i="4" s="1"/>
  <c r="H628" i="4"/>
  <c r="G628" i="4"/>
  <c r="M627" i="4"/>
  <c r="K627" i="4"/>
  <c r="H627" i="4"/>
  <c r="G627" i="4"/>
  <c r="P626" i="4"/>
  <c r="K626" i="4"/>
  <c r="H626" i="4"/>
  <c r="G626" i="4"/>
  <c r="J626" i="4" s="1"/>
  <c r="K625" i="4"/>
  <c r="J625" i="4"/>
  <c r="H625" i="4"/>
  <c r="G625" i="4"/>
  <c r="M624" i="4"/>
  <c r="K624" i="4"/>
  <c r="J624" i="4"/>
  <c r="H624" i="4"/>
  <c r="G624" i="4"/>
  <c r="K623" i="4"/>
  <c r="H623" i="4"/>
  <c r="G623" i="4"/>
  <c r="J623" i="4" s="1"/>
  <c r="P622" i="4"/>
  <c r="K622" i="4"/>
  <c r="L622" i="4" s="1"/>
  <c r="H622" i="4"/>
  <c r="G622" i="4"/>
  <c r="J622" i="4" s="1"/>
  <c r="M621" i="4"/>
  <c r="K621" i="4"/>
  <c r="J621" i="4"/>
  <c r="H621" i="4"/>
  <c r="G621" i="4"/>
  <c r="L620" i="4"/>
  <c r="K620" i="4"/>
  <c r="J620" i="4"/>
  <c r="H620" i="4"/>
  <c r="G620" i="4"/>
  <c r="M619" i="4"/>
  <c r="K619" i="4"/>
  <c r="H619" i="4"/>
  <c r="G619" i="4"/>
  <c r="J619" i="4" s="1"/>
  <c r="P618" i="4"/>
  <c r="K618" i="4"/>
  <c r="L618" i="4" s="1"/>
  <c r="H618" i="4"/>
  <c r="G618" i="4"/>
  <c r="J618" i="4" s="1"/>
  <c r="K617" i="4"/>
  <c r="N617" i="4" s="1"/>
  <c r="J617" i="4"/>
  <c r="H617" i="4"/>
  <c r="G617" i="4"/>
  <c r="M616" i="4"/>
  <c r="K616" i="4"/>
  <c r="J616" i="4"/>
  <c r="H616" i="4"/>
  <c r="G616" i="4"/>
  <c r="K615" i="4"/>
  <c r="H615" i="4"/>
  <c r="G615" i="4"/>
  <c r="J615" i="4" s="1"/>
  <c r="P614" i="4"/>
  <c r="M614" i="4"/>
  <c r="K614" i="4"/>
  <c r="N614" i="4" s="1"/>
  <c r="H614" i="4"/>
  <c r="G614" i="4"/>
  <c r="J614" i="4" s="1"/>
  <c r="Q614" i="4" s="1"/>
  <c r="K613" i="4"/>
  <c r="H613" i="4"/>
  <c r="G613" i="4"/>
  <c r="J613" i="4" s="1"/>
  <c r="K612" i="4"/>
  <c r="J612" i="4"/>
  <c r="H612" i="4"/>
  <c r="G612" i="4"/>
  <c r="M611" i="4"/>
  <c r="K611" i="4"/>
  <c r="H611" i="4"/>
  <c r="G611" i="4"/>
  <c r="J611" i="4" s="1"/>
  <c r="N610" i="4"/>
  <c r="K610" i="4"/>
  <c r="L610" i="4" s="1"/>
  <c r="H610" i="4"/>
  <c r="G610" i="4"/>
  <c r="J610" i="4" s="1"/>
  <c r="M609" i="4"/>
  <c r="K609" i="4"/>
  <c r="H609" i="4"/>
  <c r="G609" i="4"/>
  <c r="J609" i="4" s="1"/>
  <c r="M608" i="4"/>
  <c r="K608" i="4"/>
  <c r="J608" i="4"/>
  <c r="H608" i="4"/>
  <c r="G608" i="4"/>
  <c r="K607" i="4"/>
  <c r="H607" i="4"/>
  <c r="G607" i="4"/>
  <c r="J607" i="4" s="1"/>
  <c r="M606" i="4"/>
  <c r="K606" i="4"/>
  <c r="H606" i="4"/>
  <c r="G606" i="4"/>
  <c r="J606" i="4" s="1"/>
  <c r="Q606" i="4" s="1"/>
  <c r="M605" i="4"/>
  <c r="K605" i="4"/>
  <c r="H605" i="4"/>
  <c r="G605" i="4"/>
  <c r="J605" i="4" s="1"/>
  <c r="K604" i="4"/>
  <c r="J604" i="4"/>
  <c r="H604" i="4"/>
  <c r="G604" i="4"/>
  <c r="M603" i="4"/>
  <c r="K603" i="4"/>
  <c r="H603" i="4"/>
  <c r="G603" i="4"/>
  <c r="M602" i="4"/>
  <c r="K602" i="4"/>
  <c r="H602" i="4"/>
  <c r="G602" i="4"/>
  <c r="J602" i="4" s="1"/>
  <c r="P601" i="4"/>
  <c r="K601" i="4"/>
  <c r="N601" i="4" s="1"/>
  <c r="J601" i="4"/>
  <c r="M601" i="4" s="1"/>
  <c r="H601" i="4"/>
  <c r="G601" i="4"/>
  <c r="M600" i="4"/>
  <c r="L600" i="4"/>
  <c r="K600" i="4"/>
  <c r="J600" i="4"/>
  <c r="O600" i="4" s="1"/>
  <c r="H600" i="4"/>
  <c r="G600" i="4"/>
  <c r="L599" i="4"/>
  <c r="K599" i="4"/>
  <c r="H599" i="4"/>
  <c r="G599" i="4"/>
  <c r="J599" i="4" s="1"/>
  <c r="Q599" i="4" s="1"/>
  <c r="M598" i="4"/>
  <c r="K598" i="4"/>
  <c r="H598" i="4"/>
  <c r="G598" i="4"/>
  <c r="J598" i="4" s="1"/>
  <c r="M597" i="4"/>
  <c r="K597" i="4"/>
  <c r="J597" i="4"/>
  <c r="P597" i="4" s="1"/>
  <c r="H597" i="4"/>
  <c r="G597" i="4"/>
  <c r="O596" i="4"/>
  <c r="M596" i="4"/>
  <c r="K596" i="4"/>
  <c r="J596" i="4"/>
  <c r="L596" i="4" s="1"/>
  <c r="H596" i="4"/>
  <c r="G596" i="4"/>
  <c r="K595" i="4"/>
  <c r="I595" i="4"/>
  <c r="H595" i="4"/>
  <c r="G595" i="4"/>
  <c r="O594" i="4"/>
  <c r="L594" i="4"/>
  <c r="K594" i="4"/>
  <c r="I594" i="4"/>
  <c r="H594" i="4"/>
  <c r="G594" i="4"/>
  <c r="J594" i="4" s="1"/>
  <c r="Q594" i="4" s="1"/>
  <c r="K593" i="4"/>
  <c r="J593" i="4"/>
  <c r="I593" i="4"/>
  <c r="H593" i="4"/>
  <c r="G593" i="4"/>
  <c r="M592" i="4"/>
  <c r="K592" i="4"/>
  <c r="J592" i="4"/>
  <c r="I592" i="4"/>
  <c r="H592" i="4"/>
  <c r="G592" i="4"/>
  <c r="K591" i="4"/>
  <c r="I591" i="4"/>
  <c r="H591" i="4"/>
  <c r="J591" i="4" s="1"/>
  <c r="G591" i="4"/>
  <c r="M590" i="4"/>
  <c r="K590" i="4"/>
  <c r="I590" i="4"/>
  <c r="H590" i="4"/>
  <c r="G590" i="4"/>
  <c r="J590" i="4" s="1"/>
  <c r="P590" i="4" s="1"/>
  <c r="P589" i="4"/>
  <c r="N589" i="4"/>
  <c r="K589" i="4"/>
  <c r="J589" i="4"/>
  <c r="I589" i="4"/>
  <c r="H589" i="4"/>
  <c r="G589" i="4"/>
  <c r="K588" i="4"/>
  <c r="I588" i="4"/>
  <c r="H588" i="4"/>
  <c r="G588" i="4"/>
  <c r="K587" i="4"/>
  <c r="I587" i="4"/>
  <c r="H587" i="4"/>
  <c r="G587" i="4"/>
  <c r="K586" i="4"/>
  <c r="I586" i="4"/>
  <c r="H586" i="4"/>
  <c r="G586" i="4"/>
  <c r="J586" i="4" s="1"/>
  <c r="Q586" i="4" s="1"/>
  <c r="K585" i="4"/>
  <c r="J585" i="4"/>
  <c r="I585" i="4"/>
  <c r="H585" i="4"/>
  <c r="G585" i="4"/>
  <c r="K584" i="4"/>
  <c r="J584" i="4"/>
  <c r="I584" i="4"/>
  <c r="H584" i="4"/>
  <c r="G584" i="4"/>
  <c r="K583" i="4"/>
  <c r="J583" i="4"/>
  <c r="I583" i="4"/>
  <c r="H583" i="4"/>
  <c r="G583" i="4"/>
  <c r="K582" i="4"/>
  <c r="L582" i="4" s="1"/>
  <c r="I582" i="4"/>
  <c r="H582" i="4"/>
  <c r="G582" i="4"/>
  <c r="J582" i="4" s="1"/>
  <c r="K581" i="4"/>
  <c r="J581" i="4"/>
  <c r="I581" i="4"/>
  <c r="H581" i="4"/>
  <c r="G581" i="4"/>
  <c r="K580" i="4"/>
  <c r="I580" i="4"/>
  <c r="H580" i="4"/>
  <c r="G580" i="4"/>
  <c r="K579" i="4"/>
  <c r="I579" i="4"/>
  <c r="H579" i="4"/>
  <c r="G579" i="4"/>
  <c r="O578" i="4"/>
  <c r="N578" i="4"/>
  <c r="K578" i="4"/>
  <c r="I578" i="4"/>
  <c r="H578" i="4"/>
  <c r="G578" i="4"/>
  <c r="J578" i="4" s="1"/>
  <c r="K577" i="4"/>
  <c r="I577" i="4"/>
  <c r="H577" i="4"/>
  <c r="G577" i="4"/>
  <c r="J577" i="4" s="1"/>
  <c r="Q577" i="4" s="1"/>
  <c r="K576" i="4"/>
  <c r="I576" i="4"/>
  <c r="J576" i="4" s="1"/>
  <c r="H576" i="4"/>
  <c r="G576" i="4"/>
  <c r="K575" i="4"/>
  <c r="L575" i="4" s="1"/>
  <c r="J575" i="4"/>
  <c r="I575" i="4"/>
  <c r="H575" i="4"/>
  <c r="G575" i="4"/>
  <c r="M574" i="4"/>
  <c r="K574" i="4"/>
  <c r="L574" i="4" s="1"/>
  <c r="I574" i="4"/>
  <c r="H574" i="4"/>
  <c r="G574" i="4"/>
  <c r="J574" i="4" s="1"/>
  <c r="N573" i="4"/>
  <c r="K573" i="4"/>
  <c r="I573" i="4"/>
  <c r="H573" i="4"/>
  <c r="J573" i="4" s="1"/>
  <c r="G573" i="4"/>
  <c r="K572" i="4"/>
  <c r="I572" i="4"/>
  <c r="H572" i="4"/>
  <c r="G572" i="4"/>
  <c r="Q571" i="4"/>
  <c r="P571" i="4"/>
  <c r="K571" i="4"/>
  <c r="L571" i="4" s="1"/>
  <c r="I571" i="4"/>
  <c r="H571" i="4"/>
  <c r="G571" i="4"/>
  <c r="J571" i="4" s="1"/>
  <c r="K570" i="4"/>
  <c r="I570" i="4"/>
  <c r="H570" i="4"/>
  <c r="G570" i="4"/>
  <c r="J570" i="4" s="1"/>
  <c r="K569" i="4"/>
  <c r="J569" i="4"/>
  <c r="I569" i="4"/>
  <c r="H569" i="4"/>
  <c r="G569" i="4"/>
  <c r="K568" i="4"/>
  <c r="I568" i="4"/>
  <c r="H568" i="4"/>
  <c r="G568" i="4"/>
  <c r="J568" i="4" s="1"/>
  <c r="L568" i="4" s="1"/>
  <c r="M567" i="4"/>
  <c r="L567" i="4"/>
  <c r="K567" i="4"/>
  <c r="J567" i="4"/>
  <c r="P567" i="4" s="1"/>
  <c r="I567" i="4"/>
  <c r="H567" i="4"/>
  <c r="G567" i="4"/>
  <c r="K566" i="4"/>
  <c r="I566" i="4"/>
  <c r="H566" i="4"/>
  <c r="G566" i="4"/>
  <c r="J566" i="4" s="1"/>
  <c r="Q565" i="4"/>
  <c r="M565" i="4"/>
  <c r="K565" i="4"/>
  <c r="J565" i="4"/>
  <c r="O565" i="4" s="1"/>
  <c r="I565" i="4"/>
  <c r="H565" i="4"/>
  <c r="G565" i="4"/>
  <c r="K564" i="4"/>
  <c r="I564" i="4"/>
  <c r="H564" i="4"/>
  <c r="J564" i="4" s="1"/>
  <c r="Q564" i="4" s="1"/>
  <c r="G564" i="4"/>
  <c r="K563" i="4"/>
  <c r="I563" i="4"/>
  <c r="H563" i="4"/>
  <c r="G563" i="4"/>
  <c r="K562" i="4"/>
  <c r="J562" i="4"/>
  <c r="I562" i="4"/>
  <c r="H562" i="4"/>
  <c r="G562" i="4"/>
  <c r="K561" i="4"/>
  <c r="I561" i="4"/>
  <c r="H561" i="4"/>
  <c r="G561" i="4"/>
  <c r="J561" i="4" s="1"/>
  <c r="L561" i="4" s="1"/>
  <c r="O560" i="4"/>
  <c r="K560" i="4"/>
  <c r="I560" i="4"/>
  <c r="H560" i="4"/>
  <c r="G560" i="4"/>
  <c r="J560" i="4" s="1"/>
  <c r="O559" i="4"/>
  <c r="K559" i="4"/>
  <c r="I559" i="4"/>
  <c r="H559" i="4"/>
  <c r="G559" i="4"/>
  <c r="J559" i="4" s="1"/>
  <c r="K558" i="4"/>
  <c r="I558" i="4"/>
  <c r="H558" i="4"/>
  <c r="G558" i="4"/>
  <c r="K557" i="4"/>
  <c r="I557" i="4"/>
  <c r="H557" i="4"/>
  <c r="J557" i="4" s="1"/>
  <c r="G557" i="4"/>
  <c r="K556" i="4"/>
  <c r="I556" i="4"/>
  <c r="H556" i="4"/>
  <c r="G556" i="4"/>
  <c r="K555" i="4"/>
  <c r="I555" i="4"/>
  <c r="H555" i="4"/>
  <c r="G555" i="4"/>
  <c r="K554" i="4"/>
  <c r="L554" i="4" s="1"/>
  <c r="I554" i="4"/>
  <c r="H554" i="4"/>
  <c r="G554" i="4"/>
  <c r="J554" i="4" s="1"/>
  <c r="M553" i="4"/>
  <c r="K553" i="4"/>
  <c r="I553" i="4"/>
  <c r="H553" i="4"/>
  <c r="G553" i="4"/>
  <c r="J553" i="4" s="1"/>
  <c r="N553" i="4" s="1"/>
  <c r="P552" i="4"/>
  <c r="M552" i="4"/>
  <c r="K552" i="4"/>
  <c r="H552" i="4"/>
  <c r="G552" i="4"/>
  <c r="J552" i="4" s="1"/>
  <c r="Q552" i="4" s="1"/>
  <c r="Q551" i="4"/>
  <c r="M551" i="4"/>
  <c r="K551" i="4"/>
  <c r="H551" i="4"/>
  <c r="J551" i="4" s="1"/>
  <c r="G551" i="4"/>
  <c r="M550" i="4"/>
  <c r="K550" i="4"/>
  <c r="H550" i="4"/>
  <c r="G550" i="4"/>
  <c r="J550" i="4" s="1"/>
  <c r="M549" i="4"/>
  <c r="K549" i="4"/>
  <c r="H549" i="4"/>
  <c r="G549" i="4"/>
  <c r="J549" i="4" s="1"/>
  <c r="M548" i="4"/>
  <c r="K548" i="4"/>
  <c r="H548" i="4"/>
  <c r="J548" i="4" s="1"/>
  <c r="G548" i="4"/>
  <c r="K547" i="4"/>
  <c r="H547" i="4"/>
  <c r="J547" i="4" s="1"/>
  <c r="G547" i="4"/>
  <c r="M546" i="4"/>
  <c r="K546" i="4"/>
  <c r="H546" i="4"/>
  <c r="G546" i="4"/>
  <c r="K545" i="4"/>
  <c r="J545" i="4"/>
  <c r="H545" i="4"/>
  <c r="G545" i="4"/>
  <c r="M544" i="4"/>
  <c r="K544" i="4"/>
  <c r="J544" i="4"/>
  <c r="H544" i="4"/>
  <c r="G544" i="4"/>
  <c r="M543" i="4"/>
  <c r="K543" i="4"/>
  <c r="H543" i="4"/>
  <c r="J543" i="4" s="1"/>
  <c r="G543" i="4"/>
  <c r="K542" i="4"/>
  <c r="H542" i="4"/>
  <c r="G542" i="4"/>
  <c r="M541" i="4"/>
  <c r="K541" i="4"/>
  <c r="H541" i="4"/>
  <c r="G541" i="4"/>
  <c r="J541" i="4" s="1"/>
  <c r="K540" i="4"/>
  <c r="H540" i="4"/>
  <c r="G540" i="4"/>
  <c r="J540" i="4" s="1"/>
  <c r="M539" i="4"/>
  <c r="K539" i="4"/>
  <c r="O539" i="4" s="1"/>
  <c r="H539" i="4"/>
  <c r="J539" i="4" s="1"/>
  <c r="N539" i="4" s="1"/>
  <c r="G539" i="4"/>
  <c r="K538" i="4"/>
  <c r="H538" i="4"/>
  <c r="G538" i="4"/>
  <c r="O537" i="4"/>
  <c r="N537" i="4"/>
  <c r="M537" i="4"/>
  <c r="K537" i="4"/>
  <c r="L537" i="4" s="1"/>
  <c r="J537" i="4"/>
  <c r="Q537" i="4" s="1"/>
  <c r="H537" i="4"/>
  <c r="G537" i="4"/>
  <c r="P536" i="4"/>
  <c r="O536" i="4"/>
  <c r="K536" i="4"/>
  <c r="J536" i="4"/>
  <c r="L536" i="4" s="1"/>
  <c r="H536" i="4"/>
  <c r="G536" i="4"/>
  <c r="Q535" i="4"/>
  <c r="M535" i="4"/>
  <c r="K535" i="4"/>
  <c r="L535" i="4" s="1"/>
  <c r="H535" i="4"/>
  <c r="J535" i="4" s="1"/>
  <c r="O535" i="4" s="1"/>
  <c r="G535" i="4"/>
  <c r="K534" i="4"/>
  <c r="H534" i="4"/>
  <c r="G534" i="4"/>
  <c r="J534" i="4" s="1"/>
  <c r="M533" i="4"/>
  <c r="K533" i="4"/>
  <c r="O533" i="4" s="1"/>
  <c r="H533" i="4"/>
  <c r="G533" i="4"/>
  <c r="J533" i="4" s="1"/>
  <c r="K532" i="4"/>
  <c r="H532" i="4"/>
  <c r="G532" i="4"/>
  <c r="K531" i="4"/>
  <c r="H531" i="4"/>
  <c r="J531" i="4" s="1"/>
  <c r="G531" i="4"/>
  <c r="M530" i="4"/>
  <c r="K530" i="4"/>
  <c r="H530" i="4"/>
  <c r="G530" i="4"/>
  <c r="K529" i="4"/>
  <c r="H529" i="4"/>
  <c r="G529" i="4"/>
  <c r="J529" i="4" s="1"/>
  <c r="M528" i="4"/>
  <c r="K528" i="4"/>
  <c r="H528" i="4"/>
  <c r="J528" i="4" s="1"/>
  <c r="G528" i="4"/>
  <c r="K527" i="4"/>
  <c r="J527" i="4"/>
  <c r="H527" i="4"/>
  <c r="G527" i="4"/>
  <c r="K526" i="4"/>
  <c r="H526" i="4"/>
  <c r="G526" i="4"/>
  <c r="M525" i="4"/>
  <c r="K525" i="4"/>
  <c r="J525" i="4"/>
  <c r="H525" i="4"/>
  <c r="G525" i="4"/>
  <c r="K524" i="4"/>
  <c r="J524" i="4"/>
  <c r="H524" i="4"/>
  <c r="G524" i="4"/>
  <c r="M523" i="4"/>
  <c r="L523" i="4"/>
  <c r="K523" i="4"/>
  <c r="O523" i="4" s="1"/>
  <c r="H523" i="4"/>
  <c r="J523" i="4" s="1"/>
  <c r="G523" i="4"/>
  <c r="K522" i="4"/>
  <c r="H522" i="4"/>
  <c r="G522" i="4"/>
  <c r="M521" i="4"/>
  <c r="K521" i="4"/>
  <c r="H521" i="4"/>
  <c r="G521" i="4"/>
  <c r="J521" i="4" s="1"/>
  <c r="M520" i="4"/>
  <c r="K520" i="4"/>
  <c r="H520" i="4"/>
  <c r="G520" i="4"/>
  <c r="J520" i="4" s="1"/>
  <c r="L520" i="4" s="1"/>
  <c r="N519" i="4"/>
  <c r="L519" i="4"/>
  <c r="K519" i="4"/>
  <c r="J519" i="4"/>
  <c r="Q519" i="4" s="1"/>
  <c r="H519" i="4"/>
  <c r="G519" i="4"/>
  <c r="N518" i="4"/>
  <c r="M518" i="4"/>
  <c r="K518" i="4"/>
  <c r="L518" i="4" s="1"/>
  <c r="H518" i="4"/>
  <c r="G518" i="4"/>
  <c r="J518" i="4" s="1"/>
  <c r="Q518" i="4" s="1"/>
  <c r="N517" i="4"/>
  <c r="K517" i="4"/>
  <c r="H517" i="4"/>
  <c r="G517" i="4"/>
  <c r="J517" i="4" s="1"/>
  <c r="M517" i="4" s="1"/>
  <c r="M516" i="4"/>
  <c r="K516" i="4"/>
  <c r="H516" i="4"/>
  <c r="J516" i="4" s="1"/>
  <c r="G516" i="4"/>
  <c r="N515" i="4"/>
  <c r="K515" i="4"/>
  <c r="L515" i="4" s="1"/>
  <c r="H515" i="4"/>
  <c r="J515" i="4" s="1"/>
  <c r="G515" i="4"/>
  <c r="M514" i="4"/>
  <c r="K514" i="4"/>
  <c r="H514" i="4"/>
  <c r="G514" i="4"/>
  <c r="O513" i="4"/>
  <c r="N513" i="4"/>
  <c r="K513" i="4"/>
  <c r="L513" i="4" s="1"/>
  <c r="J513" i="4"/>
  <c r="Q513" i="4" s="1"/>
  <c r="H513" i="4"/>
  <c r="G513" i="4"/>
  <c r="P512" i="4"/>
  <c r="O512" i="4"/>
  <c r="K512" i="4"/>
  <c r="J512" i="4"/>
  <c r="L512" i="4" s="1"/>
  <c r="H512" i="4"/>
  <c r="G512" i="4"/>
  <c r="Q511" i="4"/>
  <c r="M511" i="4"/>
  <c r="K511" i="4"/>
  <c r="L511" i="4" s="1"/>
  <c r="H511" i="4"/>
  <c r="J511" i="4" s="1"/>
  <c r="G511" i="4"/>
  <c r="K510" i="4"/>
  <c r="H510" i="4"/>
  <c r="G510" i="4"/>
  <c r="M509" i="4"/>
  <c r="K509" i="4"/>
  <c r="H509" i="4"/>
  <c r="J509" i="4" s="1"/>
  <c r="G509" i="4"/>
  <c r="K508" i="4"/>
  <c r="J508" i="4"/>
  <c r="H508" i="4"/>
  <c r="G508" i="4"/>
  <c r="M507" i="4"/>
  <c r="K507" i="4"/>
  <c r="O507" i="4" s="1"/>
  <c r="H507" i="4"/>
  <c r="J507" i="4" s="1"/>
  <c r="G507" i="4"/>
  <c r="N506" i="4"/>
  <c r="M506" i="4"/>
  <c r="K506" i="4"/>
  <c r="L506" i="4" s="1"/>
  <c r="H506" i="4"/>
  <c r="G506" i="4"/>
  <c r="J506" i="4" s="1"/>
  <c r="Q506" i="4" s="1"/>
  <c r="O505" i="4"/>
  <c r="N505" i="4"/>
  <c r="M505" i="4"/>
  <c r="K505" i="4"/>
  <c r="H505" i="4"/>
  <c r="J505" i="4" s="1"/>
  <c r="G505" i="4"/>
  <c r="P504" i="4"/>
  <c r="K504" i="4"/>
  <c r="I504" i="4"/>
  <c r="H504" i="4"/>
  <c r="G504" i="4"/>
  <c r="J504" i="4" s="1"/>
  <c r="K503" i="4"/>
  <c r="I503" i="4"/>
  <c r="H503" i="4"/>
  <c r="J503" i="4" s="1"/>
  <c r="G503" i="4"/>
  <c r="K502" i="4"/>
  <c r="J502" i="4"/>
  <c r="I502" i="4"/>
  <c r="H502" i="4"/>
  <c r="G502" i="4"/>
  <c r="K501" i="4"/>
  <c r="I501" i="4"/>
  <c r="H501" i="4"/>
  <c r="J501" i="4" s="1"/>
  <c r="G501" i="4"/>
  <c r="K500" i="4"/>
  <c r="I500" i="4"/>
  <c r="H500" i="4"/>
  <c r="G500" i="4"/>
  <c r="K499" i="4"/>
  <c r="L499" i="4" s="1"/>
  <c r="J499" i="4"/>
  <c r="I499" i="4"/>
  <c r="H499" i="4"/>
  <c r="G499" i="4"/>
  <c r="N498" i="4"/>
  <c r="M498" i="4"/>
  <c r="K498" i="4"/>
  <c r="L498" i="4" s="1"/>
  <c r="I498" i="4"/>
  <c r="H498" i="4"/>
  <c r="G498" i="4"/>
  <c r="J498" i="4" s="1"/>
  <c r="K497" i="4"/>
  <c r="I497" i="4"/>
  <c r="H497" i="4"/>
  <c r="G497" i="4"/>
  <c r="L496" i="4"/>
  <c r="K496" i="4"/>
  <c r="I496" i="4"/>
  <c r="H496" i="4"/>
  <c r="G496" i="4"/>
  <c r="J496" i="4" s="1"/>
  <c r="K495" i="4"/>
  <c r="I495" i="4"/>
  <c r="H495" i="4"/>
  <c r="G495" i="4"/>
  <c r="J495" i="4" s="1"/>
  <c r="O495" i="4" s="1"/>
  <c r="Q494" i="4"/>
  <c r="K494" i="4"/>
  <c r="J494" i="4"/>
  <c r="I494" i="4"/>
  <c r="H494" i="4"/>
  <c r="G494" i="4"/>
  <c r="L493" i="4"/>
  <c r="K493" i="4"/>
  <c r="I493" i="4"/>
  <c r="H493" i="4"/>
  <c r="J493" i="4" s="1"/>
  <c r="G493" i="4"/>
  <c r="K492" i="4"/>
  <c r="I492" i="4"/>
  <c r="H492" i="4"/>
  <c r="G492" i="4"/>
  <c r="K491" i="4"/>
  <c r="L491" i="4" s="1"/>
  <c r="J491" i="4"/>
  <c r="I491" i="4"/>
  <c r="H491" i="4"/>
  <c r="G491" i="4"/>
  <c r="K490" i="4"/>
  <c r="I490" i="4"/>
  <c r="H490" i="4"/>
  <c r="G490" i="4"/>
  <c r="J490" i="4" s="1"/>
  <c r="K489" i="4"/>
  <c r="I489" i="4"/>
  <c r="H489" i="4"/>
  <c r="G489" i="4"/>
  <c r="K488" i="4"/>
  <c r="L488" i="4" s="1"/>
  <c r="I488" i="4"/>
  <c r="H488" i="4"/>
  <c r="G488" i="4"/>
  <c r="J488" i="4" s="1"/>
  <c r="O487" i="4"/>
  <c r="K487" i="4"/>
  <c r="I487" i="4"/>
  <c r="H487" i="4"/>
  <c r="G487" i="4"/>
  <c r="J487" i="4" s="1"/>
  <c r="K486" i="4"/>
  <c r="L486" i="4" s="1"/>
  <c r="J486" i="4"/>
  <c r="I486" i="4"/>
  <c r="H486" i="4"/>
  <c r="G486" i="4"/>
  <c r="M485" i="4"/>
  <c r="K485" i="4"/>
  <c r="I485" i="4"/>
  <c r="H485" i="4"/>
  <c r="J485" i="4" s="1"/>
  <c r="L485" i="4" s="1"/>
  <c r="G485" i="4"/>
  <c r="K484" i="4"/>
  <c r="L484" i="4" s="1"/>
  <c r="I484" i="4"/>
  <c r="H484" i="4"/>
  <c r="G484" i="4"/>
  <c r="J484" i="4" s="1"/>
  <c r="P484" i="4" s="1"/>
  <c r="K483" i="4"/>
  <c r="L483" i="4" s="1"/>
  <c r="J483" i="4"/>
  <c r="I483" i="4"/>
  <c r="H483" i="4"/>
  <c r="G483" i="4"/>
  <c r="K482" i="4"/>
  <c r="L482" i="4" s="1"/>
  <c r="I482" i="4"/>
  <c r="H482" i="4"/>
  <c r="G482" i="4"/>
  <c r="J482" i="4" s="1"/>
  <c r="N482" i="4" s="1"/>
  <c r="K481" i="4"/>
  <c r="I481" i="4"/>
  <c r="H481" i="4"/>
  <c r="J481" i="4" s="1"/>
  <c r="Q481" i="4" s="1"/>
  <c r="G481" i="4"/>
  <c r="K480" i="4"/>
  <c r="L480" i="4" s="1"/>
  <c r="I480" i="4"/>
  <c r="H480" i="4"/>
  <c r="G480" i="4"/>
  <c r="J480" i="4" s="1"/>
  <c r="N479" i="4"/>
  <c r="K479" i="4"/>
  <c r="I479" i="4"/>
  <c r="H479" i="4"/>
  <c r="G479" i="4"/>
  <c r="J479" i="4" s="1"/>
  <c r="K478" i="4"/>
  <c r="I478" i="4"/>
  <c r="J478" i="4" s="1"/>
  <c r="H478" i="4"/>
  <c r="G478" i="4"/>
  <c r="M477" i="4"/>
  <c r="L477" i="4"/>
  <c r="K477" i="4"/>
  <c r="I477" i="4"/>
  <c r="H477" i="4"/>
  <c r="J477" i="4" s="1"/>
  <c r="G477" i="4"/>
  <c r="K476" i="4"/>
  <c r="I476" i="4"/>
  <c r="H476" i="4"/>
  <c r="G476" i="4"/>
  <c r="K475" i="4"/>
  <c r="J475" i="4"/>
  <c r="I475" i="4"/>
  <c r="H475" i="4"/>
  <c r="G475" i="4"/>
  <c r="M474" i="4"/>
  <c r="K474" i="4"/>
  <c r="I474" i="4"/>
  <c r="H474" i="4"/>
  <c r="G474" i="4"/>
  <c r="J474" i="4" s="1"/>
  <c r="N474" i="4" s="1"/>
  <c r="K473" i="4"/>
  <c r="I473" i="4"/>
  <c r="H473" i="4"/>
  <c r="G473" i="4"/>
  <c r="L472" i="4"/>
  <c r="K472" i="4"/>
  <c r="I472" i="4"/>
  <c r="H472" i="4"/>
  <c r="G472" i="4"/>
  <c r="J472" i="4" s="1"/>
  <c r="O471" i="4"/>
  <c r="N471" i="4"/>
  <c r="K471" i="4"/>
  <c r="I471" i="4"/>
  <c r="H471" i="4"/>
  <c r="G471" i="4"/>
  <c r="J471" i="4" s="1"/>
  <c r="K470" i="4"/>
  <c r="J470" i="4"/>
  <c r="I470" i="4"/>
  <c r="H470" i="4"/>
  <c r="G470" i="4"/>
  <c r="M469" i="4"/>
  <c r="L469" i="4"/>
  <c r="K469" i="4"/>
  <c r="J469" i="4"/>
  <c r="Q469" i="4" s="1"/>
  <c r="I469" i="4"/>
  <c r="H469" i="4"/>
  <c r="G469" i="4"/>
  <c r="K468" i="4"/>
  <c r="I468" i="4"/>
  <c r="H468" i="4"/>
  <c r="G468" i="4"/>
  <c r="J468" i="4" s="1"/>
  <c r="K467" i="4"/>
  <c r="L467" i="4" s="1"/>
  <c r="J467" i="4"/>
  <c r="I467" i="4"/>
  <c r="H467" i="4"/>
  <c r="G467" i="4"/>
  <c r="K466" i="4"/>
  <c r="L466" i="4" s="1"/>
  <c r="I466" i="4"/>
  <c r="H466" i="4"/>
  <c r="G466" i="4"/>
  <c r="J466" i="4" s="1"/>
  <c r="N466" i="4" s="1"/>
  <c r="K465" i="4"/>
  <c r="I465" i="4"/>
  <c r="H465" i="4"/>
  <c r="J465" i="4" s="1"/>
  <c r="G465" i="4"/>
  <c r="K464" i="4"/>
  <c r="L464" i="4" s="1"/>
  <c r="I464" i="4"/>
  <c r="H464" i="4"/>
  <c r="G464" i="4"/>
  <c r="J464" i="4" s="1"/>
  <c r="N463" i="4"/>
  <c r="K463" i="4"/>
  <c r="I463" i="4"/>
  <c r="H463" i="4"/>
  <c r="G463" i="4"/>
  <c r="J463" i="4" s="1"/>
  <c r="O463" i="4" s="1"/>
  <c r="K462" i="4"/>
  <c r="I462" i="4"/>
  <c r="J462" i="4" s="1"/>
  <c r="H462" i="4"/>
  <c r="G462" i="4"/>
  <c r="M461" i="4"/>
  <c r="L461" i="4"/>
  <c r="K461" i="4"/>
  <c r="J461" i="4"/>
  <c r="Q461" i="4" s="1"/>
  <c r="H461" i="4"/>
  <c r="G461" i="4"/>
  <c r="O460" i="4"/>
  <c r="N460" i="4"/>
  <c r="M460" i="4"/>
  <c r="L460" i="4"/>
  <c r="K460" i="4"/>
  <c r="J460" i="4"/>
  <c r="Q460" i="4" s="1"/>
  <c r="H460" i="4"/>
  <c r="G460" i="4"/>
  <c r="M459" i="4"/>
  <c r="K459" i="4"/>
  <c r="H459" i="4"/>
  <c r="G459" i="4"/>
  <c r="J459" i="4" s="1"/>
  <c r="Q459" i="4" s="1"/>
  <c r="M458" i="4"/>
  <c r="K458" i="4"/>
  <c r="J458" i="4"/>
  <c r="H458" i="4"/>
  <c r="G458" i="4"/>
  <c r="M457" i="4"/>
  <c r="L457" i="4"/>
  <c r="K457" i="4"/>
  <c r="O457" i="4" s="1"/>
  <c r="J457" i="4"/>
  <c r="Q457" i="4" s="1"/>
  <c r="H457" i="4"/>
  <c r="G457" i="4"/>
  <c r="O456" i="4"/>
  <c r="N456" i="4"/>
  <c r="L456" i="4"/>
  <c r="K456" i="4"/>
  <c r="J456" i="4"/>
  <c r="Q456" i="4" s="1"/>
  <c r="H456" i="4"/>
  <c r="G456" i="4"/>
  <c r="M455" i="4"/>
  <c r="K455" i="4"/>
  <c r="H455" i="4"/>
  <c r="G455" i="4"/>
  <c r="J455" i="4" s="1"/>
  <c r="Q455" i="4" s="1"/>
  <c r="M454" i="4"/>
  <c r="K454" i="4"/>
  <c r="J454" i="4"/>
  <c r="H454" i="4"/>
  <c r="G454" i="4"/>
  <c r="M453" i="4"/>
  <c r="L453" i="4"/>
  <c r="K453" i="4"/>
  <c r="J453" i="4"/>
  <c r="Q453" i="4" s="1"/>
  <c r="H453" i="4"/>
  <c r="G453" i="4"/>
  <c r="O452" i="4"/>
  <c r="N452" i="4"/>
  <c r="M452" i="4"/>
  <c r="L452" i="4"/>
  <c r="K452" i="4"/>
  <c r="J452" i="4"/>
  <c r="Q452" i="4" s="1"/>
  <c r="H452" i="4"/>
  <c r="G452" i="4"/>
  <c r="M451" i="4"/>
  <c r="K451" i="4"/>
  <c r="H451" i="4"/>
  <c r="G451" i="4"/>
  <c r="M450" i="4"/>
  <c r="K450" i="4"/>
  <c r="J450" i="4"/>
  <c r="H450" i="4"/>
  <c r="G450" i="4"/>
  <c r="M449" i="4"/>
  <c r="L449" i="4"/>
  <c r="K449" i="4"/>
  <c r="J449" i="4"/>
  <c r="Q449" i="4" s="1"/>
  <c r="H449" i="4"/>
  <c r="G449" i="4"/>
  <c r="O448" i="4"/>
  <c r="N448" i="4"/>
  <c r="M448" i="4"/>
  <c r="L448" i="4"/>
  <c r="K448" i="4"/>
  <c r="J448" i="4"/>
  <c r="Q448" i="4" s="1"/>
  <c r="H448" i="4"/>
  <c r="G448" i="4"/>
  <c r="K447" i="4"/>
  <c r="H447" i="4"/>
  <c r="G447" i="4"/>
  <c r="K446" i="4"/>
  <c r="J446" i="4"/>
  <c r="H446" i="4"/>
  <c r="G446" i="4"/>
  <c r="M445" i="4"/>
  <c r="L445" i="4"/>
  <c r="K445" i="4"/>
  <c r="J445" i="4"/>
  <c r="Q445" i="4" s="1"/>
  <c r="H445" i="4"/>
  <c r="G445" i="4"/>
  <c r="O444" i="4"/>
  <c r="N444" i="4"/>
  <c r="M444" i="4"/>
  <c r="L444" i="4"/>
  <c r="K444" i="4"/>
  <c r="J444" i="4"/>
  <c r="Q444" i="4" s="1"/>
  <c r="H444" i="4"/>
  <c r="G444" i="4"/>
  <c r="P443" i="4"/>
  <c r="K443" i="4"/>
  <c r="H443" i="4"/>
  <c r="G443" i="4"/>
  <c r="J443" i="4" s="1"/>
  <c r="K442" i="4"/>
  <c r="J442" i="4"/>
  <c r="H442" i="4"/>
  <c r="G442" i="4"/>
  <c r="M441" i="4"/>
  <c r="L441" i="4"/>
  <c r="K441" i="4"/>
  <c r="J441" i="4"/>
  <c r="Q441" i="4" s="1"/>
  <c r="H441" i="4"/>
  <c r="G441" i="4"/>
  <c r="O440" i="4"/>
  <c r="N440" i="4"/>
  <c r="L440" i="4"/>
  <c r="K440" i="4"/>
  <c r="J440" i="4"/>
  <c r="Q440" i="4" s="1"/>
  <c r="H440" i="4"/>
  <c r="G440" i="4"/>
  <c r="K439" i="4"/>
  <c r="H439" i="4"/>
  <c r="G439" i="4"/>
  <c r="M438" i="4"/>
  <c r="K438" i="4"/>
  <c r="J438" i="4"/>
  <c r="H438" i="4"/>
  <c r="G438" i="4"/>
  <c r="M437" i="4"/>
  <c r="L437" i="4"/>
  <c r="K437" i="4"/>
  <c r="J437" i="4"/>
  <c r="Q437" i="4" s="1"/>
  <c r="H437" i="4"/>
  <c r="G437" i="4"/>
  <c r="O436" i="4"/>
  <c r="N436" i="4"/>
  <c r="M436" i="4"/>
  <c r="L436" i="4"/>
  <c r="K436" i="4"/>
  <c r="J436" i="4"/>
  <c r="Q436" i="4" s="1"/>
  <c r="H436" i="4"/>
  <c r="G436" i="4"/>
  <c r="K435" i="4"/>
  <c r="H435" i="4"/>
  <c r="G435" i="4"/>
  <c r="K434" i="4"/>
  <c r="J434" i="4"/>
  <c r="H434" i="4"/>
  <c r="G434" i="4"/>
  <c r="M433" i="4"/>
  <c r="L433" i="4"/>
  <c r="K433" i="4"/>
  <c r="O433" i="4" s="1"/>
  <c r="J433" i="4"/>
  <c r="Q433" i="4" s="1"/>
  <c r="H433" i="4"/>
  <c r="G433" i="4"/>
  <c r="O432" i="4"/>
  <c r="N432" i="4"/>
  <c r="L432" i="4"/>
  <c r="K432" i="4"/>
  <c r="J432" i="4"/>
  <c r="Q432" i="4" s="1"/>
  <c r="H432" i="4"/>
  <c r="G432" i="4"/>
  <c r="K431" i="4"/>
  <c r="H431" i="4"/>
  <c r="G431" i="4"/>
  <c r="M430" i="4"/>
  <c r="K430" i="4"/>
  <c r="J430" i="4"/>
  <c r="H430" i="4"/>
  <c r="G430" i="4"/>
  <c r="M429" i="4"/>
  <c r="L429" i="4"/>
  <c r="K429" i="4"/>
  <c r="J429" i="4"/>
  <c r="Q429" i="4" s="1"/>
  <c r="H429" i="4"/>
  <c r="G429" i="4"/>
  <c r="O428" i="4"/>
  <c r="N428" i="4"/>
  <c r="L428" i="4"/>
  <c r="K428" i="4"/>
  <c r="J428" i="4"/>
  <c r="Q428" i="4" s="1"/>
  <c r="H428" i="4"/>
  <c r="G428" i="4"/>
  <c r="M427" i="4"/>
  <c r="K427" i="4"/>
  <c r="H427" i="4"/>
  <c r="G427" i="4"/>
  <c r="K426" i="4"/>
  <c r="J426" i="4"/>
  <c r="H426" i="4"/>
  <c r="G426" i="4"/>
  <c r="M425" i="4"/>
  <c r="L425" i="4"/>
  <c r="K425" i="4"/>
  <c r="J425" i="4"/>
  <c r="Q425" i="4" s="1"/>
  <c r="H425" i="4"/>
  <c r="G425" i="4"/>
  <c r="O424" i="4"/>
  <c r="N424" i="4"/>
  <c r="L424" i="4"/>
  <c r="K424" i="4"/>
  <c r="J424" i="4"/>
  <c r="Q424" i="4" s="1"/>
  <c r="H424" i="4"/>
  <c r="G424" i="4"/>
  <c r="M423" i="4"/>
  <c r="K423" i="4"/>
  <c r="H423" i="4"/>
  <c r="G423" i="4"/>
  <c r="M422" i="4"/>
  <c r="K422" i="4"/>
  <c r="J422" i="4"/>
  <c r="H422" i="4"/>
  <c r="G422" i="4"/>
  <c r="M421" i="4"/>
  <c r="L421" i="4"/>
  <c r="K421" i="4"/>
  <c r="J421" i="4"/>
  <c r="Q421" i="4" s="1"/>
  <c r="H421" i="4"/>
  <c r="G421" i="4"/>
  <c r="O420" i="4"/>
  <c r="N420" i="4"/>
  <c r="M420" i="4"/>
  <c r="L420" i="4"/>
  <c r="K420" i="4"/>
  <c r="J420" i="4"/>
  <c r="Q420" i="4" s="1"/>
  <c r="H420" i="4"/>
  <c r="G420" i="4"/>
  <c r="K419" i="4"/>
  <c r="H419" i="4"/>
  <c r="G419" i="4"/>
  <c r="M418" i="4"/>
  <c r="K418" i="4"/>
  <c r="J418" i="4"/>
  <c r="H418" i="4"/>
  <c r="G418" i="4"/>
  <c r="M417" i="4"/>
  <c r="L417" i="4"/>
  <c r="K417" i="4"/>
  <c r="J417" i="4"/>
  <c r="Q417" i="4" s="1"/>
  <c r="H417" i="4"/>
  <c r="G417" i="4"/>
  <c r="O416" i="4"/>
  <c r="N416" i="4"/>
  <c r="M416" i="4"/>
  <c r="L416" i="4"/>
  <c r="K416" i="4"/>
  <c r="J416" i="4"/>
  <c r="Q416" i="4" s="1"/>
  <c r="H416" i="4"/>
  <c r="G416" i="4"/>
  <c r="K415" i="4"/>
  <c r="H415" i="4"/>
  <c r="G415" i="4"/>
  <c r="M414" i="4"/>
  <c r="K414" i="4"/>
  <c r="J414" i="4"/>
  <c r="H414" i="4"/>
  <c r="G414" i="4"/>
  <c r="M413" i="4"/>
  <c r="L413" i="4"/>
  <c r="K413" i="4"/>
  <c r="J413" i="4"/>
  <c r="Q413" i="4" s="1"/>
  <c r="I413" i="4"/>
  <c r="H413" i="4"/>
  <c r="G413" i="4"/>
  <c r="K412" i="4"/>
  <c r="L412" i="4" s="1"/>
  <c r="I412" i="4"/>
  <c r="H412" i="4"/>
  <c r="G412" i="4"/>
  <c r="J412" i="4" s="1"/>
  <c r="P412" i="4" s="1"/>
  <c r="K411" i="4"/>
  <c r="L411" i="4" s="1"/>
  <c r="J411" i="4"/>
  <c r="I411" i="4"/>
  <c r="H411" i="4"/>
  <c r="G411" i="4"/>
  <c r="K410" i="4"/>
  <c r="L410" i="4" s="1"/>
  <c r="I410" i="4"/>
  <c r="H410" i="4"/>
  <c r="G410" i="4"/>
  <c r="J410" i="4" s="1"/>
  <c r="N410" i="4" s="1"/>
  <c r="P409" i="4"/>
  <c r="K409" i="4"/>
  <c r="I409" i="4"/>
  <c r="H409" i="4"/>
  <c r="J409" i="4" s="1"/>
  <c r="Q409" i="4" s="1"/>
  <c r="G409" i="4"/>
  <c r="K408" i="4"/>
  <c r="L408" i="4" s="1"/>
  <c r="I408" i="4"/>
  <c r="H408" i="4"/>
  <c r="G408" i="4"/>
  <c r="J408" i="4" s="1"/>
  <c r="N407" i="4"/>
  <c r="K407" i="4"/>
  <c r="I407" i="4"/>
  <c r="H407" i="4"/>
  <c r="G407" i="4"/>
  <c r="J407" i="4" s="1"/>
  <c r="Q406" i="4"/>
  <c r="K406" i="4"/>
  <c r="I406" i="4"/>
  <c r="J406" i="4" s="1"/>
  <c r="H406" i="4"/>
  <c r="G406" i="4"/>
  <c r="M405" i="4"/>
  <c r="L405" i="4"/>
  <c r="K405" i="4"/>
  <c r="J405" i="4"/>
  <c r="Q405" i="4" s="1"/>
  <c r="I405" i="4"/>
  <c r="H405" i="4"/>
  <c r="G405" i="4"/>
  <c r="K404" i="4"/>
  <c r="I404" i="4"/>
  <c r="H404" i="4"/>
  <c r="G404" i="4"/>
  <c r="K403" i="4"/>
  <c r="L403" i="4" s="1"/>
  <c r="J403" i="4"/>
  <c r="I403" i="4"/>
  <c r="H403" i="4"/>
  <c r="G403" i="4"/>
  <c r="N402" i="4"/>
  <c r="K402" i="4"/>
  <c r="I402" i="4"/>
  <c r="J402" i="4" s="1"/>
  <c r="M402" i="4" s="1"/>
  <c r="H402" i="4"/>
  <c r="G402" i="4"/>
  <c r="K401" i="4"/>
  <c r="I401" i="4"/>
  <c r="H401" i="4"/>
  <c r="G401" i="4"/>
  <c r="K400" i="4"/>
  <c r="I400" i="4"/>
  <c r="H400" i="4"/>
  <c r="G400" i="4"/>
  <c r="J400" i="4" s="1"/>
  <c r="K399" i="4"/>
  <c r="I399" i="4"/>
  <c r="H399" i="4"/>
  <c r="G399" i="4"/>
  <c r="J399" i="4" s="1"/>
  <c r="O399" i="4" s="1"/>
  <c r="Q398" i="4"/>
  <c r="K398" i="4"/>
  <c r="L398" i="4" s="1"/>
  <c r="J398" i="4"/>
  <c r="I398" i="4"/>
  <c r="H398" i="4"/>
  <c r="G398" i="4"/>
  <c r="M397" i="4"/>
  <c r="L397" i="4"/>
  <c r="K397" i="4"/>
  <c r="J397" i="4"/>
  <c r="Q397" i="4" s="1"/>
  <c r="I397" i="4"/>
  <c r="H397" i="4"/>
  <c r="G397" i="4"/>
  <c r="K396" i="4"/>
  <c r="I396" i="4"/>
  <c r="H396" i="4"/>
  <c r="G396" i="4"/>
  <c r="K395" i="4"/>
  <c r="J395" i="4"/>
  <c r="I395" i="4"/>
  <c r="H395" i="4"/>
  <c r="G395" i="4"/>
  <c r="M394" i="4"/>
  <c r="K394" i="4"/>
  <c r="I394" i="4"/>
  <c r="H394" i="4"/>
  <c r="G394" i="4"/>
  <c r="J394" i="4" s="1"/>
  <c r="N394" i="4" s="1"/>
  <c r="K393" i="4"/>
  <c r="I393" i="4"/>
  <c r="H393" i="4"/>
  <c r="G393" i="4"/>
  <c r="L392" i="4"/>
  <c r="K392" i="4"/>
  <c r="I392" i="4"/>
  <c r="H392" i="4"/>
  <c r="G392" i="4"/>
  <c r="J392" i="4" s="1"/>
  <c r="O391" i="4"/>
  <c r="N391" i="4"/>
  <c r="K391" i="4"/>
  <c r="I391" i="4"/>
  <c r="H391" i="4"/>
  <c r="G391" i="4"/>
  <c r="J391" i="4" s="1"/>
  <c r="K390" i="4"/>
  <c r="J390" i="4"/>
  <c r="I390" i="4"/>
  <c r="H390" i="4"/>
  <c r="G390" i="4"/>
  <c r="M389" i="4"/>
  <c r="L389" i="4"/>
  <c r="K389" i="4"/>
  <c r="J389" i="4"/>
  <c r="Q389" i="4" s="1"/>
  <c r="I389" i="4"/>
  <c r="H389" i="4"/>
  <c r="G389" i="4"/>
  <c r="K388" i="4"/>
  <c r="I388" i="4"/>
  <c r="H388" i="4"/>
  <c r="G388" i="4"/>
  <c r="J388" i="4" s="1"/>
  <c r="K387" i="4"/>
  <c r="L387" i="4" s="1"/>
  <c r="J387" i="4"/>
  <c r="I387" i="4"/>
  <c r="H387" i="4"/>
  <c r="G387" i="4"/>
  <c r="K386" i="4"/>
  <c r="L386" i="4" s="1"/>
  <c r="I386" i="4"/>
  <c r="H386" i="4"/>
  <c r="G386" i="4"/>
  <c r="J386" i="4" s="1"/>
  <c r="N386" i="4" s="1"/>
  <c r="K385" i="4"/>
  <c r="I385" i="4"/>
  <c r="H385" i="4"/>
  <c r="J385" i="4" s="1"/>
  <c r="G385" i="4"/>
  <c r="K384" i="4"/>
  <c r="L384" i="4" s="1"/>
  <c r="I384" i="4"/>
  <c r="H384" i="4"/>
  <c r="G384" i="4"/>
  <c r="J384" i="4" s="1"/>
  <c r="N383" i="4"/>
  <c r="K383" i="4"/>
  <c r="I383" i="4"/>
  <c r="H383" i="4"/>
  <c r="G383" i="4"/>
  <c r="J383" i="4" s="1"/>
  <c r="O383" i="4" s="1"/>
  <c r="K382" i="4"/>
  <c r="I382" i="4"/>
  <c r="J382" i="4" s="1"/>
  <c r="H382" i="4"/>
  <c r="G382" i="4"/>
  <c r="M381" i="4"/>
  <c r="L381" i="4"/>
  <c r="K381" i="4"/>
  <c r="J381" i="4"/>
  <c r="Q381" i="4" s="1"/>
  <c r="I381" i="4"/>
  <c r="H381" i="4"/>
  <c r="G381" i="4"/>
  <c r="K380" i="4"/>
  <c r="I380" i="4"/>
  <c r="H380" i="4"/>
  <c r="G380" i="4"/>
  <c r="K379" i="4"/>
  <c r="L379" i="4" s="1"/>
  <c r="J379" i="4"/>
  <c r="I379" i="4"/>
  <c r="H379" i="4"/>
  <c r="G379" i="4"/>
  <c r="M378" i="4"/>
  <c r="K378" i="4"/>
  <c r="L378" i="4" s="1"/>
  <c r="I378" i="4"/>
  <c r="H378" i="4"/>
  <c r="G378" i="4"/>
  <c r="J378" i="4" s="1"/>
  <c r="N378" i="4" s="1"/>
  <c r="K377" i="4"/>
  <c r="I377" i="4"/>
  <c r="H377" i="4"/>
  <c r="G377" i="4"/>
  <c r="L376" i="4"/>
  <c r="K376" i="4"/>
  <c r="I376" i="4"/>
  <c r="H376" i="4"/>
  <c r="G376" i="4"/>
  <c r="J376" i="4" s="1"/>
  <c r="K375" i="4"/>
  <c r="I375" i="4"/>
  <c r="H375" i="4"/>
  <c r="G375" i="4"/>
  <c r="J375" i="4" s="1"/>
  <c r="O375" i="4" s="1"/>
  <c r="K374" i="4"/>
  <c r="J374" i="4"/>
  <c r="I374" i="4"/>
  <c r="H374" i="4"/>
  <c r="G374" i="4"/>
  <c r="M373" i="4"/>
  <c r="L373" i="4"/>
  <c r="K373" i="4"/>
  <c r="J373" i="4"/>
  <c r="Q373" i="4" s="1"/>
  <c r="I373" i="4"/>
  <c r="H373" i="4"/>
  <c r="G373" i="4"/>
  <c r="K372" i="4"/>
  <c r="L372" i="4" s="1"/>
  <c r="I372" i="4"/>
  <c r="H372" i="4"/>
  <c r="G372" i="4"/>
  <c r="J372" i="4" s="1"/>
  <c r="P372" i="4" s="1"/>
  <c r="K371" i="4"/>
  <c r="J371" i="4"/>
  <c r="I371" i="4"/>
  <c r="H371" i="4"/>
  <c r="G371" i="4"/>
  <c r="M370" i="4"/>
  <c r="K370" i="4"/>
  <c r="O370" i="4" s="1"/>
  <c r="H370" i="4"/>
  <c r="J370" i="4" s="1"/>
  <c r="G370" i="4"/>
  <c r="M369" i="4"/>
  <c r="K369" i="4"/>
  <c r="H369" i="4"/>
  <c r="G369" i="4"/>
  <c r="J369" i="4" s="1"/>
  <c r="P369" i="4" s="1"/>
  <c r="M368" i="4"/>
  <c r="K368" i="4"/>
  <c r="H368" i="4"/>
  <c r="J368" i="4" s="1"/>
  <c r="G368" i="4"/>
  <c r="M367" i="4"/>
  <c r="L367" i="4"/>
  <c r="K367" i="4"/>
  <c r="O367" i="4" s="1"/>
  <c r="H367" i="4"/>
  <c r="G367" i="4"/>
  <c r="J367" i="4" s="1"/>
  <c r="N366" i="4"/>
  <c r="M366" i="4"/>
  <c r="K366" i="4"/>
  <c r="L366" i="4" s="1"/>
  <c r="H366" i="4"/>
  <c r="J366" i="4" s="1"/>
  <c r="G366" i="4"/>
  <c r="P365" i="4"/>
  <c r="O365" i="4"/>
  <c r="M365" i="4"/>
  <c r="K365" i="4"/>
  <c r="H365" i="4"/>
  <c r="G365" i="4"/>
  <c r="J365" i="4" s="1"/>
  <c r="K364" i="4"/>
  <c r="H364" i="4"/>
  <c r="J364" i="4" s="1"/>
  <c r="G364" i="4"/>
  <c r="M363" i="4"/>
  <c r="L363" i="4"/>
  <c r="K363" i="4"/>
  <c r="H363" i="4"/>
  <c r="G363" i="4"/>
  <c r="J363" i="4" s="1"/>
  <c r="N362" i="4"/>
  <c r="M362" i="4"/>
  <c r="K362" i="4"/>
  <c r="O362" i="4" s="1"/>
  <c r="H362" i="4"/>
  <c r="J362" i="4" s="1"/>
  <c r="G362" i="4"/>
  <c r="K361" i="4"/>
  <c r="H361" i="4"/>
  <c r="G361" i="4"/>
  <c r="J361" i="4" s="1"/>
  <c r="M360" i="4"/>
  <c r="K360" i="4"/>
  <c r="L360" i="4" s="1"/>
  <c r="J360" i="4"/>
  <c r="Q360" i="4" s="1"/>
  <c r="H360" i="4"/>
  <c r="G360" i="4"/>
  <c r="K359" i="4"/>
  <c r="H359" i="4"/>
  <c r="G359" i="4"/>
  <c r="J359" i="4" s="1"/>
  <c r="N358" i="4"/>
  <c r="M358" i="4"/>
  <c r="K358" i="4"/>
  <c r="H358" i="4"/>
  <c r="J358" i="4" s="1"/>
  <c r="G358" i="4"/>
  <c r="P357" i="4"/>
  <c r="K357" i="4"/>
  <c r="H357" i="4"/>
  <c r="G357" i="4"/>
  <c r="J357" i="4" s="1"/>
  <c r="O357" i="4" s="1"/>
  <c r="M356" i="4"/>
  <c r="K356" i="4"/>
  <c r="J356" i="4"/>
  <c r="H356" i="4"/>
  <c r="G356" i="4"/>
  <c r="K355" i="4"/>
  <c r="H355" i="4"/>
  <c r="G355" i="4"/>
  <c r="N354" i="4"/>
  <c r="M354" i="4"/>
  <c r="K354" i="4"/>
  <c r="H354" i="4"/>
  <c r="J354" i="4" s="1"/>
  <c r="G354" i="4"/>
  <c r="O353" i="4"/>
  <c r="M353" i="4"/>
  <c r="K353" i="4"/>
  <c r="L353" i="4" s="1"/>
  <c r="H353" i="4"/>
  <c r="G353" i="4"/>
  <c r="J353" i="4" s="1"/>
  <c r="P353" i="4" s="1"/>
  <c r="Q352" i="4"/>
  <c r="K352" i="4"/>
  <c r="J352" i="4"/>
  <c r="H352" i="4"/>
  <c r="G352" i="4"/>
  <c r="K351" i="4"/>
  <c r="H351" i="4"/>
  <c r="G351" i="4"/>
  <c r="Q350" i="4"/>
  <c r="N350" i="4"/>
  <c r="M350" i="4"/>
  <c r="K350" i="4"/>
  <c r="H350" i="4"/>
  <c r="J350" i="4" s="1"/>
  <c r="G350" i="4"/>
  <c r="M349" i="4"/>
  <c r="K349" i="4"/>
  <c r="H349" i="4"/>
  <c r="G349" i="4"/>
  <c r="J349" i="4" s="1"/>
  <c r="Q349" i="4" s="1"/>
  <c r="O348" i="4"/>
  <c r="K348" i="4"/>
  <c r="J348" i="4"/>
  <c r="P348" i="4" s="1"/>
  <c r="H348" i="4"/>
  <c r="G348" i="4"/>
  <c r="M347" i="4"/>
  <c r="K347" i="4"/>
  <c r="H347" i="4"/>
  <c r="G347" i="4"/>
  <c r="Q346" i="4"/>
  <c r="K346" i="4"/>
  <c r="L346" i="4" s="1"/>
  <c r="H346" i="4"/>
  <c r="J346" i="4" s="1"/>
  <c r="G346" i="4"/>
  <c r="M345" i="4"/>
  <c r="K345" i="4"/>
  <c r="H345" i="4"/>
  <c r="G345" i="4"/>
  <c r="J345" i="4" s="1"/>
  <c r="P345" i="4" s="1"/>
  <c r="K344" i="4"/>
  <c r="J344" i="4"/>
  <c r="H344" i="4"/>
  <c r="G344" i="4"/>
  <c r="K343" i="4"/>
  <c r="H343" i="4"/>
  <c r="G343" i="4"/>
  <c r="J343" i="4" s="1"/>
  <c r="Q342" i="4"/>
  <c r="M342" i="4"/>
  <c r="K342" i="4"/>
  <c r="H342" i="4"/>
  <c r="J342" i="4" s="1"/>
  <c r="G342" i="4"/>
  <c r="P341" i="4"/>
  <c r="O341" i="4"/>
  <c r="K341" i="4"/>
  <c r="H341" i="4"/>
  <c r="G341" i="4"/>
  <c r="J341" i="4" s="1"/>
  <c r="Q341" i="4" s="1"/>
  <c r="O340" i="4"/>
  <c r="M340" i="4"/>
  <c r="K340" i="4"/>
  <c r="L340" i="4" s="1"/>
  <c r="J340" i="4"/>
  <c r="H340" i="4"/>
  <c r="G340" i="4"/>
  <c r="K339" i="4"/>
  <c r="H339" i="4"/>
  <c r="G339" i="4"/>
  <c r="N338" i="4"/>
  <c r="K338" i="4"/>
  <c r="H338" i="4"/>
  <c r="J338" i="4" s="1"/>
  <c r="G338" i="4"/>
  <c r="P337" i="4"/>
  <c r="M337" i="4"/>
  <c r="K337" i="4"/>
  <c r="L337" i="4" s="1"/>
  <c r="H337" i="4"/>
  <c r="G337" i="4"/>
  <c r="J337" i="4" s="1"/>
  <c r="K336" i="4"/>
  <c r="H336" i="4"/>
  <c r="J336" i="4" s="1"/>
  <c r="M336" i="4" s="1"/>
  <c r="G336" i="4"/>
  <c r="M335" i="4"/>
  <c r="L335" i="4"/>
  <c r="K335" i="4"/>
  <c r="H335" i="4"/>
  <c r="G335" i="4"/>
  <c r="J335" i="4" s="1"/>
  <c r="Q335" i="4" s="1"/>
  <c r="K334" i="4"/>
  <c r="H334" i="4"/>
  <c r="J334" i="4" s="1"/>
  <c r="G334" i="4"/>
  <c r="O333" i="4"/>
  <c r="M333" i="4"/>
  <c r="K333" i="4"/>
  <c r="H333" i="4"/>
  <c r="G333" i="4"/>
  <c r="J333" i="4" s="1"/>
  <c r="Q332" i="4"/>
  <c r="K332" i="4"/>
  <c r="N332" i="4" s="1"/>
  <c r="J332" i="4"/>
  <c r="P332" i="4" s="1"/>
  <c r="H332" i="4"/>
  <c r="G332" i="4"/>
  <c r="K331" i="4"/>
  <c r="H331" i="4"/>
  <c r="G331" i="4"/>
  <c r="M330" i="4"/>
  <c r="K330" i="4"/>
  <c r="H330" i="4"/>
  <c r="J330" i="4" s="1"/>
  <c r="G330" i="4"/>
  <c r="M329" i="4"/>
  <c r="K329" i="4"/>
  <c r="H329" i="4"/>
  <c r="G329" i="4"/>
  <c r="J329" i="4" s="1"/>
  <c r="K328" i="4"/>
  <c r="H328" i="4"/>
  <c r="J328" i="4" s="1"/>
  <c r="G328" i="4"/>
  <c r="K327" i="4"/>
  <c r="H327" i="4"/>
  <c r="G327" i="4"/>
  <c r="N326" i="4"/>
  <c r="M326" i="4"/>
  <c r="K326" i="4"/>
  <c r="H326" i="4"/>
  <c r="J326" i="4" s="1"/>
  <c r="P326" i="4" s="1"/>
  <c r="G326" i="4"/>
  <c r="M325" i="4"/>
  <c r="K325" i="4"/>
  <c r="H325" i="4"/>
  <c r="G325" i="4"/>
  <c r="J325" i="4" s="1"/>
  <c r="N325" i="4" s="1"/>
  <c r="K324" i="4"/>
  <c r="J324" i="4"/>
  <c r="H324" i="4"/>
  <c r="G324" i="4"/>
  <c r="M323" i="4"/>
  <c r="K323" i="4"/>
  <c r="H323" i="4"/>
  <c r="G323" i="4"/>
  <c r="K322" i="4"/>
  <c r="I322" i="4"/>
  <c r="H322" i="4"/>
  <c r="G322" i="4"/>
  <c r="K321" i="4"/>
  <c r="I321" i="4"/>
  <c r="J321" i="4" s="1"/>
  <c r="H321" i="4"/>
  <c r="G321" i="4"/>
  <c r="K320" i="4"/>
  <c r="I320" i="4"/>
  <c r="H320" i="4"/>
  <c r="G320" i="4"/>
  <c r="K319" i="4"/>
  <c r="J319" i="4"/>
  <c r="I319" i="4"/>
  <c r="H319" i="4"/>
  <c r="G319" i="4"/>
  <c r="K318" i="4"/>
  <c r="J318" i="4"/>
  <c r="I318" i="4"/>
  <c r="H318" i="4"/>
  <c r="G318" i="4"/>
  <c r="K317" i="4"/>
  <c r="I317" i="4"/>
  <c r="H317" i="4"/>
  <c r="J317" i="4" s="1"/>
  <c r="G317" i="4"/>
  <c r="K316" i="4"/>
  <c r="I316" i="4"/>
  <c r="H316" i="4"/>
  <c r="G316" i="4"/>
  <c r="K315" i="4"/>
  <c r="L315" i="4" s="1"/>
  <c r="I315" i="4"/>
  <c r="H315" i="4"/>
  <c r="J315" i="4" s="1"/>
  <c r="G315" i="4"/>
  <c r="O314" i="4"/>
  <c r="M314" i="4"/>
  <c r="K314" i="4"/>
  <c r="I314" i="4"/>
  <c r="H314" i="4"/>
  <c r="G314" i="4"/>
  <c r="J314" i="4" s="1"/>
  <c r="Q314" i="4" s="1"/>
  <c r="L313" i="4"/>
  <c r="K313" i="4"/>
  <c r="I313" i="4"/>
  <c r="H313" i="4"/>
  <c r="J313" i="4" s="1"/>
  <c r="G313" i="4"/>
  <c r="K312" i="4"/>
  <c r="I312" i="4"/>
  <c r="H312" i="4"/>
  <c r="G312" i="4"/>
  <c r="N311" i="4"/>
  <c r="K311" i="4"/>
  <c r="J311" i="4"/>
  <c r="I311" i="4"/>
  <c r="H311" i="4"/>
  <c r="G311" i="4"/>
  <c r="O310" i="4"/>
  <c r="K310" i="4"/>
  <c r="J310" i="4"/>
  <c r="Q310" i="4" s="1"/>
  <c r="I310" i="4"/>
  <c r="H310" i="4"/>
  <c r="G310" i="4"/>
  <c r="N309" i="4"/>
  <c r="K309" i="4"/>
  <c r="I309" i="4"/>
  <c r="H309" i="4"/>
  <c r="J309" i="4" s="1"/>
  <c r="G309" i="4"/>
  <c r="K308" i="4"/>
  <c r="I308" i="4"/>
  <c r="H308" i="4"/>
  <c r="G308" i="4"/>
  <c r="K307" i="4"/>
  <c r="I307" i="4"/>
  <c r="H307" i="4"/>
  <c r="J307" i="4" s="1"/>
  <c r="G307" i="4"/>
  <c r="Q306" i="4"/>
  <c r="M306" i="4"/>
  <c r="K306" i="4"/>
  <c r="I306" i="4"/>
  <c r="H306" i="4"/>
  <c r="G306" i="4"/>
  <c r="J306" i="4" s="1"/>
  <c r="P306" i="4" s="1"/>
  <c r="K305" i="4"/>
  <c r="I305" i="4"/>
  <c r="H305" i="4"/>
  <c r="J305" i="4" s="1"/>
  <c r="G305" i="4"/>
  <c r="K304" i="4"/>
  <c r="I304" i="4"/>
  <c r="H304" i="4"/>
  <c r="G304" i="4"/>
  <c r="J304" i="4" s="1"/>
  <c r="K303" i="4"/>
  <c r="I303" i="4"/>
  <c r="H303" i="4"/>
  <c r="J303" i="4" s="1"/>
  <c r="G303" i="4"/>
  <c r="K302" i="4"/>
  <c r="I302" i="4"/>
  <c r="J302" i="4" s="1"/>
  <c r="H302" i="4"/>
  <c r="G302" i="4"/>
  <c r="N301" i="4"/>
  <c r="M301" i="4"/>
  <c r="K301" i="4"/>
  <c r="J301" i="4"/>
  <c r="I301" i="4"/>
  <c r="H301" i="4"/>
  <c r="G301" i="4"/>
  <c r="K300" i="4"/>
  <c r="I300" i="4"/>
  <c r="H300" i="4"/>
  <c r="G300" i="4"/>
  <c r="N299" i="4"/>
  <c r="K299" i="4"/>
  <c r="L299" i="4" s="1"/>
  <c r="P299" i="4" s="1"/>
  <c r="J299" i="4"/>
  <c r="I299" i="4"/>
  <c r="H299" i="4"/>
  <c r="G299" i="4"/>
  <c r="K298" i="4"/>
  <c r="I298" i="4"/>
  <c r="H298" i="4"/>
  <c r="G298" i="4"/>
  <c r="K297" i="4"/>
  <c r="J297" i="4"/>
  <c r="I297" i="4"/>
  <c r="H297" i="4"/>
  <c r="G297" i="4"/>
  <c r="K296" i="4"/>
  <c r="L296" i="4" s="1"/>
  <c r="I296" i="4"/>
  <c r="H296" i="4"/>
  <c r="G296" i="4"/>
  <c r="J296" i="4" s="1"/>
  <c r="Q296" i="4" s="1"/>
  <c r="K295" i="4"/>
  <c r="I295" i="4"/>
  <c r="H295" i="4"/>
  <c r="G295" i="4"/>
  <c r="J295" i="4" s="1"/>
  <c r="M294" i="4"/>
  <c r="K294" i="4"/>
  <c r="I294" i="4"/>
  <c r="H294" i="4"/>
  <c r="G294" i="4"/>
  <c r="J294" i="4" s="1"/>
  <c r="N293" i="4"/>
  <c r="K293" i="4"/>
  <c r="J293" i="4"/>
  <c r="O293" i="4" s="1"/>
  <c r="I293" i="4"/>
  <c r="H293" i="4"/>
  <c r="G293" i="4"/>
  <c r="K292" i="4"/>
  <c r="I292" i="4"/>
  <c r="H292" i="4"/>
  <c r="G292" i="4"/>
  <c r="J292" i="4" s="1"/>
  <c r="K291" i="4"/>
  <c r="I291" i="4"/>
  <c r="H291" i="4"/>
  <c r="J291" i="4" s="1"/>
  <c r="G291" i="4"/>
  <c r="K290" i="4"/>
  <c r="I290" i="4"/>
  <c r="J290" i="4" s="1"/>
  <c r="H290" i="4"/>
  <c r="G290" i="4"/>
  <c r="K289" i="4"/>
  <c r="I289" i="4"/>
  <c r="H289" i="4"/>
  <c r="J289" i="4" s="1"/>
  <c r="G289" i="4"/>
  <c r="K288" i="4"/>
  <c r="I288" i="4"/>
  <c r="H288" i="4"/>
  <c r="G288" i="4"/>
  <c r="N287" i="4"/>
  <c r="K287" i="4"/>
  <c r="J287" i="4"/>
  <c r="I287" i="4"/>
  <c r="H287" i="4"/>
  <c r="G287" i="4"/>
  <c r="O286" i="4"/>
  <c r="K286" i="4"/>
  <c r="L286" i="4" s="1"/>
  <c r="J286" i="4"/>
  <c r="Q286" i="4" s="1"/>
  <c r="I286" i="4"/>
  <c r="H286" i="4"/>
  <c r="G286" i="4"/>
  <c r="K285" i="4"/>
  <c r="I285" i="4"/>
  <c r="H285" i="4"/>
  <c r="J285" i="4" s="1"/>
  <c r="G285" i="4"/>
  <c r="K284" i="4"/>
  <c r="I284" i="4"/>
  <c r="H284" i="4"/>
  <c r="G284" i="4"/>
  <c r="K283" i="4"/>
  <c r="J283" i="4"/>
  <c r="I283" i="4"/>
  <c r="H283" i="4"/>
  <c r="G283" i="4"/>
  <c r="K282" i="4"/>
  <c r="L282" i="4" s="1"/>
  <c r="I282" i="4"/>
  <c r="H282" i="4"/>
  <c r="G282" i="4"/>
  <c r="J282" i="4" s="1"/>
  <c r="M281" i="4"/>
  <c r="K281" i="4"/>
  <c r="J281" i="4"/>
  <c r="O281" i="4" s="1"/>
  <c r="I281" i="4"/>
  <c r="H281" i="4"/>
  <c r="G281" i="4"/>
  <c r="P280" i="4"/>
  <c r="L280" i="4"/>
  <c r="K280" i="4"/>
  <c r="I280" i="4"/>
  <c r="H280" i="4"/>
  <c r="G280" i="4"/>
  <c r="J280" i="4" s="1"/>
  <c r="O280" i="4" s="1"/>
  <c r="M279" i="4"/>
  <c r="K279" i="4"/>
  <c r="H279" i="4"/>
  <c r="G279" i="4"/>
  <c r="J279" i="4" s="1"/>
  <c r="M278" i="4"/>
  <c r="K278" i="4"/>
  <c r="H278" i="4"/>
  <c r="J278" i="4" s="1"/>
  <c r="G278" i="4"/>
  <c r="O277" i="4"/>
  <c r="N277" i="4"/>
  <c r="K277" i="4"/>
  <c r="L277" i="4" s="1"/>
  <c r="J277" i="4"/>
  <c r="H277" i="4"/>
  <c r="G277" i="4"/>
  <c r="M276" i="4"/>
  <c r="K276" i="4"/>
  <c r="J276" i="4"/>
  <c r="H276" i="4"/>
  <c r="G276" i="4"/>
  <c r="M275" i="4"/>
  <c r="K275" i="4"/>
  <c r="H275" i="4"/>
  <c r="G275" i="4"/>
  <c r="J275" i="4" s="1"/>
  <c r="L274" i="4"/>
  <c r="K274" i="4"/>
  <c r="H274" i="4"/>
  <c r="G274" i="4"/>
  <c r="J274" i="4" s="1"/>
  <c r="M273" i="4"/>
  <c r="K273" i="4"/>
  <c r="J273" i="4"/>
  <c r="Q273" i="4" s="1"/>
  <c r="H273" i="4"/>
  <c r="G273" i="4"/>
  <c r="N272" i="4"/>
  <c r="K272" i="4"/>
  <c r="J272" i="4"/>
  <c r="O272" i="4" s="1"/>
  <c r="H272" i="4"/>
  <c r="G272" i="4"/>
  <c r="O271" i="4"/>
  <c r="M271" i="4"/>
  <c r="K271" i="4"/>
  <c r="H271" i="4"/>
  <c r="G271" i="4"/>
  <c r="J271" i="4" s="1"/>
  <c r="K270" i="4"/>
  <c r="H270" i="4"/>
  <c r="G270" i="4"/>
  <c r="J270" i="4" s="1"/>
  <c r="K269" i="4"/>
  <c r="H269" i="4"/>
  <c r="G269" i="4"/>
  <c r="J269" i="4" s="1"/>
  <c r="K268" i="4"/>
  <c r="H268" i="4"/>
  <c r="J268" i="4" s="1"/>
  <c r="G268" i="4"/>
  <c r="M267" i="4"/>
  <c r="K267" i="4"/>
  <c r="L267" i="4" s="1"/>
  <c r="J267" i="4"/>
  <c r="H267" i="4"/>
  <c r="G267" i="4"/>
  <c r="M266" i="4"/>
  <c r="K266" i="4"/>
  <c r="H266" i="4"/>
  <c r="G266" i="4"/>
  <c r="J266" i="4" s="1"/>
  <c r="K265" i="4"/>
  <c r="H265" i="4"/>
  <c r="G265" i="4"/>
  <c r="J265" i="4" s="1"/>
  <c r="K264" i="4"/>
  <c r="H264" i="4"/>
  <c r="G264" i="4"/>
  <c r="J264" i="4" s="1"/>
  <c r="M263" i="4"/>
  <c r="K263" i="4"/>
  <c r="J263" i="4"/>
  <c r="Q263" i="4" s="1"/>
  <c r="H263" i="4"/>
  <c r="G263" i="4"/>
  <c r="N262" i="4"/>
  <c r="K262" i="4"/>
  <c r="J262" i="4"/>
  <c r="O262" i="4" s="1"/>
  <c r="H262" i="4"/>
  <c r="G262" i="4"/>
  <c r="O261" i="4"/>
  <c r="M261" i="4"/>
  <c r="K261" i="4"/>
  <c r="H261" i="4"/>
  <c r="G261" i="4"/>
  <c r="J261" i="4" s="1"/>
  <c r="Q260" i="4"/>
  <c r="K260" i="4"/>
  <c r="H260" i="4"/>
  <c r="G260" i="4"/>
  <c r="J260" i="4" s="1"/>
  <c r="K259" i="4"/>
  <c r="H259" i="4"/>
  <c r="G259" i="4"/>
  <c r="J259" i="4" s="1"/>
  <c r="M258" i="4"/>
  <c r="K258" i="4"/>
  <c r="H258" i="4"/>
  <c r="J258" i="4" s="1"/>
  <c r="G258" i="4"/>
  <c r="O257" i="4"/>
  <c r="N257" i="4"/>
  <c r="K257" i="4"/>
  <c r="L257" i="4" s="1"/>
  <c r="J257" i="4"/>
  <c r="H257" i="4"/>
  <c r="G257" i="4"/>
  <c r="M256" i="4"/>
  <c r="K256" i="4"/>
  <c r="J256" i="4"/>
  <c r="H256" i="4"/>
  <c r="G256" i="4"/>
  <c r="K255" i="4"/>
  <c r="N255" i="4" s="1"/>
  <c r="J255" i="4"/>
  <c r="H255" i="4"/>
  <c r="G255" i="4"/>
  <c r="K254" i="4"/>
  <c r="H254" i="4"/>
  <c r="G254" i="4"/>
  <c r="J254" i="4" s="1"/>
  <c r="M253" i="4"/>
  <c r="K253" i="4"/>
  <c r="H253" i="4"/>
  <c r="G253" i="4"/>
  <c r="J253" i="4" s="1"/>
  <c r="M252" i="4"/>
  <c r="K252" i="4"/>
  <c r="H252" i="4"/>
  <c r="J252" i="4" s="1"/>
  <c r="G252" i="4"/>
  <c r="N251" i="4"/>
  <c r="K251" i="4"/>
  <c r="J251" i="4"/>
  <c r="P251" i="4" s="1"/>
  <c r="H251" i="4"/>
  <c r="G251" i="4"/>
  <c r="N250" i="4"/>
  <c r="M250" i="4"/>
  <c r="K250" i="4"/>
  <c r="J250" i="4"/>
  <c r="O250" i="4" s="1"/>
  <c r="H250" i="4"/>
  <c r="G250" i="4"/>
  <c r="O249" i="4"/>
  <c r="M249" i="4"/>
  <c r="K249" i="4"/>
  <c r="L249" i="4" s="1"/>
  <c r="H249" i="4"/>
  <c r="G249" i="4"/>
  <c r="J249" i="4" s="1"/>
  <c r="K248" i="4"/>
  <c r="H248" i="4"/>
  <c r="G248" i="4"/>
  <c r="J248" i="4" s="1"/>
  <c r="N247" i="4"/>
  <c r="M247" i="4"/>
  <c r="K247" i="4"/>
  <c r="O247" i="4" s="1"/>
  <c r="J247" i="4"/>
  <c r="Q247" i="4" s="1"/>
  <c r="H247" i="4"/>
  <c r="G247" i="4"/>
  <c r="M246" i="4"/>
  <c r="K246" i="4"/>
  <c r="J246" i="4"/>
  <c r="H246" i="4"/>
  <c r="G246" i="4"/>
  <c r="K245" i="4"/>
  <c r="J245" i="4"/>
  <c r="H245" i="4"/>
  <c r="G245" i="4"/>
  <c r="M244" i="4"/>
  <c r="K244" i="4"/>
  <c r="H244" i="4"/>
  <c r="G244" i="4"/>
  <c r="J244" i="4" s="1"/>
  <c r="K243" i="4"/>
  <c r="H243" i="4"/>
  <c r="G243" i="4"/>
  <c r="J243" i="4" s="1"/>
  <c r="M242" i="4"/>
  <c r="L242" i="4"/>
  <c r="K242" i="4"/>
  <c r="H242" i="4"/>
  <c r="G242" i="4"/>
  <c r="J242" i="4" s="1"/>
  <c r="K241" i="4"/>
  <c r="H241" i="4"/>
  <c r="G241" i="4"/>
  <c r="J241" i="4" s="1"/>
  <c r="M240" i="4"/>
  <c r="K240" i="4"/>
  <c r="H240" i="4"/>
  <c r="J240" i="4" s="1"/>
  <c r="G240" i="4"/>
  <c r="N239" i="4"/>
  <c r="K239" i="4"/>
  <c r="J239" i="4"/>
  <c r="P239" i="4" s="1"/>
  <c r="H239" i="4"/>
  <c r="G239" i="4"/>
  <c r="N238" i="4"/>
  <c r="M238" i="4"/>
  <c r="K238" i="4"/>
  <c r="J238" i="4"/>
  <c r="O238" i="4" s="1"/>
  <c r="H238" i="4"/>
  <c r="G238" i="4"/>
  <c r="O237" i="4"/>
  <c r="K237" i="4"/>
  <c r="L237" i="4" s="1"/>
  <c r="J237" i="4"/>
  <c r="P237" i="4" s="1"/>
  <c r="H237" i="4"/>
  <c r="G237" i="4"/>
  <c r="M236" i="4"/>
  <c r="K236" i="4"/>
  <c r="H236" i="4"/>
  <c r="G236" i="4"/>
  <c r="J236" i="4" s="1"/>
  <c r="P235" i="4"/>
  <c r="K235" i="4"/>
  <c r="N235" i="4" s="1"/>
  <c r="H235" i="4"/>
  <c r="G235" i="4"/>
  <c r="J235" i="4" s="1"/>
  <c r="M234" i="4"/>
  <c r="K234" i="4"/>
  <c r="H234" i="4"/>
  <c r="G234" i="4"/>
  <c r="J234" i="4" s="1"/>
  <c r="Q234" i="4" s="1"/>
  <c r="K233" i="4"/>
  <c r="H233" i="4"/>
  <c r="G233" i="4"/>
  <c r="J233" i="4" s="1"/>
  <c r="M232" i="4"/>
  <c r="K232" i="4"/>
  <c r="H232" i="4"/>
  <c r="J232" i="4" s="1"/>
  <c r="G232" i="4"/>
  <c r="O231" i="4"/>
  <c r="N231" i="4"/>
  <c r="K231" i="4"/>
  <c r="L231" i="4" s="1"/>
  <c r="J231" i="4"/>
  <c r="I231" i="4"/>
  <c r="H231" i="4"/>
  <c r="G231" i="4"/>
  <c r="K230" i="4"/>
  <c r="J230" i="4"/>
  <c r="I230" i="4"/>
  <c r="H230" i="4"/>
  <c r="G230" i="4"/>
  <c r="K229" i="4"/>
  <c r="I229" i="4"/>
  <c r="H229" i="4"/>
  <c r="J229" i="4" s="1"/>
  <c r="G229" i="4"/>
  <c r="K228" i="4"/>
  <c r="I228" i="4"/>
  <c r="H228" i="4"/>
  <c r="G228" i="4"/>
  <c r="O227" i="4"/>
  <c r="K227" i="4"/>
  <c r="L227" i="4" s="1"/>
  <c r="J227" i="4"/>
  <c r="P227" i="4" s="1"/>
  <c r="I227" i="4"/>
  <c r="H227" i="4"/>
  <c r="G227" i="4"/>
  <c r="K226" i="4"/>
  <c r="I226" i="4"/>
  <c r="H226" i="4"/>
  <c r="G226" i="4"/>
  <c r="J226" i="4" s="1"/>
  <c r="Q226" i="4" s="1"/>
  <c r="K225" i="4"/>
  <c r="I225" i="4"/>
  <c r="J225" i="4" s="1"/>
  <c r="H225" i="4"/>
  <c r="G225" i="4"/>
  <c r="K224" i="4"/>
  <c r="I224" i="4"/>
  <c r="H224" i="4"/>
  <c r="G224" i="4"/>
  <c r="J224" i="4" s="1"/>
  <c r="O224" i="4" s="1"/>
  <c r="K223" i="4"/>
  <c r="L223" i="4" s="1"/>
  <c r="I223" i="4"/>
  <c r="H223" i="4"/>
  <c r="G223" i="4"/>
  <c r="J223" i="4" s="1"/>
  <c r="K222" i="4"/>
  <c r="I222" i="4"/>
  <c r="H222" i="4"/>
  <c r="G222" i="4"/>
  <c r="J222" i="4" s="1"/>
  <c r="N221" i="4"/>
  <c r="K221" i="4"/>
  <c r="J221" i="4"/>
  <c r="O221" i="4" s="1"/>
  <c r="I221" i="4"/>
  <c r="H221" i="4"/>
  <c r="G221" i="4"/>
  <c r="Q220" i="4"/>
  <c r="K220" i="4"/>
  <c r="I220" i="4"/>
  <c r="H220" i="4"/>
  <c r="G220" i="4"/>
  <c r="J220" i="4" s="1"/>
  <c r="K219" i="4"/>
  <c r="I219" i="4"/>
  <c r="H219" i="4"/>
  <c r="J219" i="4" s="1"/>
  <c r="G219" i="4"/>
  <c r="K218" i="4"/>
  <c r="I218" i="4"/>
  <c r="J218" i="4" s="1"/>
  <c r="H218" i="4"/>
  <c r="G218" i="4"/>
  <c r="K217" i="4"/>
  <c r="I217" i="4"/>
  <c r="H217" i="4"/>
  <c r="J217" i="4" s="1"/>
  <c r="G217" i="4"/>
  <c r="K216" i="4"/>
  <c r="I216" i="4"/>
  <c r="H216" i="4"/>
  <c r="G216" i="4"/>
  <c r="N215" i="4"/>
  <c r="K215" i="4"/>
  <c r="J215" i="4"/>
  <c r="I215" i="4"/>
  <c r="H215" i="4"/>
  <c r="G215" i="4"/>
  <c r="O214" i="4"/>
  <c r="K214" i="4"/>
  <c r="J214" i="4"/>
  <c r="Q214" i="4" s="1"/>
  <c r="I214" i="4"/>
  <c r="H214" i="4"/>
  <c r="G214" i="4"/>
  <c r="Q213" i="4"/>
  <c r="K213" i="4"/>
  <c r="I213" i="4"/>
  <c r="H213" i="4"/>
  <c r="J213" i="4" s="1"/>
  <c r="G213" i="4"/>
  <c r="K212" i="4"/>
  <c r="I212" i="4"/>
  <c r="H212" i="4"/>
  <c r="G212" i="4"/>
  <c r="K211" i="4"/>
  <c r="J211" i="4"/>
  <c r="I211" i="4"/>
  <c r="H211" i="4"/>
  <c r="G211" i="4"/>
  <c r="K210" i="4"/>
  <c r="L210" i="4" s="1"/>
  <c r="I210" i="4"/>
  <c r="H210" i="4"/>
  <c r="G210" i="4"/>
  <c r="J210" i="4" s="1"/>
  <c r="K209" i="4"/>
  <c r="I209" i="4"/>
  <c r="J209" i="4" s="1"/>
  <c r="H209" i="4"/>
  <c r="G209" i="4"/>
  <c r="K208" i="4"/>
  <c r="I208" i="4"/>
  <c r="H208" i="4"/>
  <c r="J208" i="4" s="1"/>
  <c r="G208" i="4"/>
  <c r="K207" i="4"/>
  <c r="L207" i="4" s="1"/>
  <c r="I207" i="4"/>
  <c r="H207" i="4"/>
  <c r="G207" i="4"/>
  <c r="J207" i="4" s="1"/>
  <c r="N206" i="4"/>
  <c r="K206" i="4"/>
  <c r="L206" i="4" s="1"/>
  <c r="J206" i="4"/>
  <c r="Q206" i="4" s="1"/>
  <c r="I206" i="4"/>
  <c r="H206" i="4"/>
  <c r="G206" i="4"/>
  <c r="Q205" i="4"/>
  <c r="K205" i="4"/>
  <c r="L205" i="4" s="1"/>
  <c r="I205" i="4"/>
  <c r="J205" i="4" s="1"/>
  <c r="H205" i="4"/>
  <c r="G205" i="4"/>
  <c r="K204" i="4"/>
  <c r="I204" i="4"/>
  <c r="H204" i="4"/>
  <c r="G204" i="4"/>
  <c r="J204" i="4" s="1"/>
  <c r="K203" i="4"/>
  <c r="I203" i="4"/>
  <c r="H203" i="4"/>
  <c r="G203" i="4"/>
  <c r="J203" i="4" s="1"/>
  <c r="K202" i="4"/>
  <c r="J202" i="4"/>
  <c r="I202" i="4"/>
  <c r="H202" i="4"/>
  <c r="G202" i="4"/>
  <c r="K201" i="4"/>
  <c r="I201" i="4"/>
  <c r="J201" i="4" s="1"/>
  <c r="H201" i="4"/>
  <c r="G201" i="4"/>
  <c r="K200" i="4"/>
  <c r="I200" i="4"/>
  <c r="H200" i="4"/>
  <c r="J200" i="4" s="1"/>
  <c r="G200" i="4"/>
  <c r="K199" i="4"/>
  <c r="L199" i="4" s="1"/>
  <c r="I199" i="4"/>
  <c r="H199" i="4"/>
  <c r="G199" i="4"/>
  <c r="J199" i="4" s="1"/>
  <c r="N198" i="4"/>
  <c r="K198" i="4"/>
  <c r="L198" i="4" s="1"/>
  <c r="J198" i="4"/>
  <c r="Q198" i="4" s="1"/>
  <c r="I198" i="4"/>
  <c r="H198" i="4"/>
  <c r="G198" i="4"/>
  <c r="Q197" i="4"/>
  <c r="K197" i="4"/>
  <c r="L197" i="4" s="1"/>
  <c r="I197" i="4"/>
  <c r="J197" i="4" s="1"/>
  <c r="H197" i="4"/>
  <c r="G197" i="4"/>
  <c r="K196" i="4"/>
  <c r="I196" i="4"/>
  <c r="H196" i="4"/>
  <c r="G196" i="4"/>
  <c r="J196" i="4" s="1"/>
  <c r="K195" i="4"/>
  <c r="I195" i="4"/>
  <c r="H195" i="4"/>
  <c r="G195" i="4"/>
  <c r="J195" i="4" s="1"/>
  <c r="N194" i="4"/>
  <c r="K194" i="4"/>
  <c r="L194" i="4" s="1"/>
  <c r="J194" i="4"/>
  <c r="I194" i="4"/>
  <c r="H194" i="4"/>
  <c r="G194" i="4"/>
  <c r="K193" i="4"/>
  <c r="I193" i="4"/>
  <c r="J193" i="4" s="1"/>
  <c r="Q193" i="4" s="1"/>
  <c r="H193" i="4"/>
  <c r="G193" i="4"/>
  <c r="K192" i="4"/>
  <c r="I192" i="4"/>
  <c r="H192" i="4"/>
  <c r="J192" i="4" s="1"/>
  <c r="G192" i="4"/>
  <c r="K191" i="4"/>
  <c r="I191" i="4"/>
  <c r="H191" i="4"/>
  <c r="G191" i="4"/>
  <c r="N190" i="4"/>
  <c r="K190" i="4"/>
  <c r="L190" i="4" s="1"/>
  <c r="J190" i="4"/>
  <c r="I190" i="4"/>
  <c r="H190" i="4"/>
  <c r="G190" i="4"/>
  <c r="Q189" i="4"/>
  <c r="N189" i="4"/>
  <c r="M189" i="4"/>
  <c r="K189" i="4"/>
  <c r="L189" i="4" s="1"/>
  <c r="I189" i="4"/>
  <c r="J189" i="4" s="1"/>
  <c r="H189" i="4"/>
  <c r="G189" i="4"/>
  <c r="K188" i="4"/>
  <c r="H188" i="4"/>
  <c r="G188" i="4"/>
  <c r="K187" i="4"/>
  <c r="L187" i="4" s="1"/>
  <c r="J187" i="4"/>
  <c r="H187" i="4"/>
  <c r="G187" i="4"/>
  <c r="P186" i="4"/>
  <c r="M186" i="4"/>
  <c r="L186" i="4"/>
  <c r="K186" i="4"/>
  <c r="H186" i="4"/>
  <c r="G186" i="4"/>
  <c r="J186" i="4" s="1"/>
  <c r="O185" i="4"/>
  <c r="N185" i="4"/>
  <c r="K185" i="4"/>
  <c r="L185" i="4" s="1"/>
  <c r="J185" i="4"/>
  <c r="H185" i="4"/>
  <c r="G185" i="4"/>
  <c r="M184" i="4"/>
  <c r="K184" i="4"/>
  <c r="H184" i="4"/>
  <c r="G184" i="4"/>
  <c r="M183" i="4"/>
  <c r="K183" i="4"/>
  <c r="J183" i="4"/>
  <c r="H183" i="4"/>
  <c r="G183" i="4"/>
  <c r="K182" i="4"/>
  <c r="H182" i="4"/>
  <c r="G182" i="4"/>
  <c r="J182" i="4" s="1"/>
  <c r="P182" i="4" s="1"/>
  <c r="O181" i="4"/>
  <c r="N181" i="4"/>
  <c r="M181" i="4"/>
  <c r="K181" i="4"/>
  <c r="J181" i="4"/>
  <c r="H181" i="4"/>
  <c r="G181" i="4"/>
  <c r="Q180" i="4"/>
  <c r="P180" i="4"/>
  <c r="L180" i="4"/>
  <c r="K180" i="4"/>
  <c r="H180" i="4"/>
  <c r="G180" i="4"/>
  <c r="J180" i="4" s="1"/>
  <c r="M179" i="4"/>
  <c r="K179" i="4"/>
  <c r="J179" i="4"/>
  <c r="H179" i="4"/>
  <c r="G179" i="4"/>
  <c r="K178" i="4"/>
  <c r="H178" i="4"/>
  <c r="G178" i="4"/>
  <c r="J178" i="4" s="1"/>
  <c r="O177" i="4"/>
  <c r="M177" i="4"/>
  <c r="K177" i="4"/>
  <c r="J177" i="4"/>
  <c r="N177" i="4" s="1"/>
  <c r="H177" i="4"/>
  <c r="G177" i="4"/>
  <c r="Q176" i="4"/>
  <c r="P176" i="4"/>
  <c r="K176" i="4"/>
  <c r="H176" i="4"/>
  <c r="G176" i="4"/>
  <c r="J176" i="4" s="1"/>
  <c r="L176" i="4" s="1"/>
  <c r="M175" i="4"/>
  <c r="K175" i="4"/>
  <c r="J175" i="4"/>
  <c r="H175" i="4"/>
  <c r="G175" i="4"/>
  <c r="K174" i="4"/>
  <c r="H174" i="4"/>
  <c r="G174" i="4"/>
  <c r="J174" i="4" s="1"/>
  <c r="M173" i="4"/>
  <c r="K173" i="4"/>
  <c r="L173" i="4" s="1"/>
  <c r="J173" i="4"/>
  <c r="H173" i="4"/>
  <c r="G173" i="4"/>
  <c r="Q172" i="4"/>
  <c r="K172" i="4"/>
  <c r="H172" i="4"/>
  <c r="G172" i="4"/>
  <c r="J172" i="4" s="1"/>
  <c r="P172" i="4" s="1"/>
  <c r="O171" i="4"/>
  <c r="N171" i="4"/>
  <c r="K171" i="4"/>
  <c r="L171" i="4" s="1"/>
  <c r="J171" i="4"/>
  <c r="H171" i="4"/>
  <c r="G171" i="4"/>
  <c r="P170" i="4"/>
  <c r="M170" i="4"/>
  <c r="L170" i="4"/>
  <c r="K170" i="4"/>
  <c r="H170" i="4"/>
  <c r="G170" i="4"/>
  <c r="J170" i="4" s="1"/>
  <c r="Q170" i="4" s="1"/>
  <c r="M169" i="4"/>
  <c r="K169" i="4"/>
  <c r="J169" i="4"/>
  <c r="H169" i="4"/>
  <c r="G169" i="4"/>
  <c r="M168" i="4"/>
  <c r="K168" i="4"/>
  <c r="H168" i="4"/>
  <c r="G168" i="4"/>
  <c r="M167" i="4"/>
  <c r="K167" i="4"/>
  <c r="J167" i="4"/>
  <c r="H167" i="4"/>
  <c r="G167" i="4"/>
  <c r="K166" i="4"/>
  <c r="H166" i="4"/>
  <c r="G166" i="4"/>
  <c r="O165" i="4"/>
  <c r="N165" i="4"/>
  <c r="K165" i="4"/>
  <c r="J165" i="4"/>
  <c r="H165" i="4"/>
  <c r="G165" i="4"/>
  <c r="Q164" i="4"/>
  <c r="P164" i="4"/>
  <c r="M164" i="4"/>
  <c r="K164" i="4"/>
  <c r="H164" i="4"/>
  <c r="G164" i="4"/>
  <c r="J164" i="4" s="1"/>
  <c r="N164" i="4" s="1"/>
  <c r="K163" i="4"/>
  <c r="J163" i="4"/>
  <c r="H163" i="4"/>
  <c r="G163" i="4"/>
  <c r="M162" i="4"/>
  <c r="K162" i="4"/>
  <c r="H162" i="4"/>
  <c r="G162" i="4"/>
  <c r="K161" i="4"/>
  <c r="L161" i="4" s="1"/>
  <c r="J161" i="4"/>
  <c r="H161" i="4"/>
  <c r="G161" i="4"/>
  <c r="Q160" i="4"/>
  <c r="K160" i="4"/>
  <c r="H160" i="4"/>
  <c r="G160" i="4"/>
  <c r="J160" i="4" s="1"/>
  <c r="P160" i="4" s="1"/>
  <c r="O159" i="4"/>
  <c r="N159" i="4"/>
  <c r="M159" i="4"/>
  <c r="K159" i="4"/>
  <c r="J159" i="4"/>
  <c r="H159" i="4"/>
  <c r="G159" i="4"/>
  <c r="Q158" i="4"/>
  <c r="P158" i="4"/>
  <c r="M158" i="4"/>
  <c r="K158" i="4"/>
  <c r="H158" i="4"/>
  <c r="G158" i="4"/>
  <c r="J158" i="4" s="1"/>
  <c r="L158" i="4" s="1"/>
  <c r="K157" i="4"/>
  <c r="J157" i="4"/>
  <c r="H157" i="4"/>
  <c r="G157" i="4"/>
  <c r="M156" i="4"/>
  <c r="K156" i="4"/>
  <c r="H156" i="4"/>
  <c r="G156" i="4"/>
  <c r="K155" i="4"/>
  <c r="L155" i="4" s="1"/>
  <c r="J155" i="4"/>
  <c r="H155" i="4"/>
  <c r="G155" i="4"/>
  <c r="Q154" i="4"/>
  <c r="M154" i="4"/>
  <c r="K154" i="4"/>
  <c r="H154" i="4"/>
  <c r="G154" i="4"/>
  <c r="J154" i="4" s="1"/>
  <c r="P154" i="4" s="1"/>
  <c r="O153" i="4"/>
  <c r="N153" i="4"/>
  <c r="K153" i="4"/>
  <c r="L153" i="4" s="1"/>
  <c r="J153" i="4"/>
  <c r="H153" i="4"/>
  <c r="G153" i="4"/>
  <c r="P152" i="4"/>
  <c r="M152" i="4"/>
  <c r="L152" i="4"/>
  <c r="K152" i="4"/>
  <c r="O152" i="4" s="1"/>
  <c r="H152" i="4"/>
  <c r="G152" i="4"/>
  <c r="J152" i="4" s="1"/>
  <c r="N152" i="4" s="1"/>
  <c r="K151" i="4"/>
  <c r="J151" i="4"/>
  <c r="N151" i="4" s="1"/>
  <c r="H151" i="4"/>
  <c r="G151" i="4"/>
  <c r="M150" i="4"/>
  <c r="K150" i="4"/>
  <c r="J150" i="4"/>
  <c r="P150" i="4" s="1"/>
  <c r="H150" i="4"/>
  <c r="G150" i="4"/>
  <c r="M149" i="4"/>
  <c r="K149" i="4"/>
  <c r="O149" i="4" s="1"/>
  <c r="J149" i="4"/>
  <c r="N149" i="4" s="1"/>
  <c r="H149" i="4"/>
  <c r="G149" i="4"/>
  <c r="K148" i="4"/>
  <c r="H148" i="4"/>
  <c r="G148" i="4"/>
  <c r="M147" i="4"/>
  <c r="K147" i="4"/>
  <c r="J147" i="4"/>
  <c r="Q147" i="4" s="1"/>
  <c r="H147" i="4"/>
  <c r="G147" i="4"/>
  <c r="P146" i="4"/>
  <c r="M146" i="4"/>
  <c r="L146" i="4"/>
  <c r="K146" i="4"/>
  <c r="N146" i="4" s="1"/>
  <c r="J146" i="4"/>
  <c r="Q146" i="4" s="1"/>
  <c r="H146" i="4"/>
  <c r="G146" i="4"/>
  <c r="M145" i="4"/>
  <c r="K145" i="4"/>
  <c r="O145" i="4" s="1"/>
  <c r="H145" i="4"/>
  <c r="J145" i="4" s="1"/>
  <c r="G145" i="4"/>
  <c r="P144" i="4"/>
  <c r="N144" i="4"/>
  <c r="M144" i="4"/>
  <c r="K144" i="4"/>
  <c r="H144" i="4"/>
  <c r="G144" i="4"/>
  <c r="J144" i="4" s="1"/>
  <c r="O144" i="4" s="1"/>
  <c r="M143" i="4"/>
  <c r="K143" i="4"/>
  <c r="H143" i="4"/>
  <c r="G143" i="4"/>
  <c r="J143" i="4" s="1"/>
  <c r="K142" i="4"/>
  <c r="H142" i="4"/>
  <c r="J142" i="4" s="1"/>
  <c r="G142" i="4"/>
  <c r="Q141" i="4"/>
  <c r="O141" i="4"/>
  <c r="N141" i="4"/>
  <c r="M141" i="4"/>
  <c r="K141" i="4"/>
  <c r="L141" i="4" s="1"/>
  <c r="J141" i="4"/>
  <c r="P141" i="4" s="1"/>
  <c r="H141" i="4"/>
  <c r="G141" i="4"/>
  <c r="K140" i="4"/>
  <c r="I140" i="4"/>
  <c r="H140" i="4"/>
  <c r="G140" i="4"/>
  <c r="K139" i="4"/>
  <c r="I139" i="4"/>
  <c r="H139" i="4"/>
  <c r="G139" i="4"/>
  <c r="J139" i="4" s="1"/>
  <c r="M139" i="4" s="1"/>
  <c r="K138" i="4"/>
  <c r="J138" i="4"/>
  <c r="Q138" i="4" s="1"/>
  <c r="I138" i="4"/>
  <c r="H138" i="4"/>
  <c r="G138" i="4"/>
  <c r="K137" i="4"/>
  <c r="J137" i="4"/>
  <c r="L137" i="4" s="1"/>
  <c r="I137" i="4"/>
  <c r="H137" i="4"/>
  <c r="G137" i="4"/>
  <c r="K136" i="4"/>
  <c r="I136" i="4"/>
  <c r="H136" i="4"/>
  <c r="J136" i="4" s="1"/>
  <c r="G136" i="4"/>
  <c r="K135" i="4"/>
  <c r="I135" i="4"/>
  <c r="H135" i="4"/>
  <c r="G135" i="4"/>
  <c r="J135" i="4" s="1"/>
  <c r="K134" i="4"/>
  <c r="I134" i="4"/>
  <c r="H134" i="4"/>
  <c r="G134" i="4"/>
  <c r="J134" i="4" s="1"/>
  <c r="K133" i="4"/>
  <c r="I133" i="4"/>
  <c r="H133" i="4"/>
  <c r="J133" i="4" s="1"/>
  <c r="G133" i="4"/>
  <c r="K132" i="4"/>
  <c r="I132" i="4"/>
  <c r="H132" i="4"/>
  <c r="G132" i="4"/>
  <c r="K131" i="4"/>
  <c r="I131" i="4"/>
  <c r="H131" i="4"/>
  <c r="G131" i="4"/>
  <c r="K130" i="4"/>
  <c r="J130" i="4"/>
  <c r="I130" i="4"/>
  <c r="H130" i="4"/>
  <c r="G130" i="4"/>
  <c r="K129" i="4"/>
  <c r="I129" i="4"/>
  <c r="J129" i="4" s="1"/>
  <c r="H129" i="4"/>
  <c r="G129" i="4"/>
  <c r="K128" i="4"/>
  <c r="I128" i="4"/>
  <c r="H128" i="4"/>
  <c r="G128" i="4"/>
  <c r="J128" i="4" s="1"/>
  <c r="K127" i="4"/>
  <c r="L127" i="4" s="1"/>
  <c r="I127" i="4"/>
  <c r="H127" i="4"/>
  <c r="G127" i="4"/>
  <c r="J127" i="4" s="1"/>
  <c r="K126" i="4"/>
  <c r="I126" i="4"/>
  <c r="H126" i="4"/>
  <c r="J126" i="4" s="1"/>
  <c r="G126" i="4"/>
  <c r="K125" i="4"/>
  <c r="I125" i="4"/>
  <c r="J125" i="4" s="1"/>
  <c r="H125" i="4"/>
  <c r="G125" i="4"/>
  <c r="K124" i="4"/>
  <c r="I124" i="4"/>
  <c r="H124" i="4"/>
  <c r="G124" i="4"/>
  <c r="O123" i="4"/>
  <c r="N123" i="4"/>
  <c r="L123" i="4"/>
  <c r="K123" i="4"/>
  <c r="I123" i="4"/>
  <c r="H123" i="4"/>
  <c r="G123" i="4"/>
  <c r="J123" i="4" s="1"/>
  <c r="M123" i="4" s="1"/>
  <c r="K122" i="4"/>
  <c r="I122" i="4"/>
  <c r="J122" i="4" s="1"/>
  <c r="H122" i="4"/>
  <c r="G122" i="4"/>
  <c r="K121" i="4"/>
  <c r="I121" i="4"/>
  <c r="H121" i="4"/>
  <c r="G121" i="4"/>
  <c r="J121" i="4" s="1"/>
  <c r="K120" i="4"/>
  <c r="I120" i="4"/>
  <c r="H120" i="4"/>
  <c r="J120" i="4" s="1"/>
  <c r="G120" i="4"/>
  <c r="K119" i="4"/>
  <c r="L119" i="4" s="1"/>
  <c r="J119" i="4"/>
  <c r="I119" i="4"/>
  <c r="H119" i="4"/>
  <c r="G119" i="4"/>
  <c r="K118" i="4"/>
  <c r="J118" i="4"/>
  <c r="Q118" i="4" s="1"/>
  <c r="I118" i="4"/>
  <c r="H118" i="4"/>
  <c r="G118" i="4"/>
  <c r="Q117" i="4"/>
  <c r="M117" i="4"/>
  <c r="K117" i="4"/>
  <c r="L117" i="4" s="1"/>
  <c r="J117" i="4"/>
  <c r="I117" i="4"/>
  <c r="H117" i="4"/>
  <c r="G117" i="4"/>
  <c r="K116" i="4"/>
  <c r="I116" i="4"/>
  <c r="H116" i="4"/>
  <c r="G116" i="4"/>
  <c r="O115" i="4"/>
  <c r="K115" i="4"/>
  <c r="L115" i="4" s="1"/>
  <c r="I115" i="4"/>
  <c r="H115" i="4"/>
  <c r="G115" i="4"/>
  <c r="J115" i="4" s="1"/>
  <c r="M115" i="4" s="1"/>
  <c r="K114" i="4"/>
  <c r="L114" i="4" s="1"/>
  <c r="I114" i="4"/>
  <c r="H114" i="4"/>
  <c r="G114" i="4"/>
  <c r="J114" i="4" s="1"/>
  <c r="Q113" i="4"/>
  <c r="K113" i="4"/>
  <c r="J113" i="4"/>
  <c r="O113" i="4" s="1"/>
  <c r="I113" i="4"/>
  <c r="H113" i="4"/>
  <c r="G113" i="4"/>
  <c r="K112" i="4"/>
  <c r="J112" i="4"/>
  <c r="N112" i="4" s="1"/>
  <c r="I112" i="4"/>
  <c r="H112" i="4"/>
  <c r="G112" i="4"/>
  <c r="K111" i="4"/>
  <c r="I111" i="4"/>
  <c r="H111" i="4"/>
  <c r="G111" i="4"/>
  <c r="J111" i="4" s="1"/>
  <c r="K110" i="4"/>
  <c r="I110" i="4"/>
  <c r="H110" i="4"/>
  <c r="J110" i="4" s="1"/>
  <c r="G110" i="4"/>
  <c r="K109" i="4"/>
  <c r="I109" i="4"/>
  <c r="J109" i="4" s="1"/>
  <c r="H109" i="4"/>
  <c r="G109" i="4"/>
  <c r="K108" i="4"/>
  <c r="I108" i="4"/>
  <c r="H108" i="4"/>
  <c r="G108" i="4"/>
  <c r="K107" i="4"/>
  <c r="I107" i="4"/>
  <c r="H107" i="4"/>
  <c r="G107" i="4"/>
  <c r="J107" i="4" s="1"/>
  <c r="M107" i="4" s="1"/>
  <c r="K106" i="4"/>
  <c r="J106" i="4"/>
  <c r="Q106" i="4" s="1"/>
  <c r="I106" i="4"/>
  <c r="H106" i="4"/>
  <c r="G106" i="4"/>
  <c r="K105" i="4"/>
  <c r="J105" i="4"/>
  <c r="N105" i="4" s="1"/>
  <c r="I105" i="4"/>
  <c r="H105" i="4"/>
  <c r="G105" i="4"/>
  <c r="K104" i="4"/>
  <c r="I104" i="4"/>
  <c r="H104" i="4"/>
  <c r="J104" i="4" s="1"/>
  <c r="G104" i="4"/>
  <c r="K103" i="4"/>
  <c r="I103" i="4"/>
  <c r="H103" i="4"/>
  <c r="G103" i="4"/>
  <c r="J103" i="4" s="1"/>
  <c r="K102" i="4"/>
  <c r="I102" i="4"/>
  <c r="H102" i="4"/>
  <c r="G102" i="4"/>
  <c r="J102" i="4" s="1"/>
  <c r="K101" i="4"/>
  <c r="I101" i="4"/>
  <c r="H101" i="4"/>
  <c r="J101" i="4" s="1"/>
  <c r="G101" i="4"/>
  <c r="K100" i="4"/>
  <c r="I100" i="4"/>
  <c r="H100" i="4"/>
  <c r="G100" i="4"/>
  <c r="K99" i="4"/>
  <c r="I99" i="4"/>
  <c r="H99" i="4"/>
  <c r="G99" i="4"/>
  <c r="K98" i="4"/>
  <c r="J98" i="4"/>
  <c r="I98" i="4"/>
  <c r="H98" i="4"/>
  <c r="G98" i="4"/>
  <c r="M97" i="4"/>
  <c r="K97" i="4"/>
  <c r="H97" i="4"/>
  <c r="J97" i="4" s="1"/>
  <c r="G97" i="4"/>
  <c r="M96" i="4"/>
  <c r="K96" i="4"/>
  <c r="H96" i="4"/>
  <c r="G96" i="4"/>
  <c r="K95" i="4"/>
  <c r="H95" i="4"/>
  <c r="J95" i="4" s="1"/>
  <c r="G95" i="4"/>
  <c r="P94" i="4"/>
  <c r="O94" i="4"/>
  <c r="M94" i="4"/>
  <c r="L94" i="4"/>
  <c r="K94" i="4"/>
  <c r="J94" i="4"/>
  <c r="H94" i="4"/>
  <c r="G94" i="4"/>
  <c r="Q93" i="4"/>
  <c r="O93" i="4"/>
  <c r="N93" i="4"/>
  <c r="K93" i="4"/>
  <c r="J93" i="4"/>
  <c r="P93" i="4" s="1"/>
  <c r="H93" i="4"/>
  <c r="G93" i="4"/>
  <c r="M92" i="4"/>
  <c r="K92" i="4"/>
  <c r="H92" i="4"/>
  <c r="G92" i="4"/>
  <c r="M91" i="4"/>
  <c r="K91" i="4"/>
  <c r="H91" i="4"/>
  <c r="G91" i="4"/>
  <c r="J91" i="4" s="1"/>
  <c r="K90" i="4"/>
  <c r="H90" i="4"/>
  <c r="G90" i="4"/>
  <c r="J90" i="4" s="1"/>
  <c r="Q89" i="4"/>
  <c r="M89" i="4"/>
  <c r="K89" i="4"/>
  <c r="J89" i="4"/>
  <c r="P89" i="4" s="1"/>
  <c r="H89" i="4"/>
  <c r="G89" i="4"/>
  <c r="K88" i="4"/>
  <c r="N88" i="4" s="1"/>
  <c r="H88" i="4"/>
  <c r="G88" i="4"/>
  <c r="J88" i="4" s="1"/>
  <c r="M88" i="4" s="1"/>
  <c r="M87" i="4"/>
  <c r="K87" i="4"/>
  <c r="H87" i="4"/>
  <c r="G87" i="4"/>
  <c r="J87" i="4" s="1"/>
  <c r="K86" i="4"/>
  <c r="H86" i="4"/>
  <c r="G86" i="4"/>
  <c r="J86" i="4" s="1"/>
  <c r="M85" i="4"/>
  <c r="K85" i="4"/>
  <c r="H85" i="4"/>
  <c r="J85" i="4" s="1"/>
  <c r="G85" i="4"/>
  <c r="K84" i="4"/>
  <c r="H84" i="4"/>
  <c r="G84" i="4"/>
  <c r="M83" i="4"/>
  <c r="K83" i="4"/>
  <c r="H83" i="4"/>
  <c r="J83" i="4" s="1"/>
  <c r="G83" i="4"/>
  <c r="M82" i="4"/>
  <c r="K82" i="4"/>
  <c r="O82" i="4" s="1"/>
  <c r="J82" i="4"/>
  <c r="H82" i="4"/>
  <c r="G82" i="4"/>
  <c r="M81" i="4"/>
  <c r="K81" i="4"/>
  <c r="J81" i="4"/>
  <c r="P81" i="4" s="1"/>
  <c r="H81" i="4"/>
  <c r="G81" i="4"/>
  <c r="P80" i="4"/>
  <c r="N80" i="4"/>
  <c r="M80" i="4"/>
  <c r="L80" i="4"/>
  <c r="K80" i="4"/>
  <c r="O80" i="4" s="1"/>
  <c r="H80" i="4"/>
  <c r="G80" i="4"/>
  <c r="J80" i="4" s="1"/>
  <c r="Q80" i="4" s="1"/>
  <c r="M79" i="4"/>
  <c r="K79" i="4"/>
  <c r="H79" i="4"/>
  <c r="G79" i="4"/>
  <c r="J79" i="4" s="1"/>
  <c r="K78" i="4"/>
  <c r="H78" i="4"/>
  <c r="G78" i="4"/>
  <c r="J78" i="4" s="1"/>
  <c r="M77" i="4"/>
  <c r="K77" i="4"/>
  <c r="H77" i="4"/>
  <c r="J77" i="4" s="1"/>
  <c r="G77" i="4"/>
  <c r="P76" i="4"/>
  <c r="O76" i="4"/>
  <c r="N76" i="4"/>
  <c r="K76" i="4"/>
  <c r="H76" i="4"/>
  <c r="G76" i="4"/>
  <c r="J76" i="4" s="1"/>
  <c r="M76" i="4" s="1"/>
  <c r="K75" i="4"/>
  <c r="H75" i="4"/>
  <c r="G75" i="4"/>
  <c r="J75" i="4" s="1"/>
  <c r="M74" i="4"/>
  <c r="K74" i="4"/>
  <c r="H74" i="4"/>
  <c r="G74" i="4"/>
  <c r="J74" i="4" s="1"/>
  <c r="K73" i="4"/>
  <c r="H73" i="4"/>
  <c r="J73" i="4" s="1"/>
  <c r="G73" i="4"/>
  <c r="O72" i="4"/>
  <c r="M72" i="4"/>
  <c r="K72" i="4"/>
  <c r="L72" i="4" s="1"/>
  <c r="H72" i="4"/>
  <c r="G72" i="4"/>
  <c r="J72" i="4" s="1"/>
  <c r="Q72" i="4" s="1"/>
  <c r="K71" i="4"/>
  <c r="N71" i="4" s="1"/>
  <c r="H71" i="4"/>
  <c r="G71" i="4"/>
  <c r="J71" i="4" s="1"/>
  <c r="K70" i="4"/>
  <c r="H70" i="4"/>
  <c r="G70" i="4"/>
  <c r="J70" i="4" s="1"/>
  <c r="M69" i="4"/>
  <c r="K69" i="4"/>
  <c r="H69" i="4"/>
  <c r="J69" i="4" s="1"/>
  <c r="G69" i="4"/>
  <c r="K68" i="4"/>
  <c r="H68" i="4"/>
  <c r="G68" i="4"/>
  <c r="M67" i="4"/>
  <c r="K67" i="4"/>
  <c r="H67" i="4"/>
  <c r="G67" i="4"/>
  <c r="J67" i="4" s="1"/>
  <c r="K66" i="4"/>
  <c r="H66" i="4"/>
  <c r="G66" i="4"/>
  <c r="J66" i="4" s="1"/>
  <c r="Q65" i="4"/>
  <c r="M65" i="4"/>
  <c r="K65" i="4"/>
  <c r="J65" i="4"/>
  <c r="P65" i="4" s="1"/>
  <c r="H65" i="4"/>
  <c r="G65" i="4"/>
  <c r="K64" i="4"/>
  <c r="N64" i="4" s="1"/>
  <c r="H64" i="4"/>
  <c r="G64" i="4"/>
  <c r="J64" i="4" s="1"/>
  <c r="M64" i="4" s="1"/>
  <c r="M63" i="4"/>
  <c r="K63" i="4"/>
  <c r="H63" i="4"/>
  <c r="G63" i="4"/>
  <c r="J63" i="4" s="1"/>
  <c r="K62" i="4"/>
  <c r="H62" i="4"/>
  <c r="G62" i="4"/>
  <c r="J62" i="4" s="1"/>
  <c r="K61" i="4"/>
  <c r="H61" i="4"/>
  <c r="J61" i="4" s="1"/>
  <c r="G61" i="4"/>
  <c r="M60" i="4"/>
  <c r="K60" i="4"/>
  <c r="H60" i="4"/>
  <c r="G60" i="4"/>
  <c r="K59" i="4"/>
  <c r="J59" i="4"/>
  <c r="O59" i="4" s="1"/>
  <c r="H59" i="4"/>
  <c r="G59" i="4"/>
  <c r="K58" i="4"/>
  <c r="J58" i="4"/>
  <c r="Q58" i="4" s="1"/>
  <c r="H58" i="4"/>
  <c r="G58" i="4"/>
  <c r="Q57" i="4"/>
  <c r="O57" i="4"/>
  <c r="M57" i="4"/>
  <c r="L57" i="4"/>
  <c r="K57" i="4"/>
  <c r="J57" i="4"/>
  <c r="P57" i="4" s="1"/>
  <c r="H57" i="4"/>
  <c r="G57" i="4"/>
  <c r="Q56" i="4"/>
  <c r="O56" i="4"/>
  <c r="N56" i="4"/>
  <c r="L56" i="4"/>
  <c r="K56" i="4"/>
  <c r="H56" i="4"/>
  <c r="G56" i="4"/>
  <c r="J56" i="4" s="1"/>
  <c r="M56" i="4" s="1"/>
  <c r="K55" i="4"/>
  <c r="H55" i="4"/>
  <c r="G55" i="4"/>
  <c r="J55" i="4" s="1"/>
  <c r="M54" i="4"/>
  <c r="K54" i="4"/>
  <c r="O54" i="4" s="1"/>
  <c r="H54" i="4"/>
  <c r="G54" i="4"/>
  <c r="J54" i="4" s="1"/>
  <c r="K53" i="4"/>
  <c r="H53" i="4"/>
  <c r="J53" i="4" s="1"/>
  <c r="G53" i="4"/>
  <c r="M52" i="4"/>
  <c r="K52" i="4"/>
  <c r="H52" i="4"/>
  <c r="G52" i="4"/>
  <c r="K51" i="4"/>
  <c r="H51" i="4"/>
  <c r="J51" i="4" s="1"/>
  <c r="G51" i="4"/>
  <c r="P50" i="4"/>
  <c r="O50" i="4"/>
  <c r="M50" i="4"/>
  <c r="K50" i="4"/>
  <c r="J50" i="4"/>
  <c r="L50" i="4" s="1"/>
  <c r="H50" i="4"/>
  <c r="G50" i="4"/>
  <c r="K49" i="4"/>
  <c r="I49" i="4"/>
  <c r="H49" i="4"/>
  <c r="G49" i="4"/>
  <c r="J49" i="4" s="1"/>
  <c r="K48" i="4"/>
  <c r="I48" i="4"/>
  <c r="H48" i="4"/>
  <c r="J48" i="4" s="1"/>
  <c r="G48" i="4"/>
  <c r="K47" i="4"/>
  <c r="L47" i="4" s="1"/>
  <c r="J47" i="4"/>
  <c r="I47" i="4"/>
  <c r="H47" i="4"/>
  <c r="G47" i="4"/>
  <c r="K46" i="4"/>
  <c r="J46" i="4"/>
  <c r="Q46" i="4" s="1"/>
  <c r="I46" i="4"/>
  <c r="H46" i="4"/>
  <c r="G46" i="4"/>
  <c r="K45" i="4"/>
  <c r="I45" i="4"/>
  <c r="H45" i="4"/>
  <c r="J45" i="4" s="1"/>
  <c r="G45" i="4"/>
  <c r="N44" i="4"/>
  <c r="M44" i="4"/>
  <c r="K44" i="4"/>
  <c r="I44" i="4"/>
  <c r="H44" i="4"/>
  <c r="J44" i="4" s="1"/>
  <c r="O44" i="4" s="1"/>
  <c r="G44" i="4"/>
  <c r="O43" i="4"/>
  <c r="K43" i="4"/>
  <c r="L43" i="4" s="1"/>
  <c r="I43" i="4"/>
  <c r="H43" i="4"/>
  <c r="G43" i="4"/>
  <c r="J43" i="4" s="1"/>
  <c r="M43" i="4" s="1"/>
  <c r="K42" i="4"/>
  <c r="I42" i="4"/>
  <c r="H42" i="4"/>
  <c r="G42" i="4"/>
  <c r="J42" i="4" s="1"/>
  <c r="Q41" i="4"/>
  <c r="K41" i="4"/>
  <c r="J41" i="4"/>
  <c r="P41" i="4" s="1"/>
  <c r="I41" i="4"/>
  <c r="H41" i="4"/>
  <c r="G41" i="4"/>
  <c r="K40" i="4"/>
  <c r="J40" i="4"/>
  <c r="N40" i="4" s="1"/>
  <c r="I40" i="4"/>
  <c r="H40" i="4"/>
  <c r="G40" i="4"/>
  <c r="K39" i="4"/>
  <c r="I39" i="4"/>
  <c r="H39" i="4"/>
  <c r="G39" i="4"/>
  <c r="J39" i="4" s="1"/>
  <c r="K38" i="4"/>
  <c r="I38" i="4"/>
  <c r="H38" i="4"/>
  <c r="J38" i="4" s="1"/>
  <c r="G38" i="4"/>
  <c r="K37" i="4"/>
  <c r="I37" i="4"/>
  <c r="J37" i="4" s="1"/>
  <c r="H37" i="4"/>
  <c r="G37" i="4"/>
  <c r="P36" i="4"/>
  <c r="K36" i="4"/>
  <c r="L36" i="4" s="1"/>
  <c r="I36" i="4"/>
  <c r="H36" i="4"/>
  <c r="J36" i="4" s="1"/>
  <c r="O36" i="4" s="1"/>
  <c r="G36" i="4"/>
  <c r="K35" i="4"/>
  <c r="I35" i="4"/>
  <c r="H35" i="4"/>
  <c r="G35" i="4"/>
  <c r="J35" i="4" s="1"/>
  <c r="M35" i="4" s="1"/>
  <c r="K34" i="4"/>
  <c r="J34" i="4"/>
  <c r="Q34" i="4" s="1"/>
  <c r="I34" i="4"/>
  <c r="H34" i="4"/>
  <c r="G34" i="4"/>
  <c r="K33" i="4"/>
  <c r="J33" i="4"/>
  <c r="P33" i="4" s="1"/>
  <c r="I33" i="4"/>
  <c r="H33" i="4"/>
  <c r="G33" i="4"/>
  <c r="K32" i="4"/>
  <c r="I32" i="4"/>
  <c r="H32" i="4"/>
  <c r="J32" i="4" s="1"/>
  <c r="G32" i="4"/>
  <c r="K31" i="4"/>
  <c r="I31" i="4"/>
  <c r="H31" i="4"/>
  <c r="G31" i="4"/>
  <c r="J31" i="4" s="1"/>
  <c r="K30" i="4"/>
  <c r="I30" i="4"/>
  <c r="H30" i="4"/>
  <c r="G30" i="4"/>
  <c r="J30" i="4" s="1"/>
  <c r="K29" i="4"/>
  <c r="I29" i="4"/>
  <c r="H29" i="4"/>
  <c r="J29" i="4" s="1"/>
  <c r="G29" i="4"/>
  <c r="K28" i="4"/>
  <c r="L28" i="4" s="1"/>
  <c r="I28" i="4"/>
  <c r="H28" i="4"/>
  <c r="J28" i="4" s="1"/>
  <c r="O28" i="4" s="1"/>
  <c r="G28" i="4"/>
  <c r="K27" i="4"/>
  <c r="I27" i="4"/>
  <c r="H27" i="4"/>
  <c r="G27" i="4"/>
  <c r="K26" i="4"/>
  <c r="J26" i="4"/>
  <c r="I26" i="4"/>
  <c r="H26" i="4"/>
  <c r="G26" i="4"/>
  <c r="K25" i="4"/>
  <c r="I25" i="4"/>
  <c r="J25" i="4" s="1"/>
  <c r="H25" i="4"/>
  <c r="G25" i="4"/>
  <c r="K24" i="4"/>
  <c r="I24" i="4"/>
  <c r="H24" i="4"/>
  <c r="G24" i="4"/>
  <c r="J24" i="4" s="1"/>
  <c r="K23" i="4"/>
  <c r="I23" i="4"/>
  <c r="H23" i="4"/>
  <c r="G23" i="4"/>
  <c r="J23" i="4" s="1"/>
  <c r="K22" i="4"/>
  <c r="I22" i="4"/>
  <c r="H22" i="4"/>
  <c r="J22" i="4" s="1"/>
  <c r="G22" i="4"/>
  <c r="K21" i="4"/>
  <c r="I21" i="4"/>
  <c r="J21" i="4" s="1"/>
  <c r="H21" i="4"/>
  <c r="G21" i="4"/>
  <c r="K20" i="4"/>
  <c r="I20" i="4"/>
  <c r="H20" i="4"/>
  <c r="G20" i="4"/>
  <c r="O19" i="4"/>
  <c r="N19" i="4"/>
  <c r="L19" i="4"/>
  <c r="K19" i="4"/>
  <c r="I19" i="4"/>
  <c r="H19" i="4"/>
  <c r="G19" i="4"/>
  <c r="J19" i="4" s="1"/>
  <c r="M19" i="4" s="1"/>
  <c r="K18" i="4"/>
  <c r="I18" i="4"/>
  <c r="J18" i="4" s="1"/>
  <c r="H18" i="4"/>
  <c r="G18" i="4"/>
  <c r="K17" i="4"/>
  <c r="I17" i="4"/>
  <c r="H17" i="4"/>
  <c r="G17" i="4"/>
  <c r="J17" i="4" s="1"/>
  <c r="K16" i="4"/>
  <c r="I16" i="4"/>
  <c r="H16" i="4"/>
  <c r="J16" i="4" s="1"/>
  <c r="G16" i="4"/>
  <c r="K15" i="4"/>
  <c r="L15" i="4" s="1"/>
  <c r="J15" i="4"/>
  <c r="I15" i="4"/>
  <c r="H15" i="4"/>
  <c r="G15" i="4"/>
  <c r="K14" i="4"/>
  <c r="J14" i="4"/>
  <c r="Q14" i="4" s="1"/>
  <c r="I14" i="4"/>
  <c r="H14" i="4"/>
  <c r="G14" i="4"/>
  <c r="K13" i="4"/>
  <c r="I13" i="4"/>
  <c r="H13" i="4"/>
  <c r="J13" i="4" s="1"/>
  <c r="G13" i="4"/>
  <c r="K12" i="4"/>
  <c r="I12" i="4"/>
  <c r="H12" i="4"/>
  <c r="G12" i="4"/>
  <c r="O11" i="4"/>
  <c r="K11" i="4"/>
  <c r="L11" i="4" s="1"/>
  <c r="I11" i="4"/>
  <c r="H11" i="4"/>
  <c r="G11" i="4"/>
  <c r="J11" i="4" s="1"/>
  <c r="M11" i="4" s="1"/>
  <c r="K10" i="4"/>
  <c r="L10" i="4" s="1"/>
  <c r="I10" i="4"/>
  <c r="H10" i="4"/>
  <c r="G10" i="4"/>
  <c r="J10" i="4" s="1"/>
  <c r="Q9" i="4"/>
  <c r="K9" i="4"/>
  <c r="J9" i="4"/>
  <c r="O9" i="4" s="1"/>
  <c r="I9" i="4"/>
  <c r="H9" i="4"/>
  <c r="G9" i="4"/>
  <c r="K8" i="4"/>
  <c r="J8" i="4"/>
  <c r="N8" i="4" s="1"/>
  <c r="I8" i="4"/>
  <c r="H8" i="4"/>
  <c r="G8" i="4"/>
  <c r="K7" i="4"/>
  <c r="L7" i="4" s="1"/>
  <c r="B69" i="1" s="1"/>
  <c r="I7" i="4"/>
  <c r="H7" i="4"/>
  <c r="G7" i="4"/>
  <c r="J7" i="4" s="1"/>
  <c r="P926" i="3"/>
  <c r="O926" i="3"/>
  <c r="N926" i="3"/>
  <c r="J926" i="3"/>
  <c r="H926" i="3"/>
  <c r="E926" i="3"/>
  <c r="I926" i="3" s="1"/>
  <c r="P925" i="3"/>
  <c r="O925" i="3"/>
  <c r="N925" i="3"/>
  <c r="J925" i="3"/>
  <c r="I925" i="3"/>
  <c r="H925" i="3"/>
  <c r="E925" i="3"/>
  <c r="P924" i="3"/>
  <c r="O924" i="3"/>
  <c r="N924" i="3"/>
  <c r="J924" i="3"/>
  <c r="H924" i="3"/>
  <c r="I924" i="3" s="1"/>
  <c r="E924" i="3"/>
  <c r="P923" i="3"/>
  <c r="O923" i="3"/>
  <c r="N923" i="3"/>
  <c r="J923" i="3"/>
  <c r="H923" i="3"/>
  <c r="E923" i="3"/>
  <c r="I923" i="3" s="1"/>
  <c r="P922" i="3"/>
  <c r="O922" i="3"/>
  <c r="N922" i="3"/>
  <c r="J922" i="3"/>
  <c r="H922" i="3"/>
  <c r="E922" i="3"/>
  <c r="I922" i="3" s="1"/>
  <c r="P921" i="3"/>
  <c r="O921" i="3"/>
  <c r="N921" i="3"/>
  <c r="J921" i="3"/>
  <c r="H921" i="3"/>
  <c r="E921" i="3"/>
  <c r="I921" i="3" s="1"/>
  <c r="P920" i="3"/>
  <c r="O920" i="3"/>
  <c r="N920" i="3"/>
  <c r="J920" i="3"/>
  <c r="H920" i="3"/>
  <c r="I920" i="3" s="1"/>
  <c r="E920" i="3"/>
  <c r="P919" i="3"/>
  <c r="O919" i="3"/>
  <c r="N919" i="3"/>
  <c r="J919" i="3"/>
  <c r="H919" i="3"/>
  <c r="E919" i="3"/>
  <c r="I919" i="3" s="1"/>
  <c r="P918" i="3"/>
  <c r="O918" i="3"/>
  <c r="N918" i="3"/>
  <c r="J918" i="3"/>
  <c r="H918" i="3"/>
  <c r="E918" i="3"/>
  <c r="I918" i="3" s="1"/>
  <c r="P917" i="3"/>
  <c r="O917" i="3"/>
  <c r="N917" i="3"/>
  <c r="J917" i="3"/>
  <c r="I917" i="3"/>
  <c r="H917" i="3"/>
  <c r="E917" i="3"/>
  <c r="P916" i="3"/>
  <c r="O916" i="3"/>
  <c r="N916" i="3"/>
  <c r="J916" i="3"/>
  <c r="H916" i="3"/>
  <c r="I916" i="3" s="1"/>
  <c r="E916" i="3"/>
  <c r="P915" i="3"/>
  <c r="O915" i="3"/>
  <c r="N915" i="3"/>
  <c r="J915" i="3"/>
  <c r="H915" i="3"/>
  <c r="E915" i="3"/>
  <c r="I915" i="3" s="1"/>
  <c r="P914" i="3"/>
  <c r="O914" i="3"/>
  <c r="N914" i="3"/>
  <c r="J914" i="3"/>
  <c r="H914" i="3"/>
  <c r="E914" i="3"/>
  <c r="I914" i="3" s="1"/>
  <c r="P913" i="3"/>
  <c r="O913" i="3"/>
  <c r="N913" i="3"/>
  <c r="J913" i="3"/>
  <c r="H913" i="3"/>
  <c r="E913" i="3"/>
  <c r="I913" i="3" s="1"/>
  <c r="P912" i="3"/>
  <c r="O912" i="3"/>
  <c r="N912" i="3"/>
  <c r="J912" i="3"/>
  <c r="H912" i="3"/>
  <c r="I912" i="3" s="1"/>
  <c r="E912" i="3"/>
  <c r="P911" i="3"/>
  <c r="O911" i="3"/>
  <c r="N911" i="3"/>
  <c r="J911" i="3"/>
  <c r="H911" i="3"/>
  <c r="E911" i="3"/>
  <c r="I911" i="3" s="1"/>
  <c r="P910" i="3"/>
  <c r="O910" i="3"/>
  <c r="N910" i="3"/>
  <c r="J910" i="3"/>
  <c r="H910" i="3"/>
  <c r="E910" i="3"/>
  <c r="I910" i="3" s="1"/>
  <c r="P909" i="3"/>
  <c r="O909" i="3"/>
  <c r="N909" i="3"/>
  <c r="J909" i="3"/>
  <c r="I909" i="3"/>
  <c r="H909" i="3"/>
  <c r="E909" i="3"/>
  <c r="P908" i="3"/>
  <c r="O908" i="3"/>
  <c r="N908" i="3"/>
  <c r="J908" i="3"/>
  <c r="H908" i="3"/>
  <c r="I908" i="3" s="1"/>
  <c r="E908" i="3"/>
  <c r="P907" i="3"/>
  <c r="O907" i="3"/>
  <c r="N907" i="3"/>
  <c r="J907" i="3"/>
  <c r="H907" i="3"/>
  <c r="E907" i="3"/>
  <c r="I907" i="3" s="1"/>
  <c r="P906" i="3"/>
  <c r="O906" i="3"/>
  <c r="N906" i="3"/>
  <c r="J906" i="3"/>
  <c r="H906" i="3"/>
  <c r="E906" i="3"/>
  <c r="I906" i="3" s="1"/>
  <c r="P905" i="3"/>
  <c r="O905" i="3"/>
  <c r="N905" i="3"/>
  <c r="J905" i="3"/>
  <c r="H905" i="3"/>
  <c r="E905" i="3"/>
  <c r="I905" i="3" s="1"/>
  <c r="P904" i="3"/>
  <c r="O904" i="3"/>
  <c r="N904" i="3"/>
  <c r="J904" i="3"/>
  <c r="H904" i="3"/>
  <c r="I904" i="3" s="1"/>
  <c r="E904" i="3"/>
  <c r="P903" i="3"/>
  <c r="O903" i="3"/>
  <c r="N903" i="3"/>
  <c r="J903" i="3"/>
  <c r="H903" i="3"/>
  <c r="E903" i="3"/>
  <c r="I903" i="3" s="1"/>
  <c r="P902" i="3"/>
  <c r="O902" i="3"/>
  <c r="N902" i="3"/>
  <c r="J902" i="3"/>
  <c r="H902" i="3"/>
  <c r="E902" i="3"/>
  <c r="I902" i="3" s="1"/>
  <c r="P901" i="3"/>
  <c r="O901" i="3"/>
  <c r="N901" i="3"/>
  <c r="J901" i="3"/>
  <c r="I901" i="3"/>
  <c r="H901" i="3"/>
  <c r="E901" i="3"/>
  <c r="P900" i="3"/>
  <c r="O900" i="3"/>
  <c r="N900" i="3"/>
  <c r="J900" i="3"/>
  <c r="H900" i="3"/>
  <c r="I900" i="3" s="1"/>
  <c r="E900" i="3"/>
  <c r="P899" i="3"/>
  <c r="O899" i="3"/>
  <c r="N899" i="3"/>
  <c r="J899" i="3"/>
  <c r="H899" i="3"/>
  <c r="E899" i="3"/>
  <c r="I899" i="3" s="1"/>
  <c r="P898" i="3"/>
  <c r="O898" i="3"/>
  <c r="N898" i="3"/>
  <c r="J898" i="3"/>
  <c r="H898" i="3"/>
  <c r="E898" i="3"/>
  <c r="I898" i="3" s="1"/>
  <c r="P897" i="3"/>
  <c r="O897" i="3"/>
  <c r="N897" i="3"/>
  <c r="J897" i="3"/>
  <c r="H897" i="3"/>
  <c r="E897" i="3"/>
  <c r="I897" i="3" s="1"/>
  <c r="P896" i="3"/>
  <c r="O896" i="3"/>
  <c r="N896" i="3"/>
  <c r="J896" i="3"/>
  <c r="H896" i="3"/>
  <c r="I896" i="3" s="1"/>
  <c r="E896" i="3"/>
  <c r="P895" i="3"/>
  <c r="O895" i="3"/>
  <c r="N895" i="3"/>
  <c r="J895" i="3"/>
  <c r="H895" i="3"/>
  <c r="E895" i="3"/>
  <c r="I895" i="3" s="1"/>
  <c r="P894" i="3"/>
  <c r="O894" i="3"/>
  <c r="N894" i="3"/>
  <c r="J894" i="3"/>
  <c r="H894" i="3"/>
  <c r="E894" i="3"/>
  <c r="I894" i="3" s="1"/>
  <c r="P893" i="3"/>
  <c r="O893" i="3"/>
  <c r="N893" i="3"/>
  <c r="J893" i="3"/>
  <c r="I893" i="3"/>
  <c r="H893" i="3"/>
  <c r="E893" i="3"/>
  <c r="P892" i="3"/>
  <c r="O892" i="3"/>
  <c r="N892" i="3"/>
  <c r="J892" i="3"/>
  <c r="H892" i="3"/>
  <c r="I892" i="3" s="1"/>
  <c r="E892" i="3"/>
  <c r="P891" i="3"/>
  <c r="O891" i="3"/>
  <c r="N891" i="3"/>
  <c r="J891" i="3"/>
  <c r="H891" i="3"/>
  <c r="E891" i="3"/>
  <c r="I891" i="3" s="1"/>
  <c r="P890" i="3"/>
  <c r="O890" i="3"/>
  <c r="N890" i="3"/>
  <c r="J890" i="3"/>
  <c r="H890" i="3"/>
  <c r="E890" i="3"/>
  <c r="I890" i="3" s="1"/>
  <c r="P889" i="3"/>
  <c r="O889" i="3"/>
  <c r="N889" i="3"/>
  <c r="J889" i="3"/>
  <c r="H889" i="3"/>
  <c r="E889" i="3"/>
  <c r="I889" i="3" s="1"/>
  <c r="P888" i="3"/>
  <c r="O888" i="3"/>
  <c r="N888" i="3"/>
  <c r="J888" i="3"/>
  <c r="H888" i="3"/>
  <c r="I888" i="3" s="1"/>
  <c r="E888" i="3"/>
  <c r="P887" i="3"/>
  <c r="O887" i="3"/>
  <c r="N887" i="3"/>
  <c r="J887" i="3"/>
  <c r="H887" i="3"/>
  <c r="E887" i="3"/>
  <c r="I887" i="3" s="1"/>
  <c r="P886" i="3"/>
  <c r="O886" i="3"/>
  <c r="N886" i="3"/>
  <c r="J886" i="3"/>
  <c r="H886" i="3"/>
  <c r="E886" i="3"/>
  <c r="I886" i="3" s="1"/>
  <c r="P885" i="3"/>
  <c r="O885" i="3"/>
  <c r="N885" i="3"/>
  <c r="J885" i="3"/>
  <c r="I885" i="3"/>
  <c r="H885" i="3"/>
  <c r="E885" i="3"/>
  <c r="P884" i="3"/>
  <c r="O884" i="3"/>
  <c r="N884" i="3"/>
  <c r="J884" i="3"/>
  <c r="H884" i="3"/>
  <c r="I884" i="3" s="1"/>
  <c r="E884" i="3"/>
  <c r="P883" i="3"/>
  <c r="O883" i="3"/>
  <c r="N883" i="3"/>
  <c r="J883" i="3"/>
  <c r="H883" i="3"/>
  <c r="E883" i="3"/>
  <c r="I883" i="3" s="1"/>
  <c r="P882" i="3"/>
  <c r="O882" i="3"/>
  <c r="N882" i="3"/>
  <c r="J882" i="3"/>
  <c r="H882" i="3"/>
  <c r="E882" i="3"/>
  <c r="I882" i="3" s="1"/>
  <c r="P881" i="3"/>
  <c r="O881" i="3"/>
  <c r="N881" i="3"/>
  <c r="J881" i="3"/>
  <c r="H881" i="3"/>
  <c r="E881" i="3"/>
  <c r="I881" i="3" s="1"/>
  <c r="P880" i="3"/>
  <c r="O880" i="3"/>
  <c r="N880" i="3"/>
  <c r="J880" i="3"/>
  <c r="H880" i="3"/>
  <c r="I880" i="3" s="1"/>
  <c r="E880" i="3"/>
  <c r="P879" i="3"/>
  <c r="O879" i="3"/>
  <c r="N879" i="3"/>
  <c r="J879" i="3"/>
  <c r="H879" i="3"/>
  <c r="E879" i="3"/>
  <c r="I879" i="3" s="1"/>
  <c r="P878" i="3"/>
  <c r="O878" i="3"/>
  <c r="N878" i="3"/>
  <c r="J878" i="3"/>
  <c r="H878" i="3"/>
  <c r="E878" i="3"/>
  <c r="I878" i="3" s="1"/>
  <c r="P877" i="3"/>
  <c r="O877" i="3"/>
  <c r="N877" i="3"/>
  <c r="J877" i="3"/>
  <c r="I877" i="3"/>
  <c r="H877" i="3"/>
  <c r="E877" i="3"/>
  <c r="P876" i="3"/>
  <c r="O876" i="3"/>
  <c r="N876" i="3"/>
  <c r="J876" i="3"/>
  <c r="H876" i="3"/>
  <c r="I876" i="3" s="1"/>
  <c r="E876" i="3"/>
  <c r="P875" i="3"/>
  <c r="O875" i="3"/>
  <c r="N875" i="3"/>
  <c r="J875" i="3"/>
  <c r="H875" i="3"/>
  <c r="E875" i="3"/>
  <c r="I875" i="3" s="1"/>
  <c r="P874" i="3"/>
  <c r="O874" i="3"/>
  <c r="N874" i="3"/>
  <c r="J874" i="3"/>
  <c r="H874" i="3"/>
  <c r="E874" i="3"/>
  <c r="I874" i="3" s="1"/>
  <c r="P873" i="3"/>
  <c r="O873" i="3"/>
  <c r="N873" i="3"/>
  <c r="J873" i="3"/>
  <c r="H873" i="3"/>
  <c r="E873" i="3"/>
  <c r="I873" i="3" s="1"/>
  <c r="P872" i="3"/>
  <c r="O872" i="3"/>
  <c r="N872" i="3"/>
  <c r="J872" i="3"/>
  <c r="H872" i="3"/>
  <c r="I872" i="3" s="1"/>
  <c r="E872" i="3"/>
  <c r="P871" i="3"/>
  <c r="O871" i="3"/>
  <c r="N871" i="3"/>
  <c r="J871" i="3"/>
  <c r="H871" i="3"/>
  <c r="E871" i="3"/>
  <c r="I871" i="3" s="1"/>
  <c r="P870" i="3"/>
  <c r="O870" i="3"/>
  <c r="N870" i="3"/>
  <c r="J870" i="3"/>
  <c r="H870" i="3"/>
  <c r="E870" i="3"/>
  <c r="I870" i="3" s="1"/>
  <c r="P869" i="3"/>
  <c r="O869" i="3"/>
  <c r="N869" i="3"/>
  <c r="J869" i="3"/>
  <c r="I869" i="3"/>
  <c r="H869" i="3"/>
  <c r="E869" i="3"/>
  <c r="P868" i="3"/>
  <c r="O868" i="3"/>
  <c r="N868" i="3"/>
  <c r="J868" i="3"/>
  <c r="H868" i="3"/>
  <c r="I868" i="3" s="1"/>
  <c r="E868" i="3"/>
  <c r="P867" i="3"/>
  <c r="O867" i="3"/>
  <c r="N867" i="3"/>
  <c r="J867" i="3"/>
  <c r="H867" i="3"/>
  <c r="E867" i="3"/>
  <c r="I867" i="3" s="1"/>
  <c r="P866" i="3"/>
  <c r="O866" i="3"/>
  <c r="N866" i="3"/>
  <c r="J866" i="3"/>
  <c r="H866" i="3"/>
  <c r="E866" i="3"/>
  <c r="I866" i="3" s="1"/>
  <c r="P865" i="3"/>
  <c r="O865" i="3"/>
  <c r="N865" i="3"/>
  <c r="J865" i="3"/>
  <c r="H865" i="3"/>
  <c r="E865" i="3"/>
  <c r="I865" i="3" s="1"/>
  <c r="P864" i="3"/>
  <c r="O864" i="3"/>
  <c r="N864" i="3"/>
  <c r="J864" i="3"/>
  <c r="H864" i="3"/>
  <c r="I864" i="3" s="1"/>
  <c r="E864" i="3"/>
  <c r="P863" i="3"/>
  <c r="O863" i="3"/>
  <c r="N863" i="3"/>
  <c r="J863" i="3"/>
  <c r="H863" i="3"/>
  <c r="E863" i="3"/>
  <c r="I863" i="3" s="1"/>
  <c r="P862" i="3"/>
  <c r="O862" i="3"/>
  <c r="N862" i="3"/>
  <c r="J862" i="3"/>
  <c r="H862" i="3"/>
  <c r="E862" i="3"/>
  <c r="I862" i="3" s="1"/>
  <c r="P861" i="3"/>
  <c r="O861" i="3"/>
  <c r="N861" i="3"/>
  <c r="J861" i="3"/>
  <c r="I861" i="3"/>
  <c r="H861" i="3"/>
  <c r="E861" i="3"/>
  <c r="P860" i="3"/>
  <c r="O860" i="3"/>
  <c r="N860" i="3"/>
  <c r="J860" i="3"/>
  <c r="H860" i="3"/>
  <c r="I860" i="3" s="1"/>
  <c r="E860" i="3"/>
  <c r="P859" i="3"/>
  <c r="O859" i="3"/>
  <c r="N859" i="3"/>
  <c r="J859" i="3"/>
  <c r="H859" i="3"/>
  <c r="E859" i="3"/>
  <c r="I859" i="3" s="1"/>
  <c r="P858" i="3"/>
  <c r="O858" i="3"/>
  <c r="N858" i="3"/>
  <c r="J858" i="3"/>
  <c r="H858" i="3"/>
  <c r="E858" i="3"/>
  <c r="I858" i="3" s="1"/>
  <c r="P857" i="3"/>
  <c r="O857" i="3"/>
  <c r="N857" i="3"/>
  <c r="J857" i="3"/>
  <c r="H857" i="3"/>
  <c r="E857" i="3"/>
  <c r="I857" i="3" s="1"/>
  <c r="P856" i="3"/>
  <c r="O856" i="3"/>
  <c r="N856" i="3"/>
  <c r="J856" i="3"/>
  <c r="H856" i="3"/>
  <c r="I856" i="3" s="1"/>
  <c r="E856" i="3"/>
  <c r="P855" i="3"/>
  <c r="O855" i="3"/>
  <c r="N855" i="3"/>
  <c r="J855" i="3"/>
  <c r="H855" i="3"/>
  <c r="E855" i="3"/>
  <c r="I855" i="3" s="1"/>
  <c r="P854" i="3"/>
  <c r="O854" i="3"/>
  <c r="N854" i="3"/>
  <c r="J854" i="3"/>
  <c r="H854" i="3"/>
  <c r="E854" i="3"/>
  <c r="I854" i="3" s="1"/>
  <c r="P853" i="3"/>
  <c r="O853" i="3"/>
  <c r="N853" i="3"/>
  <c r="J853" i="3"/>
  <c r="I853" i="3"/>
  <c r="H853" i="3"/>
  <c r="E853" i="3"/>
  <c r="P852" i="3"/>
  <c r="O852" i="3"/>
  <c r="N852" i="3"/>
  <c r="J852" i="3"/>
  <c r="H852" i="3"/>
  <c r="I852" i="3" s="1"/>
  <c r="E852" i="3"/>
  <c r="P851" i="3"/>
  <c r="O851" i="3"/>
  <c r="N851" i="3"/>
  <c r="J851" i="3"/>
  <c r="H851" i="3"/>
  <c r="E851" i="3"/>
  <c r="I851" i="3" s="1"/>
  <c r="P850" i="3"/>
  <c r="O850" i="3"/>
  <c r="N850" i="3"/>
  <c r="J850" i="3"/>
  <c r="H850" i="3"/>
  <c r="E850" i="3"/>
  <c r="I850" i="3" s="1"/>
  <c r="P849" i="3"/>
  <c r="O849" i="3"/>
  <c r="N849" i="3"/>
  <c r="J849" i="3"/>
  <c r="H849" i="3"/>
  <c r="E849" i="3"/>
  <c r="I849" i="3" s="1"/>
  <c r="P848" i="3"/>
  <c r="O848" i="3"/>
  <c r="N848" i="3"/>
  <c r="J848" i="3"/>
  <c r="H848" i="3"/>
  <c r="I848" i="3" s="1"/>
  <c r="E848" i="3"/>
  <c r="P847" i="3"/>
  <c r="O847" i="3"/>
  <c r="N847" i="3"/>
  <c r="J847" i="3"/>
  <c r="H847" i="3"/>
  <c r="E847" i="3"/>
  <c r="I847" i="3" s="1"/>
  <c r="P846" i="3"/>
  <c r="O846" i="3"/>
  <c r="N846" i="3"/>
  <c r="J846" i="3"/>
  <c r="H846" i="3"/>
  <c r="E846" i="3"/>
  <c r="I846" i="3" s="1"/>
  <c r="P845" i="3"/>
  <c r="O845" i="3"/>
  <c r="N845" i="3"/>
  <c r="J845" i="3"/>
  <c r="I845" i="3"/>
  <c r="H845" i="3"/>
  <c r="E845" i="3"/>
  <c r="P844" i="3"/>
  <c r="O844" i="3"/>
  <c r="N844" i="3"/>
  <c r="J844" i="3"/>
  <c r="H844" i="3"/>
  <c r="I844" i="3" s="1"/>
  <c r="E844" i="3"/>
  <c r="P843" i="3"/>
  <c r="O843" i="3"/>
  <c r="N843" i="3"/>
  <c r="J843" i="3"/>
  <c r="H843" i="3"/>
  <c r="E843" i="3"/>
  <c r="I843" i="3" s="1"/>
  <c r="P842" i="3"/>
  <c r="O842" i="3"/>
  <c r="N842" i="3"/>
  <c r="J842" i="3"/>
  <c r="H842" i="3"/>
  <c r="E842" i="3"/>
  <c r="I842" i="3" s="1"/>
  <c r="P841" i="3"/>
  <c r="O841" i="3"/>
  <c r="N841" i="3"/>
  <c r="J841" i="3"/>
  <c r="H841" i="3"/>
  <c r="E841" i="3"/>
  <c r="I841" i="3" s="1"/>
  <c r="P840" i="3"/>
  <c r="O840" i="3"/>
  <c r="N840" i="3"/>
  <c r="J840" i="3"/>
  <c r="H840" i="3"/>
  <c r="I840" i="3" s="1"/>
  <c r="E840" i="3"/>
  <c r="P839" i="3"/>
  <c r="O839" i="3"/>
  <c r="N839" i="3"/>
  <c r="J839" i="3"/>
  <c r="H839" i="3"/>
  <c r="E839" i="3"/>
  <c r="I839" i="3" s="1"/>
  <c r="P838" i="3"/>
  <c r="O838" i="3"/>
  <c r="N838" i="3"/>
  <c r="J838" i="3"/>
  <c r="H838" i="3"/>
  <c r="E838" i="3"/>
  <c r="I838" i="3" s="1"/>
  <c r="P837" i="3"/>
  <c r="O837" i="3"/>
  <c r="N837" i="3"/>
  <c r="J837" i="3"/>
  <c r="I837" i="3"/>
  <c r="H837" i="3"/>
  <c r="E837" i="3"/>
  <c r="P836" i="3"/>
  <c r="O836" i="3"/>
  <c r="N836" i="3"/>
  <c r="J836" i="3"/>
  <c r="H836" i="3"/>
  <c r="I836" i="3" s="1"/>
  <c r="E836" i="3"/>
  <c r="P835" i="3"/>
  <c r="O835" i="3"/>
  <c r="N835" i="3"/>
  <c r="J835" i="3"/>
  <c r="H835" i="3"/>
  <c r="E835" i="3"/>
  <c r="I835" i="3" s="1"/>
  <c r="P834" i="3"/>
  <c r="O834" i="3"/>
  <c r="N834" i="3"/>
  <c r="J834" i="3"/>
  <c r="H834" i="3"/>
  <c r="E834" i="3"/>
  <c r="I834" i="3" s="1"/>
  <c r="P833" i="3"/>
  <c r="O833" i="3"/>
  <c r="N833" i="3"/>
  <c r="J833" i="3"/>
  <c r="H833" i="3"/>
  <c r="E833" i="3"/>
  <c r="I833" i="3" s="1"/>
  <c r="P832" i="3"/>
  <c r="O832" i="3"/>
  <c r="N832" i="3"/>
  <c r="J832" i="3"/>
  <c r="H832" i="3"/>
  <c r="I832" i="3" s="1"/>
  <c r="E832" i="3"/>
  <c r="P831" i="3"/>
  <c r="O831" i="3"/>
  <c r="N831" i="3"/>
  <c r="J831" i="3"/>
  <c r="H831" i="3"/>
  <c r="E831" i="3"/>
  <c r="I831" i="3" s="1"/>
  <c r="P830" i="3"/>
  <c r="O830" i="3"/>
  <c r="N830" i="3"/>
  <c r="J830" i="3"/>
  <c r="H830" i="3"/>
  <c r="E830" i="3"/>
  <c r="I830" i="3" s="1"/>
  <c r="P829" i="3"/>
  <c r="O829" i="3"/>
  <c r="N829" i="3"/>
  <c r="J829" i="3"/>
  <c r="I829" i="3"/>
  <c r="H829" i="3"/>
  <c r="E829" i="3"/>
  <c r="P828" i="3"/>
  <c r="O828" i="3"/>
  <c r="N828" i="3"/>
  <c r="J828" i="3"/>
  <c r="H828" i="3"/>
  <c r="I828" i="3" s="1"/>
  <c r="E828" i="3"/>
  <c r="P827" i="3"/>
  <c r="O827" i="3"/>
  <c r="N827" i="3"/>
  <c r="J827" i="3"/>
  <c r="H827" i="3"/>
  <c r="E827" i="3"/>
  <c r="I827" i="3" s="1"/>
  <c r="P826" i="3"/>
  <c r="O826" i="3"/>
  <c r="N826" i="3"/>
  <c r="J826" i="3"/>
  <c r="H826" i="3"/>
  <c r="E826" i="3"/>
  <c r="I826" i="3" s="1"/>
  <c r="P825" i="3"/>
  <c r="O825" i="3"/>
  <c r="N825" i="3"/>
  <c r="J825" i="3"/>
  <c r="H825" i="3"/>
  <c r="E825" i="3"/>
  <c r="I825" i="3" s="1"/>
  <c r="P824" i="3"/>
  <c r="O824" i="3"/>
  <c r="N824" i="3"/>
  <c r="J824" i="3"/>
  <c r="H824" i="3"/>
  <c r="I824" i="3" s="1"/>
  <c r="E824" i="3"/>
  <c r="P823" i="3"/>
  <c r="O823" i="3"/>
  <c r="N823" i="3"/>
  <c r="J823" i="3"/>
  <c r="H823" i="3"/>
  <c r="E823" i="3"/>
  <c r="I823" i="3" s="1"/>
  <c r="P822" i="3"/>
  <c r="O822" i="3"/>
  <c r="N822" i="3"/>
  <c r="J822" i="3"/>
  <c r="H822" i="3"/>
  <c r="E822" i="3"/>
  <c r="I822" i="3" s="1"/>
  <c r="P821" i="3"/>
  <c r="O821" i="3"/>
  <c r="N821" i="3"/>
  <c r="J821" i="3"/>
  <c r="I821" i="3"/>
  <c r="H821" i="3"/>
  <c r="E821" i="3"/>
  <c r="P820" i="3"/>
  <c r="O820" i="3"/>
  <c r="N820" i="3"/>
  <c r="J820" i="3"/>
  <c r="H820" i="3"/>
  <c r="I820" i="3" s="1"/>
  <c r="E820" i="3"/>
  <c r="P819" i="3"/>
  <c r="O819" i="3"/>
  <c r="N819" i="3"/>
  <c r="J819" i="3"/>
  <c r="H819" i="3"/>
  <c r="E819" i="3"/>
  <c r="I819" i="3" s="1"/>
  <c r="P818" i="3"/>
  <c r="O818" i="3"/>
  <c r="N818" i="3"/>
  <c r="J818" i="3"/>
  <c r="H818" i="3"/>
  <c r="E818" i="3"/>
  <c r="I818" i="3" s="1"/>
  <c r="P817" i="3"/>
  <c r="O817" i="3"/>
  <c r="N817" i="3"/>
  <c r="J817" i="3"/>
  <c r="H817" i="3"/>
  <c r="E817" i="3"/>
  <c r="I817" i="3" s="1"/>
  <c r="P816" i="3"/>
  <c r="O816" i="3"/>
  <c r="N816" i="3"/>
  <c r="J816" i="3"/>
  <c r="H816" i="3"/>
  <c r="I816" i="3" s="1"/>
  <c r="E816" i="3"/>
  <c r="P815" i="3"/>
  <c r="O815" i="3"/>
  <c r="N815" i="3"/>
  <c r="J815" i="3"/>
  <c r="H815" i="3"/>
  <c r="E815" i="3"/>
  <c r="I815" i="3" s="1"/>
  <c r="P814" i="3"/>
  <c r="O814" i="3"/>
  <c r="N814" i="3"/>
  <c r="J814" i="3"/>
  <c r="H814" i="3"/>
  <c r="E814" i="3"/>
  <c r="I814" i="3" s="1"/>
  <c r="P813" i="3"/>
  <c r="O813" i="3"/>
  <c r="N813" i="3"/>
  <c r="J813" i="3"/>
  <c r="I813" i="3"/>
  <c r="H813" i="3"/>
  <c r="E813" i="3"/>
  <c r="P812" i="3"/>
  <c r="O812" i="3"/>
  <c r="N812" i="3"/>
  <c r="J812" i="3"/>
  <c r="H812" i="3"/>
  <c r="I812" i="3" s="1"/>
  <c r="E812" i="3"/>
  <c r="P811" i="3"/>
  <c r="O811" i="3"/>
  <c r="N811" i="3"/>
  <c r="J811" i="3"/>
  <c r="H811" i="3"/>
  <c r="E811" i="3"/>
  <c r="I811" i="3" s="1"/>
  <c r="P810" i="3"/>
  <c r="O810" i="3"/>
  <c r="N810" i="3"/>
  <c r="J810" i="3"/>
  <c r="H810" i="3"/>
  <c r="E810" i="3"/>
  <c r="I810" i="3" s="1"/>
  <c r="P809" i="3"/>
  <c r="O809" i="3"/>
  <c r="N809" i="3"/>
  <c r="J809" i="3"/>
  <c r="H809" i="3"/>
  <c r="E809" i="3"/>
  <c r="I809" i="3" s="1"/>
  <c r="P808" i="3"/>
  <c r="O808" i="3"/>
  <c r="N808" i="3"/>
  <c r="J808" i="3"/>
  <c r="H808" i="3"/>
  <c r="I808" i="3" s="1"/>
  <c r="E808" i="3"/>
  <c r="P807" i="3"/>
  <c r="O807" i="3"/>
  <c r="N807" i="3"/>
  <c r="J807" i="3"/>
  <c r="H807" i="3"/>
  <c r="E807" i="3"/>
  <c r="I807" i="3" s="1"/>
  <c r="P806" i="3"/>
  <c r="O806" i="3"/>
  <c r="N806" i="3"/>
  <c r="J806" i="3"/>
  <c r="H806" i="3"/>
  <c r="E806" i="3"/>
  <c r="I806" i="3" s="1"/>
  <c r="P805" i="3"/>
  <c r="O805" i="3"/>
  <c r="N805" i="3"/>
  <c r="J805" i="3"/>
  <c r="I805" i="3"/>
  <c r="H805" i="3"/>
  <c r="E805" i="3"/>
  <c r="P804" i="3"/>
  <c r="O804" i="3"/>
  <c r="N804" i="3"/>
  <c r="J804" i="3"/>
  <c r="H804" i="3"/>
  <c r="I804" i="3" s="1"/>
  <c r="E804" i="3"/>
  <c r="P803" i="3"/>
  <c r="O803" i="3"/>
  <c r="N803" i="3"/>
  <c r="J803" i="3"/>
  <c r="H803" i="3"/>
  <c r="E803" i="3"/>
  <c r="I803" i="3" s="1"/>
  <c r="P802" i="3"/>
  <c r="O802" i="3"/>
  <c r="N802" i="3"/>
  <c r="J802" i="3"/>
  <c r="H802" i="3"/>
  <c r="E802" i="3"/>
  <c r="I802" i="3" s="1"/>
  <c r="P801" i="3"/>
  <c r="O801" i="3"/>
  <c r="N801" i="3"/>
  <c r="J801" i="3"/>
  <c r="H801" i="3"/>
  <c r="E801" i="3"/>
  <c r="I801" i="3" s="1"/>
  <c r="P800" i="3"/>
  <c r="O800" i="3"/>
  <c r="N800" i="3"/>
  <c r="J800" i="3"/>
  <c r="H800" i="3"/>
  <c r="I800" i="3" s="1"/>
  <c r="E800" i="3"/>
  <c r="P799" i="3"/>
  <c r="O799" i="3"/>
  <c r="N799" i="3"/>
  <c r="J799" i="3"/>
  <c r="H799" i="3"/>
  <c r="E799" i="3"/>
  <c r="I799" i="3" s="1"/>
  <c r="P798" i="3"/>
  <c r="O798" i="3"/>
  <c r="N798" i="3"/>
  <c r="J798" i="3"/>
  <c r="H798" i="3"/>
  <c r="E798" i="3"/>
  <c r="I798" i="3" s="1"/>
  <c r="P797" i="3"/>
  <c r="O797" i="3"/>
  <c r="N797" i="3"/>
  <c r="J797" i="3"/>
  <c r="I797" i="3"/>
  <c r="H797" i="3"/>
  <c r="E797" i="3"/>
  <c r="P796" i="3"/>
  <c r="O796" i="3"/>
  <c r="N796" i="3"/>
  <c r="J796" i="3"/>
  <c r="H796" i="3"/>
  <c r="I796" i="3" s="1"/>
  <c r="E796" i="3"/>
  <c r="P795" i="3"/>
  <c r="O795" i="3"/>
  <c r="N795" i="3"/>
  <c r="J795" i="3"/>
  <c r="H795" i="3"/>
  <c r="E795" i="3"/>
  <c r="I795" i="3" s="1"/>
  <c r="P794" i="3"/>
  <c r="O794" i="3"/>
  <c r="N794" i="3"/>
  <c r="J794" i="3"/>
  <c r="H794" i="3"/>
  <c r="E794" i="3"/>
  <c r="I794" i="3" s="1"/>
  <c r="P793" i="3"/>
  <c r="O793" i="3"/>
  <c r="N793" i="3"/>
  <c r="J793" i="3"/>
  <c r="H793" i="3"/>
  <c r="E793" i="3"/>
  <c r="I793" i="3" s="1"/>
  <c r="P792" i="3"/>
  <c r="O792" i="3"/>
  <c r="N792" i="3"/>
  <c r="J792" i="3"/>
  <c r="H792" i="3"/>
  <c r="I792" i="3" s="1"/>
  <c r="E792" i="3"/>
  <c r="P791" i="3"/>
  <c r="O791" i="3"/>
  <c r="N791" i="3"/>
  <c r="J791" i="3"/>
  <c r="H791" i="3"/>
  <c r="E791" i="3"/>
  <c r="I791" i="3" s="1"/>
  <c r="P790" i="3"/>
  <c r="O790" i="3"/>
  <c r="N790" i="3"/>
  <c r="J790" i="3"/>
  <c r="H790" i="3"/>
  <c r="E790" i="3"/>
  <c r="I790" i="3" s="1"/>
  <c r="P789" i="3"/>
  <c r="O789" i="3"/>
  <c r="N789" i="3"/>
  <c r="J789" i="3"/>
  <c r="I789" i="3"/>
  <c r="H789" i="3"/>
  <c r="E789" i="3"/>
  <c r="P788" i="3"/>
  <c r="O788" i="3"/>
  <c r="N788" i="3"/>
  <c r="J788" i="3"/>
  <c r="H788" i="3"/>
  <c r="I788" i="3" s="1"/>
  <c r="E788" i="3"/>
  <c r="P787" i="3"/>
  <c r="O787" i="3"/>
  <c r="N787" i="3"/>
  <c r="J787" i="3"/>
  <c r="H787" i="3"/>
  <c r="E787" i="3"/>
  <c r="I787" i="3" s="1"/>
  <c r="P786" i="3"/>
  <c r="O786" i="3"/>
  <c r="N786" i="3"/>
  <c r="J786" i="3"/>
  <c r="H786" i="3"/>
  <c r="E786" i="3"/>
  <c r="I786" i="3" s="1"/>
  <c r="P785" i="3"/>
  <c r="O785" i="3"/>
  <c r="N785" i="3"/>
  <c r="J785" i="3"/>
  <c r="H785" i="3"/>
  <c r="E785" i="3"/>
  <c r="I785" i="3" s="1"/>
  <c r="P784" i="3"/>
  <c r="O784" i="3"/>
  <c r="N784" i="3"/>
  <c r="J784" i="3"/>
  <c r="H784" i="3"/>
  <c r="I784" i="3" s="1"/>
  <c r="E784" i="3"/>
  <c r="P783" i="3"/>
  <c r="O783" i="3"/>
  <c r="N783" i="3"/>
  <c r="J783" i="3"/>
  <c r="H783" i="3"/>
  <c r="E783" i="3"/>
  <c r="I783" i="3" s="1"/>
  <c r="P782" i="3"/>
  <c r="O782" i="3"/>
  <c r="N782" i="3"/>
  <c r="J782" i="3"/>
  <c r="H782" i="3"/>
  <c r="E782" i="3"/>
  <c r="I782" i="3" s="1"/>
  <c r="P781" i="3"/>
  <c r="O781" i="3"/>
  <c r="N781" i="3"/>
  <c r="J781" i="3"/>
  <c r="I781" i="3"/>
  <c r="H781" i="3"/>
  <c r="E781" i="3"/>
  <c r="P780" i="3"/>
  <c r="O780" i="3"/>
  <c r="N780" i="3"/>
  <c r="J780" i="3"/>
  <c r="H780" i="3"/>
  <c r="I780" i="3" s="1"/>
  <c r="E780" i="3"/>
  <c r="P779" i="3"/>
  <c r="O779" i="3"/>
  <c r="N779" i="3"/>
  <c r="J779" i="3"/>
  <c r="H779" i="3"/>
  <c r="E779" i="3"/>
  <c r="I779" i="3" s="1"/>
  <c r="P778" i="3"/>
  <c r="O778" i="3"/>
  <c r="N778" i="3"/>
  <c r="J778" i="3"/>
  <c r="H778" i="3"/>
  <c r="E778" i="3"/>
  <c r="I778" i="3" s="1"/>
  <c r="P777" i="3"/>
  <c r="O777" i="3"/>
  <c r="N777" i="3"/>
  <c r="J777" i="3"/>
  <c r="H777" i="3"/>
  <c r="E777" i="3"/>
  <c r="I777" i="3" s="1"/>
  <c r="P776" i="3"/>
  <c r="O776" i="3"/>
  <c r="N776" i="3"/>
  <c r="J776" i="3"/>
  <c r="H776" i="3"/>
  <c r="I776" i="3" s="1"/>
  <c r="E776" i="3"/>
  <c r="P775" i="3"/>
  <c r="O775" i="3"/>
  <c r="N775" i="3"/>
  <c r="J775" i="3"/>
  <c r="H775" i="3"/>
  <c r="E775" i="3"/>
  <c r="I775" i="3" s="1"/>
  <c r="P774" i="3"/>
  <c r="O774" i="3"/>
  <c r="N774" i="3"/>
  <c r="J774" i="3"/>
  <c r="H774" i="3"/>
  <c r="E774" i="3"/>
  <c r="I774" i="3" s="1"/>
  <c r="P773" i="3"/>
  <c r="O773" i="3"/>
  <c r="N773" i="3"/>
  <c r="J773" i="3"/>
  <c r="I773" i="3"/>
  <c r="H773" i="3"/>
  <c r="E773" i="3"/>
  <c r="P772" i="3"/>
  <c r="O772" i="3"/>
  <c r="N772" i="3"/>
  <c r="J772" i="3"/>
  <c r="H772" i="3"/>
  <c r="I772" i="3" s="1"/>
  <c r="E772" i="3"/>
  <c r="P771" i="3"/>
  <c r="O771" i="3"/>
  <c r="N771" i="3"/>
  <c r="J771" i="3"/>
  <c r="H771" i="3"/>
  <c r="E771" i="3"/>
  <c r="I771" i="3" s="1"/>
  <c r="P770" i="3"/>
  <c r="O770" i="3"/>
  <c r="N770" i="3"/>
  <c r="J770" i="3"/>
  <c r="H770" i="3"/>
  <c r="E770" i="3"/>
  <c r="I770" i="3" s="1"/>
  <c r="P769" i="3"/>
  <c r="O769" i="3"/>
  <c r="N769" i="3"/>
  <c r="J769" i="3"/>
  <c r="H769" i="3"/>
  <c r="E769" i="3"/>
  <c r="I769" i="3" s="1"/>
  <c r="P768" i="3"/>
  <c r="O768" i="3"/>
  <c r="N768" i="3"/>
  <c r="J768" i="3"/>
  <c r="H768" i="3"/>
  <c r="I768" i="3" s="1"/>
  <c r="E768" i="3"/>
  <c r="P767" i="3"/>
  <c r="O767" i="3"/>
  <c r="N767" i="3"/>
  <c r="J767" i="3"/>
  <c r="H767" i="3"/>
  <c r="E767" i="3"/>
  <c r="I767" i="3" s="1"/>
  <c r="P766" i="3"/>
  <c r="O766" i="3"/>
  <c r="N766" i="3"/>
  <c r="J766" i="3"/>
  <c r="H766" i="3"/>
  <c r="E766" i="3"/>
  <c r="I766" i="3" s="1"/>
  <c r="P765" i="3"/>
  <c r="O765" i="3"/>
  <c r="N765" i="3"/>
  <c r="J765" i="3"/>
  <c r="I765" i="3"/>
  <c r="H765" i="3"/>
  <c r="E765" i="3"/>
  <c r="P764" i="3"/>
  <c r="O764" i="3"/>
  <c r="N764" i="3"/>
  <c r="J764" i="3"/>
  <c r="H764" i="3"/>
  <c r="I764" i="3" s="1"/>
  <c r="E764" i="3"/>
  <c r="P763" i="3"/>
  <c r="O763" i="3"/>
  <c r="N763" i="3"/>
  <c r="J763" i="3"/>
  <c r="H763" i="3"/>
  <c r="E763" i="3"/>
  <c r="I763" i="3" s="1"/>
  <c r="P762" i="3"/>
  <c r="O762" i="3"/>
  <c r="N762" i="3"/>
  <c r="J762" i="3"/>
  <c r="H762" i="3"/>
  <c r="E762" i="3"/>
  <c r="I762" i="3" s="1"/>
  <c r="P761" i="3"/>
  <c r="O761" i="3"/>
  <c r="N761" i="3"/>
  <c r="J761" i="3"/>
  <c r="H761" i="3"/>
  <c r="E761" i="3"/>
  <c r="I761" i="3" s="1"/>
  <c r="P760" i="3"/>
  <c r="O760" i="3"/>
  <c r="N760" i="3"/>
  <c r="J760" i="3"/>
  <c r="H760" i="3"/>
  <c r="I760" i="3" s="1"/>
  <c r="E760" i="3"/>
  <c r="P759" i="3"/>
  <c r="O759" i="3"/>
  <c r="N759" i="3"/>
  <c r="J759" i="3"/>
  <c r="H759" i="3"/>
  <c r="E759" i="3"/>
  <c r="I759" i="3" s="1"/>
  <c r="P758" i="3"/>
  <c r="O758" i="3"/>
  <c r="N758" i="3"/>
  <c r="J758" i="3"/>
  <c r="H758" i="3"/>
  <c r="E758" i="3"/>
  <c r="I758" i="3" s="1"/>
  <c r="P757" i="3"/>
  <c r="O757" i="3"/>
  <c r="N757" i="3"/>
  <c r="J757" i="3"/>
  <c r="I757" i="3"/>
  <c r="H757" i="3"/>
  <c r="E757" i="3"/>
  <c r="P756" i="3"/>
  <c r="O756" i="3"/>
  <c r="N756" i="3"/>
  <c r="J756" i="3"/>
  <c r="H756" i="3"/>
  <c r="I756" i="3" s="1"/>
  <c r="E756" i="3"/>
  <c r="P755" i="3"/>
  <c r="O755" i="3"/>
  <c r="N755" i="3"/>
  <c r="J755" i="3"/>
  <c r="H755" i="3"/>
  <c r="E755" i="3"/>
  <c r="I755" i="3" s="1"/>
  <c r="P754" i="3"/>
  <c r="O754" i="3"/>
  <c r="N754" i="3"/>
  <c r="J754" i="3"/>
  <c r="H754" i="3"/>
  <c r="E754" i="3"/>
  <c r="I754" i="3" s="1"/>
  <c r="P753" i="3"/>
  <c r="O753" i="3"/>
  <c r="N753" i="3"/>
  <c r="J753" i="3"/>
  <c r="H753" i="3"/>
  <c r="E753" i="3"/>
  <c r="I753" i="3" s="1"/>
  <c r="P752" i="3"/>
  <c r="O752" i="3"/>
  <c r="N752" i="3"/>
  <c r="J752" i="3"/>
  <c r="H752" i="3"/>
  <c r="I752" i="3" s="1"/>
  <c r="E752" i="3"/>
  <c r="P751" i="3"/>
  <c r="O751" i="3"/>
  <c r="N751" i="3"/>
  <c r="J751" i="3"/>
  <c r="H751" i="3"/>
  <c r="E751" i="3"/>
  <c r="I751" i="3" s="1"/>
  <c r="P750" i="3"/>
  <c r="O750" i="3"/>
  <c r="N750" i="3"/>
  <c r="J750" i="3"/>
  <c r="H750" i="3"/>
  <c r="E750" i="3"/>
  <c r="I750" i="3" s="1"/>
  <c r="P749" i="3"/>
  <c r="O749" i="3"/>
  <c r="N749" i="3"/>
  <c r="J749" i="3"/>
  <c r="I749" i="3"/>
  <c r="H749" i="3"/>
  <c r="E749" i="3"/>
  <c r="P748" i="3"/>
  <c r="O748" i="3"/>
  <c r="N748" i="3"/>
  <c r="J748" i="3"/>
  <c r="H748" i="3"/>
  <c r="I748" i="3" s="1"/>
  <c r="E748" i="3"/>
  <c r="P747" i="3"/>
  <c r="O747" i="3"/>
  <c r="N747" i="3"/>
  <c r="J747" i="3"/>
  <c r="H747" i="3"/>
  <c r="E747" i="3"/>
  <c r="I747" i="3" s="1"/>
  <c r="P746" i="3"/>
  <c r="O746" i="3"/>
  <c r="N746" i="3"/>
  <c r="J746" i="3"/>
  <c r="H746" i="3"/>
  <c r="E746" i="3"/>
  <c r="I746" i="3" s="1"/>
  <c r="P745" i="3"/>
  <c r="O745" i="3"/>
  <c r="N745" i="3"/>
  <c r="J745" i="3"/>
  <c r="H745" i="3"/>
  <c r="E745" i="3"/>
  <c r="I745" i="3" s="1"/>
  <c r="P744" i="3"/>
  <c r="O744" i="3"/>
  <c r="N744" i="3"/>
  <c r="J744" i="3"/>
  <c r="H744" i="3"/>
  <c r="I744" i="3" s="1"/>
  <c r="E744" i="3"/>
  <c r="P743" i="3"/>
  <c r="O743" i="3"/>
  <c r="N743" i="3"/>
  <c r="J743" i="3"/>
  <c r="H743" i="3"/>
  <c r="E743" i="3"/>
  <c r="I743" i="3" s="1"/>
  <c r="P742" i="3"/>
  <c r="O742" i="3"/>
  <c r="N742" i="3"/>
  <c r="J742" i="3"/>
  <c r="H742" i="3"/>
  <c r="E742" i="3"/>
  <c r="I742" i="3" s="1"/>
  <c r="P741" i="3"/>
  <c r="O741" i="3"/>
  <c r="N741" i="3"/>
  <c r="J741" i="3"/>
  <c r="I741" i="3"/>
  <c r="H741" i="3"/>
  <c r="E741" i="3"/>
  <c r="P740" i="3"/>
  <c r="O740" i="3"/>
  <c r="N740" i="3"/>
  <c r="J740" i="3"/>
  <c r="H740" i="3"/>
  <c r="I740" i="3" s="1"/>
  <c r="E740" i="3"/>
  <c r="P739" i="3"/>
  <c r="O739" i="3"/>
  <c r="N739" i="3"/>
  <c r="J739" i="3"/>
  <c r="H739" i="3"/>
  <c r="E739" i="3"/>
  <c r="I739" i="3" s="1"/>
  <c r="P738" i="3"/>
  <c r="O738" i="3"/>
  <c r="N738" i="3"/>
  <c r="J738" i="3"/>
  <c r="H738" i="3"/>
  <c r="E738" i="3"/>
  <c r="I738" i="3" s="1"/>
  <c r="P737" i="3"/>
  <c r="O737" i="3"/>
  <c r="N737" i="3"/>
  <c r="J737" i="3"/>
  <c r="H737" i="3"/>
  <c r="E737" i="3"/>
  <c r="I737" i="3" s="1"/>
  <c r="P736" i="3"/>
  <c r="O736" i="3"/>
  <c r="N736" i="3"/>
  <c r="J736" i="3"/>
  <c r="H736" i="3"/>
  <c r="I736" i="3" s="1"/>
  <c r="E736" i="3"/>
  <c r="P735" i="3"/>
  <c r="O735" i="3"/>
  <c r="N735" i="3"/>
  <c r="J735" i="3"/>
  <c r="H735" i="3"/>
  <c r="E735" i="3"/>
  <c r="I735" i="3" s="1"/>
  <c r="P734" i="3"/>
  <c r="O734" i="3"/>
  <c r="N734" i="3"/>
  <c r="J734" i="3"/>
  <c r="H734" i="3"/>
  <c r="E734" i="3"/>
  <c r="I734" i="3" s="1"/>
  <c r="P733" i="3"/>
  <c r="O733" i="3"/>
  <c r="N733" i="3"/>
  <c r="J733" i="3"/>
  <c r="I733" i="3"/>
  <c r="H733" i="3"/>
  <c r="E733" i="3"/>
  <c r="P732" i="3"/>
  <c r="O732" i="3"/>
  <c r="N732" i="3"/>
  <c r="J732" i="3"/>
  <c r="H732" i="3"/>
  <c r="I732" i="3" s="1"/>
  <c r="E732" i="3"/>
  <c r="P731" i="3"/>
  <c r="O731" i="3"/>
  <c r="N731" i="3"/>
  <c r="J731" i="3"/>
  <c r="H731" i="3"/>
  <c r="E731" i="3"/>
  <c r="I731" i="3" s="1"/>
  <c r="P730" i="3"/>
  <c r="O730" i="3"/>
  <c r="N730" i="3"/>
  <c r="J730" i="3"/>
  <c r="H730" i="3"/>
  <c r="E730" i="3"/>
  <c r="I730" i="3" s="1"/>
  <c r="P729" i="3"/>
  <c r="O729" i="3"/>
  <c r="N729" i="3"/>
  <c r="J729" i="3"/>
  <c r="H729" i="3"/>
  <c r="E729" i="3"/>
  <c r="I729" i="3" s="1"/>
  <c r="P728" i="3"/>
  <c r="O728" i="3"/>
  <c r="N728" i="3"/>
  <c r="J728" i="3"/>
  <c r="H728" i="3"/>
  <c r="I728" i="3" s="1"/>
  <c r="E728" i="3"/>
  <c r="P727" i="3"/>
  <c r="O727" i="3"/>
  <c r="N727" i="3"/>
  <c r="J727" i="3"/>
  <c r="H727" i="3"/>
  <c r="E727" i="3"/>
  <c r="I727" i="3" s="1"/>
  <c r="P726" i="3"/>
  <c r="O726" i="3"/>
  <c r="N726" i="3"/>
  <c r="J726" i="3"/>
  <c r="H726" i="3"/>
  <c r="E726" i="3"/>
  <c r="I726" i="3" s="1"/>
  <c r="P725" i="3"/>
  <c r="O725" i="3"/>
  <c r="N725" i="3"/>
  <c r="J725" i="3"/>
  <c r="I725" i="3"/>
  <c r="H725" i="3"/>
  <c r="E725" i="3"/>
  <c r="P724" i="3"/>
  <c r="O724" i="3"/>
  <c r="N724" i="3"/>
  <c r="J724" i="3"/>
  <c r="H724" i="3"/>
  <c r="I724" i="3" s="1"/>
  <c r="E724" i="3"/>
  <c r="P723" i="3"/>
  <c r="O723" i="3"/>
  <c r="N723" i="3"/>
  <c r="J723" i="3"/>
  <c r="H723" i="3"/>
  <c r="E723" i="3"/>
  <c r="I723" i="3" s="1"/>
  <c r="P722" i="3"/>
  <c r="O722" i="3"/>
  <c r="N722" i="3"/>
  <c r="J722" i="3"/>
  <c r="H722" i="3"/>
  <c r="E722" i="3"/>
  <c r="I722" i="3" s="1"/>
  <c r="P721" i="3"/>
  <c r="O721" i="3"/>
  <c r="N721" i="3"/>
  <c r="J721" i="3"/>
  <c r="H721" i="3"/>
  <c r="E721" i="3"/>
  <c r="I721" i="3" s="1"/>
  <c r="P720" i="3"/>
  <c r="O720" i="3"/>
  <c r="N720" i="3"/>
  <c r="J720" i="3"/>
  <c r="H720" i="3"/>
  <c r="I720" i="3" s="1"/>
  <c r="E720" i="3"/>
  <c r="P719" i="3"/>
  <c r="O719" i="3"/>
  <c r="N719" i="3"/>
  <c r="J719" i="3"/>
  <c r="H719" i="3"/>
  <c r="E719" i="3"/>
  <c r="I719" i="3" s="1"/>
  <c r="P718" i="3"/>
  <c r="O718" i="3"/>
  <c r="N718" i="3"/>
  <c r="J718" i="3"/>
  <c r="H718" i="3"/>
  <c r="E718" i="3"/>
  <c r="I718" i="3" s="1"/>
  <c r="P717" i="3"/>
  <c r="O717" i="3"/>
  <c r="N717" i="3"/>
  <c r="J717" i="3"/>
  <c r="I717" i="3"/>
  <c r="H717" i="3"/>
  <c r="E717" i="3"/>
  <c r="P716" i="3"/>
  <c r="O716" i="3"/>
  <c r="N716" i="3"/>
  <c r="J716" i="3"/>
  <c r="H716" i="3"/>
  <c r="I716" i="3" s="1"/>
  <c r="E716" i="3"/>
  <c r="P715" i="3"/>
  <c r="O715" i="3"/>
  <c r="N715" i="3"/>
  <c r="J715" i="3"/>
  <c r="H715" i="3"/>
  <c r="E715" i="3"/>
  <c r="I715" i="3" s="1"/>
  <c r="P714" i="3"/>
  <c r="O714" i="3"/>
  <c r="N714" i="3"/>
  <c r="J714" i="3"/>
  <c r="H714" i="3"/>
  <c r="E714" i="3"/>
  <c r="I714" i="3" s="1"/>
  <c r="P713" i="3"/>
  <c r="O713" i="3"/>
  <c r="N713" i="3"/>
  <c r="J713" i="3"/>
  <c r="H713" i="3"/>
  <c r="E713" i="3"/>
  <c r="I713" i="3" s="1"/>
  <c r="P712" i="3"/>
  <c r="O712" i="3"/>
  <c r="N712" i="3"/>
  <c r="J712" i="3"/>
  <c r="H712" i="3"/>
  <c r="I712" i="3" s="1"/>
  <c r="E712" i="3"/>
  <c r="P711" i="3"/>
  <c r="O711" i="3"/>
  <c r="N711" i="3"/>
  <c r="J711" i="3"/>
  <c r="H711" i="3"/>
  <c r="E711" i="3"/>
  <c r="I711" i="3" s="1"/>
  <c r="P710" i="3"/>
  <c r="O710" i="3"/>
  <c r="N710" i="3"/>
  <c r="J710" i="3"/>
  <c r="H710" i="3"/>
  <c r="E710" i="3"/>
  <c r="I710" i="3" s="1"/>
  <c r="P709" i="3"/>
  <c r="O709" i="3"/>
  <c r="N709" i="3"/>
  <c r="J709" i="3"/>
  <c r="I709" i="3"/>
  <c r="H709" i="3"/>
  <c r="E709" i="3"/>
  <c r="P708" i="3"/>
  <c r="O708" i="3"/>
  <c r="N708" i="3"/>
  <c r="J708" i="3"/>
  <c r="H708" i="3"/>
  <c r="I708" i="3" s="1"/>
  <c r="E708" i="3"/>
  <c r="P707" i="3"/>
  <c r="O707" i="3"/>
  <c r="N707" i="3"/>
  <c r="J707" i="3"/>
  <c r="H707" i="3"/>
  <c r="E707" i="3"/>
  <c r="I707" i="3" s="1"/>
  <c r="P706" i="3"/>
  <c r="O706" i="3"/>
  <c r="N706" i="3"/>
  <c r="J706" i="3"/>
  <c r="H706" i="3"/>
  <c r="E706" i="3"/>
  <c r="I706" i="3" s="1"/>
  <c r="P705" i="3"/>
  <c r="O705" i="3"/>
  <c r="N705" i="3"/>
  <c r="J705" i="3"/>
  <c r="H705" i="3"/>
  <c r="E705" i="3"/>
  <c r="I705" i="3" s="1"/>
  <c r="P704" i="3"/>
  <c r="O704" i="3"/>
  <c r="N704" i="3"/>
  <c r="J704" i="3"/>
  <c r="H704" i="3"/>
  <c r="I704" i="3" s="1"/>
  <c r="E704" i="3"/>
  <c r="P703" i="3"/>
  <c r="O703" i="3"/>
  <c r="N703" i="3"/>
  <c r="J703" i="3"/>
  <c r="H703" i="3"/>
  <c r="E703" i="3"/>
  <c r="I703" i="3" s="1"/>
  <c r="P702" i="3"/>
  <c r="O702" i="3"/>
  <c r="N702" i="3"/>
  <c r="J702" i="3"/>
  <c r="H702" i="3"/>
  <c r="E702" i="3"/>
  <c r="I702" i="3" s="1"/>
  <c r="P701" i="3"/>
  <c r="O701" i="3"/>
  <c r="N701" i="3"/>
  <c r="J701" i="3"/>
  <c r="I701" i="3"/>
  <c r="H701" i="3"/>
  <c r="E701" i="3"/>
  <c r="P700" i="3"/>
  <c r="O700" i="3"/>
  <c r="N700" i="3"/>
  <c r="J700" i="3"/>
  <c r="H700" i="3"/>
  <c r="I700" i="3" s="1"/>
  <c r="E700" i="3"/>
  <c r="P699" i="3"/>
  <c r="O699" i="3"/>
  <c r="N699" i="3"/>
  <c r="J699" i="3"/>
  <c r="H699" i="3"/>
  <c r="E699" i="3"/>
  <c r="I699" i="3" s="1"/>
  <c r="P698" i="3"/>
  <c r="O698" i="3"/>
  <c r="N698" i="3"/>
  <c r="J698" i="3"/>
  <c r="H698" i="3"/>
  <c r="E698" i="3"/>
  <c r="I698" i="3" s="1"/>
  <c r="P697" i="3"/>
  <c r="O697" i="3"/>
  <c r="N697" i="3"/>
  <c r="J697" i="3"/>
  <c r="H697" i="3"/>
  <c r="E697" i="3"/>
  <c r="I697" i="3" s="1"/>
  <c r="P696" i="3"/>
  <c r="O696" i="3"/>
  <c r="N696" i="3"/>
  <c r="J696" i="3"/>
  <c r="H696" i="3"/>
  <c r="I696" i="3" s="1"/>
  <c r="E696" i="3"/>
  <c r="P695" i="3"/>
  <c r="O695" i="3"/>
  <c r="N695" i="3"/>
  <c r="J695" i="3"/>
  <c r="H695" i="3"/>
  <c r="E695" i="3"/>
  <c r="I695" i="3" s="1"/>
  <c r="P694" i="3"/>
  <c r="O694" i="3"/>
  <c r="N694" i="3"/>
  <c r="J694" i="3"/>
  <c r="H694" i="3"/>
  <c r="E694" i="3"/>
  <c r="I694" i="3" s="1"/>
  <c r="P693" i="3"/>
  <c r="O693" i="3"/>
  <c r="N693" i="3"/>
  <c r="J693" i="3"/>
  <c r="I693" i="3"/>
  <c r="H693" i="3"/>
  <c r="E693" i="3"/>
  <c r="P692" i="3"/>
  <c r="O692" i="3"/>
  <c r="N692" i="3"/>
  <c r="J692" i="3"/>
  <c r="H692" i="3"/>
  <c r="I692" i="3" s="1"/>
  <c r="E692" i="3"/>
  <c r="P691" i="3"/>
  <c r="O691" i="3"/>
  <c r="N691" i="3"/>
  <c r="J691" i="3"/>
  <c r="H691" i="3"/>
  <c r="E691" i="3"/>
  <c r="I691" i="3" s="1"/>
  <c r="P690" i="3"/>
  <c r="O690" i="3"/>
  <c r="N690" i="3"/>
  <c r="J690" i="3"/>
  <c r="H690" i="3"/>
  <c r="E690" i="3"/>
  <c r="I690" i="3" s="1"/>
  <c r="P689" i="3"/>
  <c r="O689" i="3"/>
  <c r="N689" i="3"/>
  <c r="J689" i="3"/>
  <c r="H689" i="3"/>
  <c r="E689" i="3"/>
  <c r="I689" i="3" s="1"/>
  <c r="P688" i="3"/>
  <c r="O688" i="3"/>
  <c r="N688" i="3"/>
  <c r="J688" i="3"/>
  <c r="H688" i="3"/>
  <c r="I688" i="3" s="1"/>
  <c r="E688" i="3"/>
  <c r="P687" i="3"/>
  <c r="O687" i="3"/>
  <c r="N687" i="3"/>
  <c r="J687" i="3"/>
  <c r="H687" i="3"/>
  <c r="E687" i="3"/>
  <c r="I687" i="3" s="1"/>
  <c r="P686" i="3"/>
  <c r="O686" i="3"/>
  <c r="N686" i="3"/>
  <c r="J686" i="3"/>
  <c r="H686" i="3"/>
  <c r="E686" i="3"/>
  <c r="I686" i="3" s="1"/>
  <c r="P685" i="3"/>
  <c r="O685" i="3"/>
  <c r="N685" i="3"/>
  <c r="J685" i="3"/>
  <c r="I685" i="3"/>
  <c r="H685" i="3"/>
  <c r="E685" i="3"/>
  <c r="P684" i="3"/>
  <c r="O684" i="3"/>
  <c r="N684" i="3"/>
  <c r="J684" i="3"/>
  <c r="H684" i="3"/>
  <c r="I684" i="3" s="1"/>
  <c r="E684" i="3"/>
  <c r="P683" i="3"/>
  <c r="O683" i="3"/>
  <c r="N683" i="3"/>
  <c r="J683" i="3"/>
  <c r="H683" i="3"/>
  <c r="E683" i="3"/>
  <c r="I683" i="3" s="1"/>
  <c r="P682" i="3"/>
  <c r="O682" i="3"/>
  <c r="N682" i="3"/>
  <c r="J682" i="3"/>
  <c r="H682" i="3"/>
  <c r="E682" i="3"/>
  <c r="I682" i="3" s="1"/>
  <c r="P681" i="3"/>
  <c r="O681" i="3"/>
  <c r="N681" i="3"/>
  <c r="J681" i="3"/>
  <c r="H681" i="3"/>
  <c r="E681" i="3"/>
  <c r="I681" i="3" s="1"/>
  <c r="P680" i="3"/>
  <c r="O680" i="3"/>
  <c r="N680" i="3"/>
  <c r="J680" i="3"/>
  <c r="H680" i="3"/>
  <c r="I680" i="3" s="1"/>
  <c r="E680" i="3"/>
  <c r="P679" i="3"/>
  <c r="O679" i="3"/>
  <c r="N679" i="3"/>
  <c r="J679" i="3"/>
  <c r="H679" i="3"/>
  <c r="E679" i="3"/>
  <c r="I679" i="3" s="1"/>
  <c r="P678" i="3"/>
  <c r="O678" i="3"/>
  <c r="N678" i="3"/>
  <c r="J678" i="3"/>
  <c r="H678" i="3"/>
  <c r="E678" i="3"/>
  <c r="I678" i="3" s="1"/>
  <c r="P677" i="3"/>
  <c r="O677" i="3"/>
  <c r="N677" i="3"/>
  <c r="J677" i="3"/>
  <c r="I677" i="3"/>
  <c r="H677" i="3"/>
  <c r="E677" i="3"/>
  <c r="P676" i="3"/>
  <c r="O676" i="3"/>
  <c r="N676" i="3"/>
  <c r="J676" i="3"/>
  <c r="H676" i="3"/>
  <c r="I676" i="3" s="1"/>
  <c r="E676" i="3"/>
  <c r="P675" i="3"/>
  <c r="O675" i="3"/>
  <c r="N675" i="3"/>
  <c r="J675" i="3"/>
  <c r="H675" i="3"/>
  <c r="E675" i="3"/>
  <c r="I675" i="3" s="1"/>
  <c r="P674" i="3"/>
  <c r="O674" i="3"/>
  <c r="N674" i="3"/>
  <c r="J674" i="3"/>
  <c r="H674" i="3"/>
  <c r="E674" i="3"/>
  <c r="I674" i="3" s="1"/>
  <c r="P673" i="3"/>
  <c r="O673" i="3"/>
  <c r="N673" i="3"/>
  <c r="J673" i="3"/>
  <c r="H673" i="3"/>
  <c r="E673" i="3"/>
  <c r="I673" i="3" s="1"/>
  <c r="P672" i="3"/>
  <c r="O672" i="3"/>
  <c r="N672" i="3"/>
  <c r="J672" i="3"/>
  <c r="H672" i="3"/>
  <c r="I672" i="3" s="1"/>
  <c r="E672" i="3"/>
  <c r="P671" i="3"/>
  <c r="O671" i="3"/>
  <c r="N671" i="3"/>
  <c r="J671" i="3"/>
  <c r="H671" i="3"/>
  <c r="E671" i="3"/>
  <c r="I671" i="3" s="1"/>
  <c r="P670" i="3"/>
  <c r="O670" i="3"/>
  <c r="N670" i="3"/>
  <c r="J670" i="3"/>
  <c r="H670" i="3"/>
  <c r="E670" i="3"/>
  <c r="I670" i="3" s="1"/>
  <c r="P669" i="3"/>
  <c r="O669" i="3"/>
  <c r="N669" i="3"/>
  <c r="J669" i="3"/>
  <c r="I669" i="3"/>
  <c r="H669" i="3"/>
  <c r="E669" i="3"/>
  <c r="P668" i="3"/>
  <c r="O668" i="3"/>
  <c r="N668" i="3"/>
  <c r="J668" i="3"/>
  <c r="H668" i="3"/>
  <c r="I668" i="3" s="1"/>
  <c r="E668" i="3"/>
  <c r="P667" i="3"/>
  <c r="O667" i="3"/>
  <c r="N667" i="3"/>
  <c r="J667" i="3"/>
  <c r="H667" i="3"/>
  <c r="E667" i="3"/>
  <c r="I667" i="3" s="1"/>
  <c r="P666" i="3"/>
  <c r="O666" i="3"/>
  <c r="N666" i="3"/>
  <c r="J666" i="3"/>
  <c r="H666" i="3"/>
  <c r="E666" i="3"/>
  <c r="I666" i="3" s="1"/>
  <c r="P665" i="3"/>
  <c r="O665" i="3"/>
  <c r="N665" i="3"/>
  <c r="J665" i="3"/>
  <c r="H665" i="3"/>
  <c r="E665" i="3"/>
  <c r="I665" i="3" s="1"/>
  <c r="P664" i="3"/>
  <c r="O664" i="3"/>
  <c r="N664" i="3"/>
  <c r="J664" i="3"/>
  <c r="H664" i="3"/>
  <c r="I664" i="3" s="1"/>
  <c r="E664" i="3"/>
  <c r="P663" i="3"/>
  <c r="O663" i="3"/>
  <c r="N663" i="3"/>
  <c r="J663" i="3"/>
  <c r="H663" i="3"/>
  <c r="E663" i="3"/>
  <c r="I663" i="3" s="1"/>
  <c r="P662" i="3"/>
  <c r="O662" i="3"/>
  <c r="N662" i="3"/>
  <c r="J662" i="3"/>
  <c r="H662" i="3"/>
  <c r="E662" i="3"/>
  <c r="I662" i="3" s="1"/>
  <c r="P661" i="3"/>
  <c r="O661" i="3"/>
  <c r="N661" i="3"/>
  <c r="J661" i="3"/>
  <c r="I661" i="3"/>
  <c r="H661" i="3"/>
  <c r="E661" i="3"/>
  <c r="P660" i="3"/>
  <c r="O660" i="3"/>
  <c r="N660" i="3"/>
  <c r="J660" i="3"/>
  <c r="H660" i="3"/>
  <c r="I660" i="3" s="1"/>
  <c r="E660" i="3"/>
  <c r="P659" i="3"/>
  <c r="O659" i="3"/>
  <c r="N659" i="3"/>
  <c r="J659" i="3"/>
  <c r="H659" i="3"/>
  <c r="E659" i="3"/>
  <c r="I659" i="3" s="1"/>
  <c r="P658" i="3"/>
  <c r="O658" i="3"/>
  <c r="N658" i="3"/>
  <c r="J658" i="3"/>
  <c r="H658" i="3"/>
  <c r="E658" i="3"/>
  <c r="I658" i="3" s="1"/>
  <c r="P657" i="3"/>
  <c r="O657" i="3"/>
  <c r="N657" i="3"/>
  <c r="J657" i="3"/>
  <c r="H657" i="3"/>
  <c r="E657" i="3"/>
  <c r="I657" i="3" s="1"/>
  <c r="P656" i="3"/>
  <c r="O656" i="3"/>
  <c r="N656" i="3"/>
  <c r="J656" i="3"/>
  <c r="H656" i="3"/>
  <c r="I656" i="3" s="1"/>
  <c r="E656" i="3"/>
  <c r="P655" i="3"/>
  <c r="O655" i="3"/>
  <c r="N655" i="3"/>
  <c r="J655" i="3"/>
  <c r="H655" i="3"/>
  <c r="E655" i="3"/>
  <c r="I655" i="3" s="1"/>
  <c r="P654" i="3"/>
  <c r="O654" i="3"/>
  <c r="N654" i="3"/>
  <c r="J654" i="3"/>
  <c r="H654" i="3"/>
  <c r="E654" i="3"/>
  <c r="I654" i="3" s="1"/>
  <c r="P653" i="3"/>
  <c r="O653" i="3"/>
  <c r="N653" i="3"/>
  <c r="J653" i="3"/>
  <c r="I653" i="3"/>
  <c r="H653" i="3"/>
  <c r="E653" i="3"/>
  <c r="P652" i="3"/>
  <c r="O652" i="3"/>
  <c r="N652" i="3"/>
  <c r="J652" i="3"/>
  <c r="H652" i="3"/>
  <c r="I652" i="3" s="1"/>
  <c r="E652" i="3"/>
  <c r="P651" i="3"/>
  <c r="O651" i="3"/>
  <c r="N651" i="3"/>
  <c r="J651" i="3"/>
  <c r="H651" i="3"/>
  <c r="E651" i="3"/>
  <c r="I651" i="3" s="1"/>
  <c r="P650" i="3"/>
  <c r="O650" i="3"/>
  <c r="N650" i="3"/>
  <c r="J650" i="3"/>
  <c r="H650" i="3"/>
  <c r="E650" i="3"/>
  <c r="I650" i="3" s="1"/>
  <c r="P649" i="3"/>
  <c r="O649" i="3"/>
  <c r="N649" i="3"/>
  <c r="J649" i="3"/>
  <c r="H649" i="3"/>
  <c r="E649" i="3"/>
  <c r="I649" i="3" s="1"/>
  <c r="P648" i="3"/>
  <c r="O648" i="3"/>
  <c r="N648" i="3"/>
  <c r="J648" i="3"/>
  <c r="H648" i="3"/>
  <c r="I648" i="3" s="1"/>
  <c r="E648" i="3"/>
  <c r="P647" i="3"/>
  <c r="O647" i="3"/>
  <c r="N647" i="3"/>
  <c r="J647" i="3"/>
  <c r="H647" i="3"/>
  <c r="E647" i="3"/>
  <c r="I647" i="3" s="1"/>
  <c r="P646" i="3"/>
  <c r="O646" i="3"/>
  <c r="N646" i="3"/>
  <c r="J646" i="3"/>
  <c r="H646" i="3"/>
  <c r="E646" i="3"/>
  <c r="I646" i="3" s="1"/>
  <c r="P645" i="3"/>
  <c r="O645" i="3"/>
  <c r="N645" i="3"/>
  <c r="J645" i="3"/>
  <c r="I645" i="3"/>
  <c r="H645" i="3"/>
  <c r="E645" i="3"/>
  <c r="P644" i="3"/>
  <c r="O644" i="3"/>
  <c r="N644" i="3"/>
  <c r="J644" i="3"/>
  <c r="H644" i="3"/>
  <c r="I644" i="3" s="1"/>
  <c r="E644" i="3"/>
  <c r="P643" i="3"/>
  <c r="O643" i="3"/>
  <c r="N643" i="3"/>
  <c r="J643" i="3"/>
  <c r="H643" i="3"/>
  <c r="E643" i="3"/>
  <c r="I643" i="3" s="1"/>
  <c r="P642" i="3"/>
  <c r="O642" i="3"/>
  <c r="N642" i="3"/>
  <c r="J642" i="3"/>
  <c r="H642" i="3"/>
  <c r="E642" i="3"/>
  <c r="I642" i="3" s="1"/>
  <c r="P641" i="3"/>
  <c r="O641" i="3"/>
  <c r="N641" i="3"/>
  <c r="J641" i="3"/>
  <c r="H641" i="3"/>
  <c r="E641" i="3"/>
  <c r="I641" i="3" s="1"/>
  <c r="P640" i="3"/>
  <c r="O640" i="3"/>
  <c r="N640" i="3"/>
  <c r="J640" i="3"/>
  <c r="H640" i="3"/>
  <c r="I640" i="3" s="1"/>
  <c r="E640" i="3"/>
  <c r="P639" i="3"/>
  <c r="O639" i="3"/>
  <c r="N639" i="3"/>
  <c r="J639" i="3"/>
  <c r="H639" i="3"/>
  <c r="E639" i="3"/>
  <c r="I639" i="3" s="1"/>
  <c r="P638" i="3"/>
  <c r="O638" i="3"/>
  <c r="N638" i="3"/>
  <c r="J638" i="3"/>
  <c r="H638" i="3"/>
  <c r="E638" i="3"/>
  <c r="I638" i="3" s="1"/>
  <c r="P637" i="3"/>
  <c r="O637" i="3"/>
  <c r="N637" i="3"/>
  <c r="J637" i="3"/>
  <c r="I637" i="3"/>
  <c r="H637" i="3"/>
  <c r="E637" i="3"/>
  <c r="P636" i="3"/>
  <c r="O636" i="3"/>
  <c r="N636" i="3"/>
  <c r="J636" i="3"/>
  <c r="H636" i="3"/>
  <c r="I636" i="3" s="1"/>
  <c r="E636" i="3"/>
  <c r="P635" i="3"/>
  <c r="O635" i="3"/>
  <c r="N635" i="3"/>
  <c r="J635" i="3"/>
  <c r="H635" i="3"/>
  <c r="E635" i="3"/>
  <c r="I635" i="3" s="1"/>
  <c r="P634" i="3"/>
  <c r="O634" i="3"/>
  <c r="N634" i="3"/>
  <c r="J634" i="3"/>
  <c r="H634" i="3"/>
  <c r="E634" i="3"/>
  <c r="I634" i="3" s="1"/>
  <c r="P633" i="3"/>
  <c r="O633" i="3"/>
  <c r="N633" i="3"/>
  <c r="J633" i="3"/>
  <c r="H633" i="3"/>
  <c r="E633" i="3"/>
  <c r="I633" i="3" s="1"/>
  <c r="P632" i="3"/>
  <c r="O632" i="3"/>
  <c r="N632" i="3"/>
  <c r="J632" i="3"/>
  <c r="H632" i="3"/>
  <c r="I632" i="3" s="1"/>
  <c r="E632" i="3"/>
  <c r="P631" i="3"/>
  <c r="O631" i="3"/>
  <c r="N631" i="3"/>
  <c r="J631" i="3"/>
  <c r="H631" i="3"/>
  <c r="E631" i="3"/>
  <c r="I631" i="3" s="1"/>
  <c r="P630" i="3"/>
  <c r="O630" i="3"/>
  <c r="N630" i="3"/>
  <c r="J630" i="3"/>
  <c r="H630" i="3"/>
  <c r="E630" i="3"/>
  <c r="I630" i="3" s="1"/>
  <c r="P629" i="3"/>
  <c r="O629" i="3"/>
  <c r="N629" i="3"/>
  <c r="J629" i="3"/>
  <c r="I629" i="3"/>
  <c r="H629" i="3"/>
  <c r="E629" i="3"/>
  <c r="P628" i="3"/>
  <c r="O628" i="3"/>
  <c r="N628" i="3"/>
  <c r="J628" i="3"/>
  <c r="H628" i="3"/>
  <c r="I628" i="3" s="1"/>
  <c r="E628" i="3"/>
  <c r="P627" i="3"/>
  <c r="O627" i="3"/>
  <c r="N627" i="3"/>
  <c r="J627" i="3"/>
  <c r="H627" i="3"/>
  <c r="E627" i="3"/>
  <c r="I627" i="3" s="1"/>
  <c r="P626" i="3"/>
  <c r="O626" i="3"/>
  <c r="N626" i="3"/>
  <c r="J626" i="3"/>
  <c r="H626" i="3"/>
  <c r="E626" i="3"/>
  <c r="I626" i="3" s="1"/>
  <c r="P625" i="3"/>
  <c r="O625" i="3"/>
  <c r="N625" i="3"/>
  <c r="J625" i="3"/>
  <c r="H625" i="3"/>
  <c r="E625" i="3"/>
  <c r="I625" i="3" s="1"/>
  <c r="P624" i="3"/>
  <c r="O624" i="3"/>
  <c r="N624" i="3"/>
  <c r="J624" i="3"/>
  <c r="H624" i="3"/>
  <c r="I624" i="3" s="1"/>
  <c r="E624" i="3"/>
  <c r="P623" i="3"/>
  <c r="O623" i="3"/>
  <c r="N623" i="3"/>
  <c r="J623" i="3"/>
  <c r="H623" i="3"/>
  <c r="E623" i="3"/>
  <c r="I623" i="3" s="1"/>
  <c r="P622" i="3"/>
  <c r="O622" i="3"/>
  <c r="N622" i="3"/>
  <c r="J622" i="3"/>
  <c r="H622" i="3"/>
  <c r="E622" i="3"/>
  <c r="I622" i="3" s="1"/>
  <c r="P621" i="3"/>
  <c r="O621" i="3"/>
  <c r="N621" i="3"/>
  <c r="J621" i="3"/>
  <c r="I621" i="3"/>
  <c r="H621" i="3"/>
  <c r="E621" i="3"/>
  <c r="P620" i="3"/>
  <c r="O620" i="3"/>
  <c r="N620" i="3"/>
  <c r="J620" i="3"/>
  <c r="H620" i="3"/>
  <c r="I620" i="3" s="1"/>
  <c r="E620" i="3"/>
  <c r="P619" i="3"/>
  <c r="O619" i="3"/>
  <c r="N619" i="3"/>
  <c r="J619" i="3"/>
  <c r="H619" i="3"/>
  <c r="E619" i="3"/>
  <c r="I619" i="3" s="1"/>
  <c r="P618" i="3"/>
  <c r="O618" i="3"/>
  <c r="N618" i="3"/>
  <c r="J618" i="3"/>
  <c r="H618" i="3"/>
  <c r="E618" i="3"/>
  <c r="I618" i="3" s="1"/>
  <c r="P617" i="3"/>
  <c r="O617" i="3"/>
  <c r="N617" i="3"/>
  <c r="J617" i="3"/>
  <c r="H617" i="3"/>
  <c r="E617" i="3"/>
  <c r="I617" i="3" s="1"/>
  <c r="P616" i="3"/>
  <c r="O616" i="3"/>
  <c r="N616" i="3"/>
  <c r="J616" i="3"/>
  <c r="H616" i="3"/>
  <c r="I616" i="3" s="1"/>
  <c r="E616" i="3"/>
  <c r="P615" i="3"/>
  <c r="O615" i="3"/>
  <c r="N615" i="3"/>
  <c r="J615" i="3"/>
  <c r="H615" i="3"/>
  <c r="E615" i="3"/>
  <c r="I615" i="3" s="1"/>
  <c r="P614" i="3"/>
  <c r="O614" i="3"/>
  <c r="N614" i="3"/>
  <c r="J614" i="3"/>
  <c r="H614" i="3"/>
  <c r="E614" i="3"/>
  <c r="I614" i="3" s="1"/>
  <c r="P613" i="3"/>
  <c r="O613" i="3"/>
  <c r="N613" i="3"/>
  <c r="J613" i="3"/>
  <c r="I613" i="3"/>
  <c r="H613" i="3"/>
  <c r="E613" i="3"/>
  <c r="P612" i="3"/>
  <c r="O612" i="3"/>
  <c r="N612" i="3"/>
  <c r="J612" i="3"/>
  <c r="H612" i="3"/>
  <c r="I612" i="3" s="1"/>
  <c r="E612" i="3"/>
  <c r="P611" i="3"/>
  <c r="O611" i="3"/>
  <c r="N611" i="3"/>
  <c r="J611" i="3"/>
  <c r="H611" i="3"/>
  <c r="E611" i="3"/>
  <c r="I611" i="3" s="1"/>
  <c r="P610" i="3"/>
  <c r="O610" i="3"/>
  <c r="N610" i="3"/>
  <c r="J610" i="3"/>
  <c r="H610" i="3"/>
  <c r="E610" i="3"/>
  <c r="I610" i="3" s="1"/>
  <c r="P609" i="3"/>
  <c r="O609" i="3"/>
  <c r="N609" i="3"/>
  <c r="J609" i="3"/>
  <c r="H609" i="3"/>
  <c r="E609" i="3"/>
  <c r="I609" i="3" s="1"/>
  <c r="P608" i="3"/>
  <c r="O608" i="3"/>
  <c r="N608" i="3"/>
  <c r="J608" i="3"/>
  <c r="H608" i="3"/>
  <c r="I608" i="3" s="1"/>
  <c r="E608" i="3"/>
  <c r="P607" i="3"/>
  <c r="O607" i="3"/>
  <c r="N607" i="3"/>
  <c r="J607" i="3"/>
  <c r="H607" i="3"/>
  <c r="E607" i="3"/>
  <c r="I607" i="3" s="1"/>
  <c r="P606" i="3"/>
  <c r="O606" i="3"/>
  <c r="N606" i="3"/>
  <c r="J606" i="3"/>
  <c r="H606" i="3"/>
  <c r="E606" i="3"/>
  <c r="I606" i="3" s="1"/>
  <c r="P605" i="3"/>
  <c r="O605" i="3"/>
  <c r="N605" i="3"/>
  <c r="J605" i="3"/>
  <c r="I605" i="3"/>
  <c r="H605" i="3"/>
  <c r="E605" i="3"/>
  <c r="P604" i="3"/>
  <c r="O604" i="3"/>
  <c r="N604" i="3"/>
  <c r="J604" i="3"/>
  <c r="H604" i="3"/>
  <c r="I604" i="3" s="1"/>
  <c r="E604" i="3"/>
  <c r="P603" i="3"/>
  <c r="O603" i="3"/>
  <c r="N603" i="3"/>
  <c r="J603" i="3"/>
  <c r="H603" i="3"/>
  <c r="E603" i="3"/>
  <c r="I603" i="3" s="1"/>
  <c r="P602" i="3"/>
  <c r="O602" i="3"/>
  <c r="N602" i="3"/>
  <c r="J602" i="3"/>
  <c r="H602" i="3"/>
  <c r="E602" i="3"/>
  <c r="I602" i="3" s="1"/>
  <c r="P601" i="3"/>
  <c r="O601" i="3"/>
  <c r="N601" i="3"/>
  <c r="J601" i="3"/>
  <c r="H601" i="3"/>
  <c r="E601" i="3"/>
  <c r="I601" i="3" s="1"/>
  <c r="P600" i="3"/>
  <c r="O600" i="3"/>
  <c r="N600" i="3"/>
  <c r="J600" i="3"/>
  <c r="H600" i="3"/>
  <c r="I600" i="3" s="1"/>
  <c r="E600" i="3"/>
  <c r="P599" i="3"/>
  <c r="O599" i="3"/>
  <c r="N599" i="3"/>
  <c r="J599" i="3"/>
  <c r="H599" i="3"/>
  <c r="E599" i="3"/>
  <c r="I599" i="3" s="1"/>
  <c r="P598" i="3"/>
  <c r="O598" i="3"/>
  <c r="N598" i="3"/>
  <c r="J598" i="3"/>
  <c r="H598" i="3"/>
  <c r="E598" i="3"/>
  <c r="I598" i="3" s="1"/>
  <c r="P597" i="3"/>
  <c r="O597" i="3"/>
  <c r="N597" i="3"/>
  <c r="J597" i="3"/>
  <c r="I597" i="3"/>
  <c r="H597" i="3"/>
  <c r="E597" i="3"/>
  <c r="P596" i="3"/>
  <c r="O596" i="3"/>
  <c r="N596" i="3"/>
  <c r="J596" i="3"/>
  <c r="H596" i="3"/>
  <c r="I596" i="3" s="1"/>
  <c r="E596" i="3"/>
  <c r="P595" i="3"/>
  <c r="O595" i="3"/>
  <c r="N595" i="3"/>
  <c r="J595" i="3"/>
  <c r="H595" i="3"/>
  <c r="E595" i="3"/>
  <c r="I595" i="3" s="1"/>
  <c r="P594" i="3"/>
  <c r="O594" i="3"/>
  <c r="N594" i="3"/>
  <c r="J594" i="3"/>
  <c r="H594" i="3"/>
  <c r="E594" i="3"/>
  <c r="I594" i="3" s="1"/>
  <c r="P593" i="3"/>
  <c r="O593" i="3"/>
  <c r="N593" i="3"/>
  <c r="J593" i="3"/>
  <c r="H593" i="3"/>
  <c r="E593" i="3"/>
  <c r="I593" i="3" s="1"/>
  <c r="P592" i="3"/>
  <c r="O592" i="3"/>
  <c r="N592" i="3"/>
  <c r="J592" i="3"/>
  <c r="H592" i="3"/>
  <c r="I592" i="3" s="1"/>
  <c r="E592" i="3"/>
  <c r="P591" i="3"/>
  <c r="O591" i="3"/>
  <c r="N591" i="3"/>
  <c r="J591" i="3"/>
  <c r="H591" i="3"/>
  <c r="E591" i="3"/>
  <c r="I591" i="3" s="1"/>
  <c r="P590" i="3"/>
  <c r="O590" i="3"/>
  <c r="N590" i="3"/>
  <c r="J590" i="3"/>
  <c r="H590" i="3"/>
  <c r="E590" i="3"/>
  <c r="I590" i="3" s="1"/>
  <c r="P589" i="3"/>
  <c r="O589" i="3"/>
  <c r="N589" i="3"/>
  <c r="J589" i="3"/>
  <c r="I589" i="3"/>
  <c r="H589" i="3"/>
  <c r="E589" i="3"/>
  <c r="P588" i="3"/>
  <c r="O588" i="3"/>
  <c r="N588" i="3"/>
  <c r="J588" i="3"/>
  <c r="H588" i="3"/>
  <c r="I588" i="3" s="1"/>
  <c r="E588" i="3"/>
  <c r="P587" i="3"/>
  <c r="O587" i="3"/>
  <c r="N587" i="3"/>
  <c r="J587" i="3"/>
  <c r="H587" i="3"/>
  <c r="E587" i="3"/>
  <c r="I587" i="3" s="1"/>
  <c r="P586" i="3"/>
  <c r="O586" i="3"/>
  <c r="N586" i="3"/>
  <c r="J586" i="3"/>
  <c r="H586" i="3"/>
  <c r="E586" i="3"/>
  <c r="I586" i="3" s="1"/>
  <c r="P585" i="3"/>
  <c r="O585" i="3"/>
  <c r="N585" i="3"/>
  <c r="J585" i="3"/>
  <c r="H585" i="3"/>
  <c r="E585" i="3"/>
  <c r="I585" i="3" s="1"/>
  <c r="P584" i="3"/>
  <c r="O584" i="3"/>
  <c r="N584" i="3"/>
  <c r="J584" i="3"/>
  <c r="H584" i="3"/>
  <c r="I584" i="3" s="1"/>
  <c r="E584" i="3"/>
  <c r="P583" i="3"/>
  <c r="O583" i="3"/>
  <c r="N583" i="3"/>
  <c r="J583" i="3"/>
  <c r="H583" i="3"/>
  <c r="E583" i="3"/>
  <c r="I583" i="3" s="1"/>
  <c r="P582" i="3"/>
  <c r="O582" i="3"/>
  <c r="N582" i="3"/>
  <c r="J582" i="3"/>
  <c r="H582" i="3"/>
  <c r="E582" i="3"/>
  <c r="I582" i="3" s="1"/>
  <c r="P581" i="3"/>
  <c r="O581" i="3"/>
  <c r="N581" i="3"/>
  <c r="J581" i="3"/>
  <c r="I581" i="3"/>
  <c r="H581" i="3"/>
  <c r="E581" i="3"/>
  <c r="P580" i="3"/>
  <c r="O580" i="3"/>
  <c r="N580" i="3"/>
  <c r="J580" i="3"/>
  <c r="H580" i="3"/>
  <c r="I580" i="3" s="1"/>
  <c r="E580" i="3"/>
  <c r="P579" i="3"/>
  <c r="O579" i="3"/>
  <c r="N579" i="3"/>
  <c r="J579" i="3"/>
  <c r="H579" i="3"/>
  <c r="E579" i="3"/>
  <c r="I579" i="3" s="1"/>
  <c r="P578" i="3"/>
  <c r="O578" i="3"/>
  <c r="N578" i="3"/>
  <c r="J578" i="3"/>
  <c r="H578" i="3"/>
  <c r="E578" i="3"/>
  <c r="I578" i="3" s="1"/>
  <c r="P577" i="3"/>
  <c r="O577" i="3"/>
  <c r="N577" i="3"/>
  <c r="J577" i="3"/>
  <c r="H577" i="3"/>
  <c r="E577" i="3"/>
  <c r="I577" i="3" s="1"/>
  <c r="P576" i="3"/>
  <c r="O576" i="3"/>
  <c r="N576" i="3"/>
  <c r="J576" i="3"/>
  <c r="H576" i="3"/>
  <c r="I576" i="3" s="1"/>
  <c r="E576" i="3"/>
  <c r="P575" i="3"/>
  <c r="O575" i="3"/>
  <c r="N575" i="3"/>
  <c r="J575" i="3"/>
  <c r="H575" i="3"/>
  <c r="E575" i="3"/>
  <c r="I575" i="3" s="1"/>
  <c r="P574" i="3"/>
  <c r="O574" i="3"/>
  <c r="N574" i="3"/>
  <c r="J574" i="3"/>
  <c r="H574" i="3"/>
  <c r="E574" i="3"/>
  <c r="I574" i="3" s="1"/>
  <c r="P573" i="3"/>
  <c r="O573" i="3"/>
  <c r="N573" i="3"/>
  <c r="J573" i="3"/>
  <c r="I573" i="3"/>
  <c r="H573" i="3"/>
  <c r="E573" i="3"/>
  <c r="P572" i="3"/>
  <c r="O572" i="3"/>
  <c r="N572" i="3"/>
  <c r="J572" i="3"/>
  <c r="H572" i="3"/>
  <c r="I572" i="3" s="1"/>
  <c r="E572" i="3"/>
  <c r="P571" i="3"/>
  <c r="O571" i="3"/>
  <c r="N571" i="3"/>
  <c r="J571" i="3"/>
  <c r="H571" i="3"/>
  <c r="E571" i="3"/>
  <c r="I571" i="3" s="1"/>
  <c r="P570" i="3"/>
  <c r="O570" i="3"/>
  <c r="N570" i="3"/>
  <c r="J570" i="3"/>
  <c r="H570" i="3"/>
  <c r="E570" i="3"/>
  <c r="I570" i="3" s="1"/>
  <c r="P569" i="3"/>
  <c r="O569" i="3"/>
  <c r="N569" i="3"/>
  <c r="J569" i="3"/>
  <c r="H569" i="3"/>
  <c r="E569" i="3"/>
  <c r="I569" i="3" s="1"/>
  <c r="P568" i="3"/>
  <c r="O568" i="3"/>
  <c r="N568" i="3"/>
  <c r="J568" i="3"/>
  <c r="H568" i="3"/>
  <c r="I568" i="3" s="1"/>
  <c r="E568" i="3"/>
  <c r="P567" i="3"/>
  <c r="O567" i="3"/>
  <c r="N567" i="3"/>
  <c r="J567" i="3"/>
  <c r="H567" i="3"/>
  <c r="E567" i="3"/>
  <c r="I567" i="3" s="1"/>
  <c r="P566" i="3"/>
  <c r="O566" i="3"/>
  <c r="N566" i="3"/>
  <c r="J566" i="3"/>
  <c r="H566" i="3"/>
  <c r="E566" i="3"/>
  <c r="I566" i="3" s="1"/>
  <c r="P565" i="3"/>
  <c r="O565" i="3"/>
  <c r="N565" i="3"/>
  <c r="J565" i="3"/>
  <c r="I565" i="3"/>
  <c r="H565" i="3"/>
  <c r="E565" i="3"/>
  <c r="P564" i="3"/>
  <c r="O564" i="3"/>
  <c r="N564" i="3"/>
  <c r="J564" i="3"/>
  <c r="H564" i="3"/>
  <c r="I564" i="3" s="1"/>
  <c r="E564" i="3"/>
  <c r="P563" i="3"/>
  <c r="O563" i="3"/>
  <c r="N563" i="3"/>
  <c r="J563" i="3"/>
  <c r="H563" i="3"/>
  <c r="E563" i="3"/>
  <c r="I563" i="3" s="1"/>
  <c r="P562" i="3"/>
  <c r="O562" i="3"/>
  <c r="N562" i="3"/>
  <c r="J562" i="3"/>
  <c r="H562" i="3"/>
  <c r="E562" i="3"/>
  <c r="I562" i="3" s="1"/>
  <c r="P561" i="3"/>
  <c r="O561" i="3"/>
  <c r="N561" i="3"/>
  <c r="J561" i="3"/>
  <c r="H561" i="3"/>
  <c r="E561" i="3"/>
  <c r="I561" i="3" s="1"/>
  <c r="P560" i="3"/>
  <c r="O560" i="3"/>
  <c r="N560" i="3"/>
  <c r="J560" i="3"/>
  <c r="H560" i="3"/>
  <c r="I560" i="3" s="1"/>
  <c r="E560" i="3"/>
  <c r="P559" i="3"/>
  <c r="O559" i="3"/>
  <c r="N559" i="3"/>
  <c r="J559" i="3"/>
  <c r="H559" i="3"/>
  <c r="E559" i="3"/>
  <c r="I559" i="3" s="1"/>
  <c r="P558" i="3"/>
  <c r="O558" i="3"/>
  <c r="N558" i="3"/>
  <c r="J558" i="3"/>
  <c r="H558" i="3"/>
  <c r="E558" i="3"/>
  <c r="I558" i="3" s="1"/>
  <c r="P557" i="3"/>
  <c r="O557" i="3"/>
  <c r="N557" i="3"/>
  <c r="J557" i="3"/>
  <c r="I557" i="3"/>
  <c r="H557" i="3"/>
  <c r="E557" i="3"/>
  <c r="P556" i="3"/>
  <c r="O556" i="3"/>
  <c r="N556" i="3"/>
  <c r="J556" i="3"/>
  <c r="H556" i="3"/>
  <c r="I556" i="3" s="1"/>
  <c r="E556" i="3"/>
  <c r="P555" i="3"/>
  <c r="O555" i="3"/>
  <c r="N555" i="3"/>
  <c r="J555" i="3"/>
  <c r="H555" i="3"/>
  <c r="E555" i="3"/>
  <c r="I555" i="3" s="1"/>
  <c r="P554" i="3"/>
  <c r="O554" i="3"/>
  <c r="N554" i="3"/>
  <c r="J554" i="3"/>
  <c r="H554" i="3"/>
  <c r="E554" i="3"/>
  <c r="I554" i="3" s="1"/>
  <c r="P553" i="3"/>
  <c r="O553" i="3"/>
  <c r="N553" i="3"/>
  <c r="J553" i="3"/>
  <c r="H553" i="3"/>
  <c r="E553" i="3"/>
  <c r="I553" i="3" s="1"/>
  <c r="P552" i="3"/>
  <c r="O552" i="3"/>
  <c r="N552" i="3"/>
  <c r="J552" i="3"/>
  <c r="H552" i="3"/>
  <c r="I552" i="3" s="1"/>
  <c r="E552" i="3"/>
  <c r="P551" i="3"/>
  <c r="O551" i="3"/>
  <c r="N551" i="3"/>
  <c r="J551" i="3"/>
  <c r="H551" i="3"/>
  <c r="E551" i="3"/>
  <c r="I551" i="3" s="1"/>
  <c r="P550" i="3"/>
  <c r="O550" i="3"/>
  <c r="N550" i="3"/>
  <c r="J550" i="3"/>
  <c r="H550" i="3"/>
  <c r="E550" i="3"/>
  <c r="I550" i="3" s="1"/>
  <c r="P549" i="3"/>
  <c r="O549" i="3"/>
  <c r="N549" i="3"/>
  <c r="J549" i="3"/>
  <c r="I549" i="3"/>
  <c r="H549" i="3"/>
  <c r="E549" i="3"/>
  <c r="P548" i="3"/>
  <c r="O548" i="3"/>
  <c r="N548" i="3"/>
  <c r="J548" i="3"/>
  <c r="H548" i="3"/>
  <c r="I548" i="3" s="1"/>
  <c r="E548" i="3"/>
  <c r="P547" i="3"/>
  <c r="O547" i="3"/>
  <c r="N547" i="3"/>
  <c r="J547" i="3"/>
  <c r="H547" i="3"/>
  <c r="E547" i="3"/>
  <c r="I547" i="3" s="1"/>
  <c r="P546" i="3"/>
  <c r="O546" i="3"/>
  <c r="N546" i="3"/>
  <c r="J546" i="3"/>
  <c r="H546" i="3"/>
  <c r="E546" i="3"/>
  <c r="I546" i="3" s="1"/>
  <c r="P545" i="3"/>
  <c r="O545" i="3"/>
  <c r="N545" i="3"/>
  <c r="J545" i="3"/>
  <c r="H545" i="3"/>
  <c r="E545" i="3"/>
  <c r="I545" i="3" s="1"/>
  <c r="P544" i="3"/>
  <c r="O544" i="3"/>
  <c r="N544" i="3"/>
  <c r="J544" i="3"/>
  <c r="H544" i="3"/>
  <c r="I544" i="3" s="1"/>
  <c r="E544" i="3"/>
  <c r="P543" i="3"/>
  <c r="O543" i="3"/>
  <c r="N543" i="3"/>
  <c r="J543" i="3"/>
  <c r="H543" i="3"/>
  <c r="E543" i="3"/>
  <c r="I543" i="3" s="1"/>
  <c r="P542" i="3"/>
  <c r="O542" i="3"/>
  <c r="N542" i="3"/>
  <c r="J542" i="3"/>
  <c r="H542" i="3"/>
  <c r="E542" i="3"/>
  <c r="I542" i="3" s="1"/>
  <c r="P541" i="3"/>
  <c r="O541" i="3"/>
  <c r="N541" i="3"/>
  <c r="J541" i="3"/>
  <c r="I541" i="3"/>
  <c r="H541" i="3"/>
  <c r="E541" i="3"/>
  <c r="P540" i="3"/>
  <c r="O540" i="3"/>
  <c r="N540" i="3"/>
  <c r="J540" i="3"/>
  <c r="H540" i="3"/>
  <c r="I540" i="3" s="1"/>
  <c r="E540" i="3"/>
  <c r="P539" i="3"/>
  <c r="O539" i="3"/>
  <c r="N539" i="3"/>
  <c r="J539" i="3"/>
  <c r="H539" i="3"/>
  <c r="E539" i="3"/>
  <c r="I539" i="3" s="1"/>
  <c r="P538" i="3"/>
  <c r="O538" i="3"/>
  <c r="N538" i="3"/>
  <c r="J538" i="3"/>
  <c r="H538" i="3"/>
  <c r="E538" i="3"/>
  <c r="I538" i="3" s="1"/>
  <c r="P537" i="3"/>
  <c r="O537" i="3"/>
  <c r="N537" i="3"/>
  <c r="J537" i="3"/>
  <c r="H537" i="3"/>
  <c r="E537" i="3"/>
  <c r="I537" i="3" s="1"/>
  <c r="P536" i="3"/>
  <c r="O536" i="3"/>
  <c r="N536" i="3"/>
  <c r="J536" i="3"/>
  <c r="H536" i="3"/>
  <c r="I536" i="3" s="1"/>
  <c r="E536" i="3"/>
  <c r="P535" i="3"/>
  <c r="O535" i="3"/>
  <c r="N535" i="3"/>
  <c r="J535" i="3"/>
  <c r="H535" i="3"/>
  <c r="E535" i="3"/>
  <c r="I535" i="3" s="1"/>
  <c r="P534" i="3"/>
  <c r="O534" i="3"/>
  <c r="N534" i="3"/>
  <c r="J534" i="3"/>
  <c r="H534" i="3"/>
  <c r="E534" i="3"/>
  <c r="I534" i="3" s="1"/>
  <c r="P533" i="3"/>
  <c r="O533" i="3"/>
  <c r="N533" i="3"/>
  <c r="J533" i="3"/>
  <c r="I533" i="3"/>
  <c r="H533" i="3"/>
  <c r="E533" i="3"/>
  <c r="P532" i="3"/>
  <c r="O532" i="3"/>
  <c r="N532" i="3"/>
  <c r="J532" i="3"/>
  <c r="H532" i="3"/>
  <c r="I532" i="3" s="1"/>
  <c r="E532" i="3"/>
  <c r="P531" i="3"/>
  <c r="O531" i="3"/>
  <c r="N531" i="3"/>
  <c r="J531" i="3"/>
  <c r="H531" i="3"/>
  <c r="E531" i="3"/>
  <c r="I531" i="3" s="1"/>
  <c r="P530" i="3"/>
  <c r="O530" i="3"/>
  <c r="N530" i="3"/>
  <c r="J530" i="3"/>
  <c r="H530" i="3"/>
  <c r="E530" i="3"/>
  <c r="I530" i="3" s="1"/>
  <c r="P529" i="3"/>
  <c r="O529" i="3"/>
  <c r="N529" i="3"/>
  <c r="J529" i="3"/>
  <c r="H529" i="3"/>
  <c r="E529" i="3"/>
  <c r="I529" i="3" s="1"/>
  <c r="P528" i="3"/>
  <c r="O528" i="3"/>
  <c r="N528" i="3"/>
  <c r="J528" i="3"/>
  <c r="H528" i="3"/>
  <c r="I528" i="3" s="1"/>
  <c r="E528" i="3"/>
  <c r="P527" i="3"/>
  <c r="O527" i="3"/>
  <c r="N527" i="3"/>
  <c r="J527" i="3"/>
  <c r="H527" i="3"/>
  <c r="E527" i="3"/>
  <c r="I527" i="3" s="1"/>
  <c r="P526" i="3"/>
  <c r="O526" i="3"/>
  <c r="N526" i="3"/>
  <c r="J526" i="3"/>
  <c r="H526" i="3"/>
  <c r="E526" i="3"/>
  <c r="I526" i="3" s="1"/>
  <c r="P525" i="3"/>
  <c r="O525" i="3"/>
  <c r="N525" i="3"/>
  <c r="J525" i="3"/>
  <c r="I525" i="3"/>
  <c r="H525" i="3"/>
  <c r="E525" i="3"/>
  <c r="P524" i="3"/>
  <c r="O524" i="3"/>
  <c r="N524" i="3"/>
  <c r="J524" i="3"/>
  <c r="H524" i="3"/>
  <c r="I524" i="3" s="1"/>
  <c r="E524" i="3"/>
  <c r="P523" i="3"/>
  <c r="O523" i="3"/>
  <c r="N523" i="3"/>
  <c r="J523" i="3"/>
  <c r="H523" i="3"/>
  <c r="E523" i="3"/>
  <c r="I523" i="3" s="1"/>
  <c r="P522" i="3"/>
  <c r="O522" i="3"/>
  <c r="N522" i="3"/>
  <c r="J522" i="3"/>
  <c r="H522" i="3"/>
  <c r="E522" i="3"/>
  <c r="I522" i="3" s="1"/>
  <c r="P521" i="3"/>
  <c r="O521" i="3"/>
  <c r="N521" i="3"/>
  <c r="J521" i="3"/>
  <c r="H521" i="3"/>
  <c r="E521" i="3"/>
  <c r="I521" i="3" s="1"/>
  <c r="P520" i="3"/>
  <c r="O520" i="3"/>
  <c r="N520" i="3"/>
  <c r="J520" i="3"/>
  <c r="H520" i="3"/>
  <c r="I520" i="3" s="1"/>
  <c r="E520" i="3"/>
  <c r="P519" i="3"/>
  <c r="O519" i="3"/>
  <c r="N519" i="3"/>
  <c r="J519" i="3"/>
  <c r="H519" i="3"/>
  <c r="E519" i="3"/>
  <c r="I519" i="3" s="1"/>
  <c r="P518" i="3"/>
  <c r="O518" i="3"/>
  <c r="N518" i="3"/>
  <c r="J518" i="3"/>
  <c r="H518" i="3"/>
  <c r="E518" i="3"/>
  <c r="I518" i="3" s="1"/>
  <c r="P517" i="3"/>
  <c r="O517" i="3"/>
  <c r="N517" i="3"/>
  <c r="J517" i="3"/>
  <c r="I517" i="3"/>
  <c r="H517" i="3"/>
  <c r="E517" i="3"/>
  <c r="P516" i="3"/>
  <c r="O516" i="3"/>
  <c r="N516" i="3"/>
  <c r="J516" i="3"/>
  <c r="H516" i="3"/>
  <c r="I516" i="3" s="1"/>
  <c r="E516" i="3"/>
  <c r="P515" i="3"/>
  <c r="O515" i="3"/>
  <c r="N515" i="3"/>
  <c r="J515" i="3"/>
  <c r="H515" i="3"/>
  <c r="E515" i="3"/>
  <c r="I515" i="3" s="1"/>
  <c r="P514" i="3"/>
  <c r="O514" i="3"/>
  <c r="N514" i="3"/>
  <c r="J514" i="3"/>
  <c r="H514" i="3"/>
  <c r="E514" i="3"/>
  <c r="I514" i="3" s="1"/>
  <c r="P513" i="3"/>
  <c r="O513" i="3"/>
  <c r="N513" i="3"/>
  <c r="J513" i="3"/>
  <c r="H513" i="3"/>
  <c r="E513" i="3"/>
  <c r="I513" i="3" s="1"/>
  <c r="P512" i="3"/>
  <c r="O512" i="3"/>
  <c r="N512" i="3"/>
  <c r="J512" i="3"/>
  <c r="H512" i="3"/>
  <c r="I512" i="3" s="1"/>
  <c r="E512" i="3"/>
  <c r="P511" i="3"/>
  <c r="O511" i="3"/>
  <c r="N511" i="3"/>
  <c r="J511" i="3"/>
  <c r="H511" i="3"/>
  <c r="E511" i="3"/>
  <c r="I511" i="3" s="1"/>
  <c r="P510" i="3"/>
  <c r="O510" i="3"/>
  <c r="N510" i="3"/>
  <c r="J510" i="3"/>
  <c r="H510" i="3"/>
  <c r="E510" i="3"/>
  <c r="I510" i="3" s="1"/>
  <c r="P509" i="3"/>
  <c r="O509" i="3"/>
  <c r="N509" i="3"/>
  <c r="J509" i="3"/>
  <c r="I509" i="3"/>
  <c r="H509" i="3"/>
  <c r="E509" i="3"/>
  <c r="P508" i="3"/>
  <c r="O508" i="3"/>
  <c r="N508" i="3"/>
  <c r="J508" i="3"/>
  <c r="H508" i="3"/>
  <c r="I508" i="3" s="1"/>
  <c r="E508" i="3"/>
  <c r="P507" i="3"/>
  <c r="O507" i="3"/>
  <c r="N507" i="3"/>
  <c r="J507" i="3"/>
  <c r="H507" i="3"/>
  <c r="E507" i="3"/>
  <c r="I507" i="3" s="1"/>
  <c r="P506" i="3"/>
  <c r="O506" i="3"/>
  <c r="N506" i="3"/>
  <c r="J506" i="3"/>
  <c r="H506" i="3"/>
  <c r="E506" i="3"/>
  <c r="I506" i="3" s="1"/>
  <c r="P505" i="3"/>
  <c r="O505" i="3"/>
  <c r="N505" i="3"/>
  <c r="J505" i="3"/>
  <c r="H505" i="3"/>
  <c r="E505" i="3"/>
  <c r="I505" i="3" s="1"/>
  <c r="P504" i="3"/>
  <c r="O504" i="3"/>
  <c r="N504" i="3"/>
  <c r="J504" i="3"/>
  <c r="H504" i="3"/>
  <c r="I504" i="3" s="1"/>
  <c r="E504" i="3"/>
  <c r="P503" i="3"/>
  <c r="O503" i="3"/>
  <c r="N503" i="3"/>
  <c r="J503" i="3"/>
  <c r="H503" i="3"/>
  <c r="E503" i="3"/>
  <c r="I503" i="3" s="1"/>
  <c r="P502" i="3"/>
  <c r="O502" i="3"/>
  <c r="N502" i="3"/>
  <c r="J502" i="3"/>
  <c r="H502" i="3"/>
  <c r="E502" i="3"/>
  <c r="I502" i="3" s="1"/>
  <c r="P501" i="3"/>
  <c r="O501" i="3"/>
  <c r="N501" i="3"/>
  <c r="J501" i="3"/>
  <c r="I501" i="3"/>
  <c r="H501" i="3"/>
  <c r="E501" i="3"/>
  <c r="P500" i="3"/>
  <c r="O500" i="3"/>
  <c r="N500" i="3"/>
  <c r="J500" i="3"/>
  <c r="H500" i="3"/>
  <c r="I500" i="3" s="1"/>
  <c r="E500" i="3"/>
  <c r="P499" i="3"/>
  <c r="O499" i="3"/>
  <c r="N499" i="3"/>
  <c r="J499" i="3"/>
  <c r="H499" i="3"/>
  <c r="E499" i="3"/>
  <c r="I499" i="3" s="1"/>
  <c r="P498" i="3"/>
  <c r="O498" i="3"/>
  <c r="N498" i="3"/>
  <c r="J498" i="3"/>
  <c r="H498" i="3"/>
  <c r="E498" i="3"/>
  <c r="I498" i="3" s="1"/>
  <c r="P497" i="3"/>
  <c r="O497" i="3"/>
  <c r="N497" i="3"/>
  <c r="J497" i="3"/>
  <c r="H497" i="3"/>
  <c r="E497" i="3"/>
  <c r="I497" i="3" s="1"/>
  <c r="P496" i="3"/>
  <c r="O496" i="3"/>
  <c r="N496" i="3"/>
  <c r="J496" i="3"/>
  <c r="H496" i="3"/>
  <c r="I496" i="3" s="1"/>
  <c r="E496" i="3"/>
  <c r="P495" i="3"/>
  <c r="O495" i="3"/>
  <c r="N495" i="3"/>
  <c r="J495" i="3"/>
  <c r="H495" i="3"/>
  <c r="E495" i="3"/>
  <c r="I495" i="3" s="1"/>
  <c r="P494" i="3"/>
  <c r="O494" i="3"/>
  <c r="N494" i="3"/>
  <c r="J494" i="3"/>
  <c r="H494" i="3"/>
  <c r="E494" i="3"/>
  <c r="I494" i="3" s="1"/>
  <c r="P493" i="3"/>
  <c r="O493" i="3"/>
  <c r="N493" i="3"/>
  <c r="J493" i="3"/>
  <c r="I493" i="3"/>
  <c r="H493" i="3"/>
  <c r="E493" i="3"/>
  <c r="P492" i="3"/>
  <c r="O492" i="3"/>
  <c r="N492" i="3"/>
  <c r="J492" i="3"/>
  <c r="H492" i="3"/>
  <c r="I492" i="3" s="1"/>
  <c r="E492" i="3"/>
  <c r="P491" i="3"/>
  <c r="O491" i="3"/>
  <c r="N491" i="3"/>
  <c r="J491" i="3"/>
  <c r="H491" i="3"/>
  <c r="E491" i="3"/>
  <c r="I491" i="3" s="1"/>
  <c r="P490" i="3"/>
  <c r="O490" i="3"/>
  <c r="N490" i="3"/>
  <c r="J490" i="3"/>
  <c r="H490" i="3"/>
  <c r="E490" i="3"/>
  <c r="I490" i="3" s="1"/>
  <c r="P489" i="3"/>
  <c r="O489" i="3"/>
  <c r="N489" i="3"/>
  <c r="J489" i="3"/>
  <c r="H489" i="3"/>
  <c r="E489" i="3"/>
  <c r="I489" i="3" s="1"/>
  <c r="P488" i="3"/>
  <c r="O488" i="3"/>
  <c r="N488" i="3"/>
  <c r="J488" i="3"/>
  <c r="H488" i="3"/>
  <c r="I488" i="3" s="1"/>
  <c r="E488" i="3"/>
  <c r="P487" i="3"/>
  <c r="O487" i="3"/>
  <c r="N487" i="3"/>
  <c r="J487" i="3"/>
  <c r="H487" i="3"/>
  <c r="E487" i="3"/>
  <c r="I487" i="3" s="1"/>
  <c r="P486" i="3"/>
  <c r="O486" i="3"/>
  <c r="N486" i="3"/>
  <c r="J486" i="3"/>
  <c r="H486" i="3"/>
  <c r="E486" i="3"/>
  <c r="I486" i="3" s="1"/>
  <c r="P485" i="3"/>
  <c r="O485" i="3"/>
  <c r="N485" i="3"/>
  <c r="J485" i="3"/>
  <c r="I485" i="3"/>
  <c r="H485" i="3"/>
  <c r="E485" i="3"/>
  <c r="P484" i="3"/>
  <c r="O484" i="3"/>
  <c r="N484" i="3"/>
  <c r="J484" i="3"/>
  <c r="H484" i="3"/>
  <c r="I484" i="3" s="1"/>
  <c r="E484" i="3"/>
  <c r="P483" i="3"/>
  <c r="O483" i="3"/>
  <c r="N483" i="3"/>
  <c r="J483" i="3"/>
  <c r="H483" i="3"/>
  <c r="E483" i="3"/>
  <c r="I483" i="3" s="1"/>
  <c r="P482" i="3"/>
  <c r="O482" i="3"/>
  <c r="N482" i="3"/>
  <c r="J482" i="3"/>
  <c r="H482" i="3"/>
  <c r="E482" i="3"/>
  <c r="I482" i="3" s="1"/>
  <c r="P481" i="3"/>
  <c r="O481" i="3"/>
  <c r="N481" i="3"/>
  <c r="J481" i="3"/>
  <c r="H481" i="3"/>
  <c r="E481" i="3"/>
  <c r="I481" i="3" s="1"/>
  <c r="P480" i="3"/>
  <c r="O480" i="3"/>
  <c r="N480" i="3"/>
  <c r="J480" i="3"/>
  <c r="H480" i="3"/>
  <c r="I480" i="3" s="1"/>
  <c r="E480" i="3"/>
  <c r="P479" i="3"/>
  <c r="O479" i="3"/>
  <c r="N479" i="3"/>
  <c r="J479" i="3"/>
  <c r="H479" i="3"/>
  <c r="E479" i="3"/>
  <c r="I479" i="3" s="1"/>
  <c r="P478" i="3"/>
  <c r="O478" i="3"/>
  <c r="N478" i="3"/>
  <c r="J478" i="3"/>
  <c r="H478" i="3"/>
  <c r="E478" i="3"/>
  <c r="I478" i="3" s="1"/>
  <c r="P477" i="3"/>
  <c r="O477" i="3"/>
  <c r="N477" i="3"/>
  <c r="J477" i="3"/>
  <c r="I477" i="3"/>
  <c r="H477" i="3"/>
  <c r="E477" i="3"/>
  <c r="P476" i="3"/>
  <c r="O476" i="3"/>
  <c r="N476" i="3"/>
  <c r="J476" i="3"/>
  <c r="H476" i="3"/>
  <c r="I476" i="3" s="1"/>
  <c r="E476" i="3"/>
  <c r="P475" i="3"/>
  <c r="O475" i="3"/>
  <c r="N475" i="3"/>
  <c r="J475" i="3"/>
  <c r="H475" i="3"/>
  <c r="E475" i="3"/>
  <c r="I475" i="3" s="1"/>
  <c r="P474" i="3"/>
  <c r="O474" i="3"/>
  <c r="N474" i="3"/>
  <c r="J474" i="3"/>
  <c r="H474" i="3"/>
  <c r="E474" i="3"/>
  <c r="I474" i="3" s="1"/>
  <c r="P473" i="3"/>
  <c r="O473" i="3"/>
  <c r="N473" i="3"/>
  <c r="J473" i="3"/>
  <c r="H473" i="3"/>
  <c r="E473" i="3"/>
  <c r="I473" i="3" s="1"/>
  <c r="P472" i="3"/>
  <c r="O472" i="3"/>
  <c r="N472" i="3"/>
  <c r="J472" i="3"/>
  <c r="H472" i="3"/>
  <c r="I472" i="3" s="1"/>
  <c r="E472" i="3"/>
  <c r="P471" i="3"/>
  <c r="O471" i="3"/>
  <c r="N471" i="3"/>
  <c r="J471" i="3"/>
  <c r="H471" i="3"/>
  <c r="E471" i="3"/>
  <c r="I471" i="3" s="1"/>
  <c r="P470" i="3"/>
  <c r="O470" i="3"/>
  <c r="N470" i="3"/>
  <c r="J470" i="3"/>
  <c r="H470" i="3"/>
  <c r="E470" i="3"/>
  <c r="I470" i="3" s="1"/>
  <c r="P469" i="3"/>
  <c r="O469" i="3"/>
  <c r="N469" i="3"/>
  <c r="J469" i="3"/>
  <c r="I469" i="3"/>
  <c r="H469" i="3"/>
  <c r="E469" i="3"/>
  <c r="P468" i="3"/>
  <c r="O468" i="3"/>
  <c r="N468" i="3"/>
  <c r="J468" i="3"/>
  <c r="H468" i="3"/>
  <c r="I468" i="3" s="1"/>
  <c r="E468" i="3"/>
  <c r="P467" i="3"/>
  <c r="O467" i="3"/>
  <c r="N467" i="3"/>
  <c r="J467" i="3"/>
  <c r="H467" i="3"/>
  <c r="E467" i="3"/>
  <c r="I467" i="3" s="1"/>
  <c r="P466" i="3"/>
  <c r="O466" i="3"/>
  <c r="N466" i="3"/>
  <c r="J466" i="3"/>
  <c r="H466" i="3"/>
  <c r="E466" i="3"/>
  <c r="I466" i="3" s="1"/>
  <c r="P465" i="3"/>
  <c r="O465" i="3"/>
  <c r="N465" i="3"/>
  <c r="J465" i="3"/>
  <c r="H465" i="3"/>
  <c r="E465" i="3"/>
  <c r="I465" i="3" s="1"/>
  <c r="P464" i="3"/>
  <c r="O464" i="3"/>
  <c r="N464" i="3"/>
  <c r="J464" i="3"/>
  <c r="H464" i="3"/>
  <c r="I464" i="3" s="1"/>
  <c r="E464" i="3"/>
  <c r="P463" i="3"/>
  <c r="O463" i="3"/>
  <c r="N463" i="3"/>
  <c r="J463" i="3"/>
  <c r="H463" i="3"/>
  <c r="E463" i="3"/>
  <c r="I463" i="3" s="1"/>
  <c r="P462" i="3"/>
  <c r="O462" i="3"/>
  <c r="N462" i="3"/>
  <c r="J462" i="3"/>
  <c r="H462" i="3"/>
  <c r="E462" i="3"/>
  <c r="I462" i="3" s="1"/>
  <c r="P461" i="3"/>
  <c r="O461" i="3"/>
  <c r="N461" i="3"/>
  <c r="J461" i="3"/>
  <c r="I461" i="3"/>
  <c r="H461" i="3"/>
  <c r="E461" i="3"/>
  <c r="P460" i="3"/>
  <c r="O460" i="3"/>
  <c r="N460" i="3"/>
  <c r="J460" i="3"/>
  <c r="H460" i="3"/>
  <c r="I460" i="3" s="1"/>
  <c r="E460" i="3"/>
  <c r="P459" i="3"/>
  <c r="O459" i="3"/>
  <c r="N459" i="3"/>
  <c r="J459" i="3"/>
  <c r="H459" i="3"/>
  <c r="E459" i="3"/>
  <c r="I459" i="3" s="1"/>
  <c r="P458" i="3"/>
  <c r="O458" i="3"/>
  <c r="N458" i="3"/>
  <c r="J458" i="3"/>
  <c r="H458" i="3"/>
  <c r="E458" i="3"/>
  <c r="I458" i="3" s="1"/>
  <c r="P457" i="3"/>
  <c r="O457" i="3"/>
  <c r="N457" i="3"/>
  <c r="J457" i="3"/>
  <c r="H457" i="3"/>
  <c r="E457" i="3"/>
  <c r="I457" i="3" s="1"/>
  <c r="P456" i="3"/>
  <c r="O456" i="3"/>
  <c r="N456" i="3"/>
  <c r="J456" i="3"/>
  <c r="H456" i="3"/>
  <c r="I456" i="3" s="1"/>
  <c r="E456" i="3"/>
  <c r="P455" i="3"/>
  <c r="O455" i="3"/>
  <c r="N455" i="3"/>
  <c r="J455" i="3"/>
  <c r="H455" i="3"/>
  <c r="E455" i="3"/>
  <c r="I455" i="3" s="1"/>
  <c r="P454" i="3"/>
  <c r="O454" i="3"/>
  <c r="N454" i="3"/>
  <c r="J454" i="3"/>
  <c r="H454" i="3"/>
  <c r="E454" i="3"/>
  <c r="I454" i="3" s="1"/>
  <c r="P453" i="3"/>
  <c r="O453" i="3"/>
  <c r="N453" i="3"/>
  <c r="J453" i="3"/>
  <c r="I453" i="3"/>
  <c r="H453" i="3"/>
  <c r="E453" i="3"/>
  <c r="P452" i="3"/>
  <c r="O452" i="3"/>
  <c r="N452" i="3"/>
  <c r="J452" i="3"/>
  <c r="H452" i="3"/>
  <c r="I452" i="3" s="1"/>
  <c r="E452" i="3"/>
  <c r="P451" i="3"/>
  <c r="O451" i="3"/>
  <c r="N451" i="3"/>
  <c r="J451" i="3"/>
  <c r="H451" i="3"/>
  <c r="E451" i="3"/>
  <c r="I451" i="3" s="1"/>
  <c r="P450" i="3"/>
  <c r="O450" i="3"/>
  <c r="N450" i="3"/>
  <c r="J450" i="3"/>
  <c r="H450" i="3"/>
  <c r="E450" i="3"/>
  <c r="I450" i="3" s="1"/>
  <c r="P449" i="3"/>
  <c r="O449" i="3"/>
  <c r="N449" i="3"/>
  <c r="J449" i="3"/>
  <c r="H449" i="3"/>
  <c r="E449" i="3"/>
  <c r="I449" i="3" s="1"/>
  <c r="P448" i="3"/>
  <c r="O448" i="3"/>
  <c r="N448" i="3"/>
  <c r="J448" i="3"/>
  <c r="H448" i="3"/>
  <c r="I448" i="3" s="1"/>
  <c r="E448" i="3"/>
  <c r="P447" i="3"/>
  <c r="O447" i="3"/>
  <c r="N447" i="3"/>
  <c r="J447" i="3"/>
  <c r="H447" i="3"/>
  <c r="E447" i="3"/>
  <c r="I447" i="3" s="1"/>
  <c r="P446" i="3"/>
  <c r="O446" i="3"/>
  <c r="N446" i="3"/>
  <c r="J446" i="3"/>
  <c r="H446" i="3"/>
  <c r="E446" i="3"/>
  <c r="I446" i="3" s="1"/>
  <c r="P445" i="3"/>
  <c r="O445" i="3"/>
  <c r="N445" i="3"/>
  <c r="J445" i="3"/>
  <c r="I445" i="3"/>
  <c r="H445" i="3"/>
  <c r="E445" i="3"/>
  <c r="P444" i="3"/>
  <c r="O444" i="3"/>
  <c r="N444" i="3"/>
  <c r="J444" i="3"/>
  <c r="H444" i="3"/>
  <c r="I444" i="3" s="1"/>
  <c r="E444" i="3"/>
  <c r="P443" i="3"/>
  <c r="O443" i="3"/>
  <c r="N443" i="3"/>
  <c r="J443" i="3"/>
  <c r="H443" i="3"/>
  <c r="E443" i="3"/>
  <c r="I443" i="3" s="1"/>
  <c r="P442" i="3"/>
  <c r="O442" i="3"/>
  <c r="N442" i="3"/>
  <c r="J442" i="3"/>
  <c r="H442" i="3"/>
  <c r="E442" i="3"/>
  <c r="I442" i="3" s="1"/>
  <c r="P441" i="3"/>
  <c r="O441" i="3"/>
  <c r="N441" i="3"/>
  <c r="J441" i="3"/>
  <c r="H441" i="3"/>
  <c r="E441" i="3"/>
  <c r="I441" i="3" s="1"/>
  <c r="P440" i="3"/>
  <c r="O440" i="3"/>
  <c r="N440" i="3"/>
  <c r="J440" i="3"/>
  <c r="H440" i="3"/>
  <c r="I440" i="3" s="1"/>
  <c r="E440" i="3"/>
  <c r="P439" i="3"/>
  <c r="O439" i="3"/>
  <c r="N439" i="3"/>
  <c r="J439" i="3"/>
  <c r="H439" i="3"/>
  <c r="E439" i="3"/>
  <c r="I439" i="3" s="1"/>
  <c r="P438" i="3"/>
  <c r="O438" i="3"/>
  <c r="N438" i="3"/>
  <c r="J438" i="3"/>
  <c r="H438" i="3"/>
  <c r="E438" i="3"/>
  <c r="I438" i="3" s="1"/>
  <c r="P437" i="3"/>
  <c r="O437" i="3"/>
  <c r="N437" i="3"/>
  <c r="J437" i="3"/>
  <c r="I437" i="3"/>
  <c r="H437" i="3"/>
  <c r="E437" i="3"/>
  <c r="P436" i="3"/>
  <c r="O436" i="3"/>
  <c r="N436" i="3"/>
  <c r="J436" i="3"/>
  <c r="H436" i="3"/>
  <c r="I436" i="3" s="1"/>
  <c r="E436" i="3"/>
  <c r="P435" i="3"/>
  <c r="O435" i="3"/>
  <c r="N435" i="3"/>
  <c r="J435" i="3"/>
  <c r="H435" i="3"/>
  <c r="E435" i="3"/>
  <c r="I435" i="3" s="1"/>
  <c r="P434" i="3"/>
  <c r="O434" i="3"/>
  <c r="N434" i="3"/>
  <c r="J434" i="3"/>
  <c r="H434" i="3"/>
  <c r="E434" i="3"/>
  <c r="I434" i="3" s="1"/>
  <c r="P433" i="3"/>
  <c r="O433" i="3"/>
  <c r="N433" i="3"/>
  <c r="J433" i="3"/>
  <c r="H433" i="3"/>
  <c r="E433" i="3"/>
  <c r="I433" i="3" s="1"/>
  <c r="P432" i="3"/>
  <c r="O432" i="3"/>
  <c r="N432" i="3"/>
  <c r="J432" i="3"/>
  <c r="H432" i="3"/>
  <c r="I432" i="3" s="1"/>
  <c r="E432" i="3"/>
  <c r="P431" i="3"/>
  <c r="O431" i="3"/>
  <c r="N431" i="3"/>
  <c r="J431" i="3"/>
  <c r="H431" i="3"/>
  <c r="E431" i="3"/>
  <c r="I431" i="3" s="1"/>
  <c r="P430" i="3"/>
  <c r="O430" i="3"/>
  <c r="N430" i="3"/>
  <c r="J430" i="3"/>
  <c r="H430" i="3"/>
  <c r="E430" i="3"/>
  <c r="I430" i="3" s="1"/>
  <c r="P429" i="3"/>
  <c r="O429" i="3"/>
  <c r="N429" i="3"/>
  <c r="J429" i="3"/>
  <c r="I429" i="3"/>
  <c r="H429" i="3"/>
  <c r="E429" i="3"/>
  <c r="P428" i="3"/>
  <c r="O428" i="3"/>
  <c r="N428" i="3"/>
  <c r="J428" i="3"/>
  <c r="H428" i="3"/>
  <c r="I428" i="3" s="1"/>
  <c r="E428" i="3"/>
  <c r="P427" i="3"/>
  <c r="O427" i="3"/>
  <c r="N427" i="3"/>
  <c r="J427" i="3"/>
  <c r="H427" i="3"/>
  <c r="E427" i="3"/>
  <c r="I427" i="3" s="1"/>
  <c r="P426" i="3"/>
  <c r="O426" i="3"/>
  <c r="N426" i="3"/>
  <c r="J426" i="3"/>
  <c r="H426" i="3"/>
  <c r="E426" i="3"/>
  <c r="I426" i="3" s="1"/>
  <c r="P425" i="3"/>
  <c r="O425" i="3"/>
  <c r="N425" i="3"/>
  <c r="J425" i="3"/>
  <c r="H425" i="3"/>
  <c r="E425" i="3"/>
  <c r="I425" i="3" s="1"/>
  <c r="P424" i="3"/>
  <c r="O424" i="3"/>
  <c r="N424" i="3"/>
  <c r="J424" i="3"/>
  <c r="H424" i="3"/>
  <c r="I424" i="3" s="1"/>
  <c r="E424" i="3"/>
  <c r="P423" i="3"/>
  <c r="O423" i="3"/>
  <c r="N423" i="3"/>
  <c r="J423" i="3"/>
  <c r="H423" i="3"/>
  <c r="E423" i="3"/>
  <c r="I423" i="3" s="1"/>
  <c r="P422" i="3"/>
  <c r="O422" i="3"/>
  <c r="N422" i="3"/>
  <c r="J422" i="3"/>
  <c r="H422" i="3"/>
  <c r="E422" i="3"/>
  <c r="I422" i="3" s="1"/>
  <c r="P421" i="3"/>
  <c r="O421" i="3"/>
  <c r="N421" i="3"/>
  <c r="J421" i="3"/>
  <c r="I421" i="3"/>
  <c r="H421" i="3"/>
  <c r="E421" i="3"/>
  <c r="P420" i="3"/>
  <c r="O420" i="3"/>
  <c r="N420" i="3"/>
  <c r="J420" i="3"/>
  <c r="H420" i="3"/>
  <c r="I420" i="3" s="1"/>
  <c r="E420" i="3"/>
  <c r="P419" i="3"/>
  <c r="O419" i="3"/>
  <c r="N419" i="3"/>
  <c r="J419" i="3"/>
  <c r="H419" i="3"/>
  <c r="E419" i="3"/>
  <c r="I419" i="3" s="1"/>
  <c r="P418" i="3"/>
  <c r="O418" i="3"/>
  <c r="N418" i="3"/>
  <c r="J418" i="3"/>
  <c r="H418" i="3"/>
  <c r="E418" i="3"/>
  <c r="I418" i="3" s="1"/>
  <c r="P417" i="3"/>
  <c r="O417" i="3"/>
  <c r="N417" i="3"/>
  <c r="J417" i="3"/>
  <c r="H417" i="3"/>
  <c r="E417" i="3"/>
  <c r="I417" i="3" s="1"/>
  <c r="P416" i="3"/>
  <c r="O416" i="3"/>
  <c r="N416" i="3"/>
  <c r="J416" i="3"/>
  <c r="H416" i="3"/>
  <c r="I416" i="3" s="1"/>
  <c r="E416" i="3"/>
  <c r="P415" i="3"/>
  <c r="O415" i="3"/>
  <c r="N415" i="3"/>
  <c r="J415" i="3"/>
  <c r="H415" i="3"/>
  <c r="E415" i="3"/>
  <c r="I415" i="3" s="1"/>
  <c r="P414" i="3"/>
  <c r="O414" i="3"/>
  <c r="N414" i="3"/>
  <c r="J414" i="3"/>
  <c r="H414" i="3"/>
  <c r="E414" i="3"/>
  <c r="I414" i="3" s="1"/>
  <c r="P413" i="3"/>
  <c r="O413" i="3"/>
  <c r="N413" i="3"/>
  <c r="J413" i="3"/>
  <c r="I413" i="3"/>
  <c r="H413" i="3"/>
  <c r="E413" i="3"/>
  <c r="P412" i="3"/>
  <c r="O412" i="3"/>
  <c r="N412" i="3"/>
  <c r="J412" i="3"/>
  <c r="H412" i="3"/>
  <c r="I412" i="3" s="1"/>
  <c r="E412" i="3"/>
  <c r="P411" i="3"/>
  <c r="O411" i="3"/>
  <c r="N411" i="3"/>
  <c r="J411" i="3"/>
  <c r="H411" i="3"/>
  <c r="E411" i="3"/>
  <c r="I411" i="3" s="1"/>
  <c r="P410" i="3"/>
  <c r="O410" i="3"/>
  <c r="N410" i="3"/>
  <c r="J410" i="3"/>
  <c r="H410" i="3"/>
  <c r="E410" i="3"/>
  <c r="I410" i="3" s="1"/>
  <c r="P409" i="3"/>
  <c r="O409" i="3"/>
  <c r="N409" i="3"/>
  <c r="J409" i="3"/>
  <c r="H409" i="3"/>
  <c r="E409" i="3"/>
  <c r="I409" i="3" s="1"/>
  <c r="P408" i="3"/>
  <c r="O408" i="3"/>
  <c r="N408" i="3"/>
  <c r="J408" i="3"/>
  <c r="H408" i="3"/>
  <c r="I408" i="3" s="1"/>
  <c r="E408" i="3"/>
  <c r="P407" i="3"/>
  <c r="O407" i="3"/>
  <c r="N407" i="3"/>
  <c r="J407" i="3"/>
  <c r="H407" i="3"/>
  <c r="E407" i="3"/>
  <c r="I407" i="3" s="1"/>
  <c r="P406" i="3"/>
  <c r="O406" i="3"/>
  <c r="N406" i="3"/>
  <c r="J406" i="3"/>
  <c r="H406" i="3"/>
  <c r="E406" i="3"/>
  <c r="I406" i="3" s="1"/>
  <c r="P405" i="3"/>
  <c r="O405" i="3"/>
  <c r="N405" i="3"/>
  <c r="J405" i="3"/>
  <c r="I405" i="3"/>
  <c r="H405" i="3"/>
  <c r="E405" i="3"/>
  <c r="P404" i="3"/>
  <c r="O404" i="3"/>
  <c r="N404" i="3"/>
  <c r="J404" i="3"/>
  <c r="H404" i="3"/>
  <c r="I404" i="3" s="1"/>
  <c r="E404" i="3"/>
  <c r="P403" i="3"/>
  <c r="O403" i="3"/>
  <c r="N403" i="3"/>
  <c r="J403" i="3"/>
  <c r="H403" i="3"/>
  <c r="E403" i="3"/>
  <c r="I403" i="3" s="1"/>
  <c r="P402" i="3"/>
  <c r="O402" i="3"/>
  <c r="N402" i="3"/>
  <c r="J402" i="3"/>
  <c r="H402" i="3"/>
  <c r="E402" i="3"/>
  <c r="I402" i="3" s="1"/>
  <c r="P401" i="3"/>
  <c r="O401" i="3"/>
  <c r="N401" i="3"/>
  <c r="J401" i="3"/>
  <c r="H401" i="3"/>
  <c r="E401" i="3"/>
  <c r="I401" i="3" s="1"/>
  <c r="P400" i="3"/>
  <c r="O400" i="3"/>
  <c r="N400" i="3"/>
  <c r="J400" i="3"/>
  <c r="H400" i="3"/>
  <c r="I400" i="3" s="1"/>
  <c r="E400" i="3"/>
  <c r="P399" i="3"/>
  <c r="O399" i="3"/>
  <c r="N399" i="3"/>
  <c r="J399" i="3"/>
  <c r="H399" i="3"/>
  <c r="E399" i="3"/>
  <c r="I399" i="3" s="1"/>
  <c r="P398" i="3"/>
  <c r="O398" i="3"/>
  <c r="N398" i="3"/>
  <c r="J398" i="3"/>
  <c r="H398" i="3"/>
  <c r="E398" i="3"/>
  <c r="I398" i="3" s="1"/>
  <c r="P397" i="3"/>
  <c r="O397" i="3"/>
  <c r="N397" i="3"/>
  <c r="J397" i="3"/>
  <c r="I397" i="3"/>
  <c r="H397" i="3"/>
  <c r="E397" i="3"/>
  <c r="P396" i="3"/>
  <c r="O396" i="3"/>
  <c r="N396" i="3"/>
  <c r="J396" i="3"/>
  <c r="H396" i="3"/>
  <c r="I396" i="3" s="1"/>
  <c r="E396" i="3"/>
  <c r="P395" i="3"/>
  <c r="O395" i="3"/>
  <c r="N395" i="3"/>
  <c r="J395" i="3"/>
  <c r="H395" i="3"/>
  <c r="E395" i="3"/>
  <c r="I395" i="3" s="1"/>
  <c r="P394" i="3"/>
  <c r="O394" i="3"/>
  <c r="N394" i="3"/>
  <c r="J394" i="3"/>
  <c r="H394" i="3"/>
  <c r="E394" i="3"/>
  <c r="I394" i="3" s="1"/>
  <c r="P393" i="3"/>
  <c r="O393" i="3"/>
  <c r="N393" i="3"/>
  <c r="J393" i="3"/>
  <c r="H393" i="3"/>
  <c r="E393" i="3"/>
  <c r="I393" i="3" s="1"/>
  <c r="P392" i="3"/>
  <c r="O392" i="3"/>
  <c r="N392" i="3"/>
  <c r="J392" i="3"/>
  <c r="H392" i="3"/>
  <c r="I392" i="3" s="1"/>
  <c r="E392" i="3"/>
  <c r="P391" i="3"/>
  <c r="O391" i="3"/>
  <c r="N391" i="3"/>
  <c r="J391" i="3"/>
  <c r="H391" i="3"/>
  <c r="E391" i="3"/>
  <c r="I391" i="3" s="1"/>
  <c r="P390" i="3"/>
  <c r="O390" i="3"/>
  <c r="N390" i="3"/>
  <c r="J390" i="3"/>
  <c r="H390" i="3"/>
  <c r="E390" i="3"/>
  <c r="I390" i="3" s="1"/>
  <c r="P389" i="3"/>
  <c r="O389" i="3"/>
  <c r="N389" i="3"/>
  <c r="J389" i="3"/>
  <c r="I389" i="3"/>
  <c r="H389" i="3"/>
  <c r="E389" i="3"/>
  <c r="P388" i="3"/>
  <c r="O388" i="3"/>
  <c r="N388" i="3"/>
  <c r="J388" i="3"/>
  <c r="H388" i="3"/>
  <c r="I388" i="3" s="1"/>
  <c r="E388" i="3"/>
  <c r="P387" i="3"/>
  <c r="O387" i="3"/>
  <c r="N387" i="3"/>
  <c r="J387" i="3"/>
  <c r="H387" i="3"/>
  <c r="E387" i="3"/>
  <c r="I387" i="3" s="1"/>
  <c r="P386" i="3"/>
  <c r="O386" i="3"/>
  <c r="N386" i="3"/>
  <c r="J386" i="3"/>
  <c r="H386" i="3"/>
  <c r="E386" i="3"/>
  <c r="I386" i="3" s="1"/>
  <c r="P385" i="3"/>
  <c r="O385" i="3"/>
  <c r="N385" i="3"/>
  <c r="J385" i="3"/>
  <c r="H385" i="3"/>
  <c r="E385" i="3"/>
  <c r="I385" i="3" s="1"/>
  <c r="P384" i="3"/>
  <c r="O384" i="3"/>
  <c r="N384" i="3"/>
  <c r="J384" i="3"/>
  <c r="H384" i="3"/>
  <c r="I384" i="3" s="1"/>
  <c r="E384" i="3"/>
  <c r="P383" i="3"/>
  <c r="O383" i="3"/>
  <c r="N383" i="3"/>
  <c r="J383" i="3"/>
  <c r="H383" i="3"/>
  <c r="E383" i="3"/>
  <c r="I383" i="3" s="1"/>
  <c r="P382" i="3"/>
  <c r="O382" i="3"/>
  <c r="N382" i="3"/>
  <c r="J382" i="3"/>
  <c r="H382" i="3"/>
  <c r="E382" i="3"/>
  <c r="I382" i="3" s="1"/>
  <c r="P381" i="3"/>
  <c r="O381" i="3"/>
  <c r="N381" i="3"/>
  <c r="J381" i="3"/>
  <c r="I381" i="3"/>
  <c r="H381" i="3"/>
  <c r="E381" i="3"/>
  <c r="P380" i="3"/>
  <c r="O380" i="3"/>
  <c r="N380" i="3"/>
  <c r="J380" i="3"/>
  <c r="H380" i="3"/>
  <c r="I380" i="3" s="1"/>
  <c r="E380" i="3"/>
  <c r="P379" i="3"/>
  <c r="O379" i="3"/>
  <c r="N379" i="3"/>
  <c r="J379" i="3"/>
  <c r="H379" i="3"/>
  <c r="E379" i="3"/>
  <c r="I379" i="3" s="1"/>
  <c r="P378" i="3"/>
  <c r="O378" i="3"/>
  <c r="N378" i="3"/>
  <c r="J378" i="3"/>
  <c r="H378" i="3"/>
  <c r="E378" i="3"/>
  <c r="I378" i="3" s="1"/>
  <c r="P377" i="3"/>
  <c r="O377" i="3"/>
  <c r="N377" i="3"/>
  <c r="J377" i="3"/>
  <c r="H377" i="3"/>
  <c r="E377" i="3"/>
  <c r="I377" i="3" s="1"/>
  <c r="P376" i="3"/>
  <c r="O376" i="3"/>
  <c r="N376" i="3"/>
  <c r="J376" i="3"/>
  <c r="H376" i="3"/>
  <c r="I376" i="3" s="1"/>
  <c r="E376" i="3"/>
  <c r="P375" i="3"/>
  <c r="O375" i="3"/>
  <c r="N375" i="3"/>
  <c r="J375" i="3"/>
  <c r="H375" i="3"/>
  <c r="E375" i="3"/>
  <c r="I375" i="3" s="1"/>
  <c r="P374" i="3"/>
  <c r="O374" i="3"/>
  <c r="N374" i="3"/>
  <c r="J374" i="3"/>
  <c r="H374" i="3"/>
  <c r="E374" i="3"/>
  <c r="I374" i="3" s="1"/>
  <c r="P373" i="3"/>
  <c r="O373" i="3"/>
  <c r="N373" i="3"/>
  <c r="J373" i="3"/>
  <c r="I373" i="3"/>
  <c r="H373" i="3"/>
  <c r="E373" i="3"/>
  <c r="P372" i="3"/>
  <c r="O372" i="3"/>
  <c r="N372" i="3"/>
  <c r="J372" i="3"/>
  <c r="H372" i="3"/>
  <c r="I372" i="3" s="1"/>
  <c r="E372" i="3"/>
  <c r="P371" i="3"/>
  <c r="O371" i="3"/>
  <c r="N371" i="3"/>
  <c r="J371" i="3"/>
  <c r="H371" i="3"/>
  <c r="E371" i="3"/>
  <c r="I371" i="3" s="1"/>
  <c r="P370" i="3"/>
  <c r="O370" i="3"/>
  <c r="N370" i="3"/>
  <c r="J370" i="3"/>
  <c r="H370" i="3"/>
  <c r="E370" i="3"/>
  <c r="I370" i="3" s="1"/>
  <c r="P369" i="3"/>
  <c r="O369" i="3"/>
  <c r="N369" i="3"/>
  <c r="J369" i="3"/>
  <c r="H369" i="3"/>
  <c r="E369" i="3"/>
  <c r="I369" i="3" s="1"/>
  <c r="P368" i="3"/>
  <c r="O368" i="3"/>
  <c r="N368" i="3"/>
  <c r="J368" i="3"/>
  <c r="H368" i="3"/>
  <c r="I368" i="3" s="1"/>
  <c r="E368" i="3"/>
  <c r="P367" i="3"/>
  <c r="O367" i="3"/>
  <c r="N367" i="3"/>
  <c r="J367" i="3"/>
  <c r="H367" i="3"/>
  <c r="E367" i="3"/>
  <c r="I367" i="3" s="1"/>
  <c r="P366" i="3"/>
  <c r="O366" i="3"/>
  <c r="N366" i="3"/>
  <c r="J366" i="3"/>
  <c r="H366" i="3"/>
  <c r="E366" i="3"/>
  <c r="I366" i="3" s="1"/>
  <c r="P365" i="3"/>
  <c r="O365" i="3"/>
  <c r="N365" i="3"/>
  <c r="J365" i="3"/>
  <c r="I365" i="3"/>
  <c r="H365" i="3"/>
  <c r="E365" i="3"/>
  <c r="P364" i="3"/>
  <c r="O364" i="3"/>
  <c r="N364" i="3"/>
  <c r="J364" i="3"/>
  <c r="H364" i="3"/>
  <c r="I364" i="3" s="1"/>
  <c r="E364" i="3"/>
  <c r="P363" i="3"/>
  <c r="O363" i="3"/>
  <c r="N363" i="3"/>
  <c r="J363" i="3"/>
  <c r="H363" i="3"/>
  <c r="E363" i="3"/>
  <c r="I363" i="3" s="1"/>
  <c r="P362" i="3"/>
  <c r="O362" i="3"/>
  <c r="N362" i="3"/>
  <c r="J362" i="3"/>
  <c r="H362" i="3"/>
  <c r="E362" i="3"/>
  <c r="I362" i="3" s="1"/>
  <c r="P361" i="3"/>
  <c r="O361" i="3"/>
  <c r="N361" i="3"/>
  <c r="J361" i="3"/>
  <c r="H361" i="3"/>
  <c r="E361" i="3"/>
  <c r="I361" i="3" s="1"/>
  <c r="P360" i="3"/>
  <c r="O360" i="3"/>
  <c r="N360" i="3"/>
  <c r="J360" i="3"/>
  <c r="H360" i="3"/>
  <c r="I360" i="3" s="1"/>
  <c r="E360" i="3"/>
  <c r="P359" i="3"/>
  <c r="O359" i="3"/>
  <c r="N359" i="3"/>
  <c r="J359" i="3"/>
  <c r="H359" i="3"/>
  <c r="E359" i="3"/>
  <c r="I359" i="3" s="1"/>
  <c r="P358" i="3"/>
  <c r="O358" i="3"/>
  <c r="N358" i="3"/>
  <c r="J358" i="3"/>
  <c r="H358" i="3"/>
  <c r="E358" i="3"/>
  <c r="I358" i="3" s="1"/>
  <c r="P357" i="3"/>
  <c r="O357" i="3"/>
  <c r="N357" i="3"/>
  <c r="J357" i="3"/>
  <c r="I357" i="3"/>
  <c r="H357" i="3"/>
  <c r="E357" i="3"/>
  <c r="P356" i="3"/>
  <c r="O356" i="3"/>
  <c r="N356" i="3"/>
  <c r="J356" i="3"/>
  <c r="H356" i="3"/>
  <c r="I356" i="3" s="1"/>
  <c r="E356" i="3"/>
  <c r="P355" i="3"/>
  <c r="O355" i="3"/>
  <c r="N355" i="3"/>
  <c r="J355" i="3"/>
  <c r="H355" i="3"/>
  <c r="E355" i="3"/>
  <c r="I355" i="3" s="1"/>
  <c r="P354" i="3"/>
  <c r="O354" i="3"/>
  <c r="N354" i="3"/>
  <c r="J354" i="3"/>
  <c r="H354" i="3"/>
  <c r="E354" i="3"/>
  <c r="I354" i="3" s="1"/>
  <c r="P353" i="3"/>
  <c r="O353" i="3"/>
  <c r="N353" i="3"/>
  <c r="J353" i="3"/>
  <c r="H353" i="3"/>
  <c r="E353" i="3"/>
  <c r="I353" i="3" s="1"/>
  <c r="P352" i="3"/>
  <c r="O352" i="3"/>
  <c r="N352" i="3"/>
  <c r="J352" i="3"/>
  <c r="H352" i="3"/>
  <c r="I352" i="3" s="1"/>
  <c r="E352" i="3"/>
  <c r="P351" i="3"/>
  <c r="O351" i="3"/>
  <c r="N351" i="3"/>
  <c r="J351" i="3"/>
  <c r="H351" i="3"/>
  <c r="E351" i="3"/>
  <c r="I351" i="3" s="1"/>
  <c r="P350" i="3"/>
  <c r="O350" i="3"/>
  <c r="N350" i="3"/>
  <c r="J350" i="3"/>
  <c r="H350" i="3"/>
  <c r="E350" i="3"/>
  <c r="I350" i="3" s="1"/>
  <c r="P349" i="3"/>
  <c r="O349" i="3"/>
  <c r="N349" i="3"/>
  <c r="J349" i="3"/>
  <c r="I349" i="3"/>
  <c r="H349" i="3"/>
  <c r="E349" i="3"/>
  <c r="P348" i="3"/>
  <c r="O348" i="3"/>
  <c r="N348" i="3"/>
  <c r="J348" i="3"/>
  <c r="H348" i="3"/>
  <c r="I348" i="3" s="1"/>
  <c r="E348" i="3"/>
  <c r="P347" i="3"/>
  <c r="O347" i="3"/>
  <c r="N347" i="3"/>
  <c r="J347" i="3"/>
  <c r="H347" i="3"/>
  <c r="E347" i="3"/>
  <c r="I347" i="3" s="1"/>
  <c r="P346" i="3"/>
  <c r="O346" i="3"/>
  <c r="N346" i="3"/>
  <c r="J346" i="3"/>
  <c r="H346" i="3"/>
  <c r="E346" i="3"/>
  <c r="I346" i="3" s="1"/>
  <c r="P345" i="3"/>
  <c r="O345" i="3"/>
  <c r="N345" i="3"/>
  <c r="J345" i="3"/>
  <c r="H345" i="3"/>
  <c r="E345" i="3"/>
  <c r="I345" i="3" s="1"/>
  <c r="P344" i="3"/>
  <c r="O344" i="3"/>
  <c r="N344" i="3"/>
  <c r="J344" i="3"/>
  <c r="H344" i="3"/>
  <c r="I344" i="3" s="1"/>
  <c r="E344" i="3"/>
  <c r="P343" i="3"/>
  <c r="O343" i="3"/>
  <c r="N343" i="3"/>
  <c r="J343" i="3"/>
  <c r="H343" i="3"/>
  <c r="E343" i="3"/>
  <c r="I343" i="3" s="1"/>
  <c r="P342" i="3"/>
  <c r="O342" i="3"/>
  <c r="N342" i="3"/>
  <c r="J342" i="3"/>
  <c r="H342" i="3"/>
  <c r="E342" i="3"/>
  <c r="I342" i="3" s="1"/>
  <c r="P341" i="3"/>
  <c r="O341" i="3"/>
  <c r="N341" i="3"/>
  <c r="J341" i="3"/>
  <c r="I341" i="3"/>
  <c r="H341" i="3"/>
  <c r="E341" i="3"/>
  <c r="P340" i="3"/>
  <c r="O340" i="3"/>
  <c r="N340" i="3"/>
  <c r="J340" i="3"/>
  <c r="H340" i="3"/>
  <c r="I340" i="3" s="1"/>
  <c r="E340" i="3"/>
  <c r="P339" i="3"/>
  <c r="O339" i="3"/>
  <c r="N339" i="3"/>
  <c r="J339" i="3"/>
  <c r="H339" i="3"/>
  <c r="E339" i="3"/>
  <c r="I339" i="3" s="1"/>
  <c r="P338" i="3"/>
  <c r="O338" i="3"/>
  <c r="N338" i="3"/>
  <c r="J338" i="3"/>
  <c r="H338" i="3"/>
  <c r="E338" i="3"/>
  <c r="I338" i="3" s="1"/>
  <c r="P337" i="3"/>
  <c r="O337" i="3"/>
  <c r="N337" i="3"/>
  <c r="J337" i="3"/>
  <c r="H337" i="3"/>
  <c r="E337" i="3"/>
  <c r="I337" i="3" s="1"/>
  <c r="P336" i="3"/>
  <c r="O336" i="3"/>
  <c r="N336" i="3"/>
  <c r="J336" i="3"/>
  <c r="H336" i="3"/>
  <c r="I336" i="3" s="1"/>
  <c r="E336" i="3"/>
  <c r="P335" i="3"/>
  <c r="O335" i="3"/>
  <c r="N335" i="3"/>
  <c r="J335" i="3"/>
  <c r="H335" i="3"/>
  <c r="E335" i="3"/>
  <c r="I335" i="3" s="1"/>
  <c r="P334" i="3"/>
  <c r="O334" i="3"/>
  <c r="N334" i="3"/>
  <c r="J334" i="3"/>
  <c r="H334" i="3"/>
  <c r="E334" i="3"/>
  <c r="I334" i="3" s="1"/>
  <c r="P333" i="3"/>
  <c r="O333" i="3"/>
  <c r="N333" i="3"/>
  <c r="J333" i="3"/>
  <c r="I333" i="3"/>
  <c r="H333" i="3"/>
  <c r="E333" i="3"/>
  <c r="P332" i="3"/>
  <c r="O332" i="3"/>
  <c r="N332" i="3"/>
  <c r="J332" i="3"/>
  <c r="H332" i="3"/>
  <c r="I332" i="3" s="1"/>
  <c r="E332" i="3"/>
  <c r="P331" i="3"/>
  <c r="O331" i="3"/>
  <c r="N331" i="3"/>
  <c r="J331" i="3"/>
  <c r="H331" i="3"/>
  <c r="E331" i="3"/>
  <c r="I331" i="3" s="1"/>
  <c r="P330" i="3"/>
  <c r="O330" i="3"/>
  <c r="N330" i="3"/>
  <c r="J330" i="3"/>
  <c r="H330" i="3"/>
  <c r="E330" i="3"/>
  <c r="I330" i="3" s="1"/>
  <c r="P329" i="3"/>
  <c r="O329" i="3"/>
  <c r="N329" i="3"/>
  <c r="J329" i="3"/>
  <c r="H329" i="3"/>
  <c r="E329" i="3"/>
  <c r="I329" i="3" s="1"/>
  <c r="P328" i="3"/>
  <c r="O328" i="3"/>
  <c r="N328" i="3"/>
  <c r="J328" i="3"/>
  <c r="H328" i="3"/>
  <c r="I328" i="3" s="1"/>
  <c r="E328" i="3"/>
  <c r="P327" i="3"/>
  <c r="O327" i="3"/>
  <c r="N327" i="3"/>
  <c r="J327" i="3"/>
  <c r="H327" i="3"/>
  <c r="E327" i="3"/>
  <c r="I327" i="3" s="1"/>
  <c r="P326" i="3"/>
  <c r="O326" i="3"/>
  <c r="N326" i="3"/>
  <c r="J326" i="3"/>
  <c r="H326" i="3"/>
  <c r="E326" i="3"/>
  <c r="I326" i="3" s="1"/>
  <c r="P325" i="3"/>
  <c r="O325" i="3"/>
  <c r="N325" i="3"/>
  <c r="J325" i="3"/>
  <c r="I325" i="3"/>
  <c r="H325" i="3"/>
  <c r="E325" i="3"/>
  <c r="P324" i="3"/>
  <c r="O324" i="3"/>
  <c r="N324" i="3"/>
  <c r="J324" i="3"/>
  <c r="H324" i="3"/>
  <c r="I324" i="3" s="1"/>
  <c r="E324" i="3"/>
  <c r="P323" i="3"/>
  <c r="O323" i="3"/>
  <c r="N323" i="3"/>
  <c r="J323" i="3"/>
  <c r="H323" i="3"/>
  <c r="E323" i="3"/>
  <c r="I323" i="3" s="1"/>
  <c r="P322" i="3"/>
  <c r="O322" i="3"/>
  <c r="N322" i="3"/>
  <c r="J322" i="3"/>
  <c r="H322" i="3"/>
  <c r="E322" i="3"/>
  <c r="I322" i="3" s="1"/>
  <c r="P321" i="3"/>
  <c r="O321" i="3"/>
  <c r="N321" i="3"/>
  <c r="J321" i="3"/>
  <c r="H321" i="3"/>
  <c r="E321" i="3"/>
  <c r="I321" i="3" s="1"/>
  <c r="P320" i="3"/>
  <c r="O320" i="3"/>
  <c r="N320" i="3"/>
  <c r="J320" i="3"/>
  <c r="H320" i="3"/>
  <c r="I320" i="3" s="1"/>
  <c r="E320" i="3"/>
  <c r="P319" i="3"/>
  <c r="O319" i="3"/>
  <c r="N319" i="3"/>
  <c r="J319" i="3"/>
  <c r="H319" i="3"/>
  <c r="E319" i="3"/>
  <c r="I319" i="3" s="1"/>
  <c r="P318" i="3"/>
  <c r="O318" i="3"/>
  <c r="N318" i="3"/>
  <c r="J318" i="3"/>
  <c r="H318" i="3"/>
  <c r="E318" i="3"/>
  <c r="I318" i="3" s="1"/>
  <c r="P317" i="3"/>
  <c r="O317" i="3"/>
  <c r="N317" i="3"/>
  <c r="J317" i="3"/>
  <c r="I317" i="3"/>
  <c r="H317" i="3"/>
  <c r="E317" i="3"/>
  <c r="P316" i="3"/>
  <c r="O316" i="3"/>
  <c r="N316" i="3"/>
  <c r="J316" i="3"/>
  <c r="H316" i="3"/>
  <c r="I316" i="3" s="1"/>
  <c r="E316" i="3"/>
  <c r="P315" i="3"/>
  <c r="O315" i="3"/>
  <c r="N315" i="3"/>
  <c r="J315" i="3"/>
  <c r="H315" i="3"/>
  <c r="E315" i="3"/>
  <c r="I315" i="3" s="1"/>
  <c r="P314" i="3"/>
  <c r="O314" i="3"/>
  <c r="N314" i="3"/>
  <c r="J314" i="3"/>
  <c r="H314" i="3"/>
  <c r="E314" i="3"/>
  <c r="I314" i="3" s="1"/>
  <c r="P313" i="3"/>
  <c r="O313" i="3"/>
  <c r="N313" i="3"/>
  <c r="J313" i="3"/>
  <c r="H313" i="3"/>
  <c r="E313" i="3"/>
  <c r="I313" i="3" s="1"/>
  <c r="P312" i="3"/>
  <c r="O312" i="3"/>
  <c r="N312" i="3"/>
  <c r="J312" i="3"/>
  <c r="H312" i="3"/>
  <c r="I312" i="3" s="1"/>
  <c r="E312" i="3"/>
  <c r="P311" i="3"/>
  <c r="O311" i="3"/>
  <c r="N311" i="3"/>
  <c r="J311" i="3"/>
  <c r="H311" i="3"/>
  <c r="E311" i="3"/>
  <c r="I311" i="3" s="1"/>
  <c r="P310" i="3"/>
  <c r="O310" i="3"/>
  <c r="N310" i="3"/>
  <c r="J310" i="3"/>
  <c r="H310" i="3"/>
  <c r="E310" i="3"/>
  <c r="I310" i="3" s="1"/>
  <c r="P309" i="3"/>
  <c r="O309" i="3"/>
  <c r="N309" i="3"/>
  <c r="J309" i="3"/>
  <c r="I309" i="3"/>
  <c r="H309" i="3"/>
  <c r="E309" i="3"/>
  <c r="P308" i="3"/>
  <c r="O308" i="3"/>
  <c r="N308" i="3"/>
  <c r="J308" i="3"/>
  <c r="H308" i="3"/>
  <c r="I308" i="3" s="1"/>
  <c r="E308" i="3"/>
  <c r="P307" i="3"/>
  <c r="O307" i="3"/>
  <c r="N307" i="3"/>
  <c r="J307" i="3"/>
  <c r="H307" i="3"/>
  <c r="E307" i="3"/>
  <c r="I307" i="3" s="1"/>
  <c r="P306" i="3"/>
  <c r="O306" i="3"/>
  <c r="N306" i="3"/>
  <c r="J306" i="3"/>
  <c r="H306" i="3"/>
  <c r="E306" i="3"/>
  <c r="I306" i="3" s="1"/>
  <c r="P305" i="3"/>
  <c r="O305" i="3"/>
  <c r="N305" i="3"/>
  <c r="J305" i="3"/>
  <c r="H305" i="3"/>
  <c r="E305" i="3"/>
  <c r="I305" i="3" s="1"/>
  <c r="P304" i="3"/>
  <c r="O304" i="3"/>
  <c r="N304" i="3"/>
  <c r="J304" i="3"/>
  <c r="H304" i="3"/>
  <c r="I304" i="3" s="1"/>
  <c r="E304" i="3"/>
  <c r="P303" i="3"/>
  <c r="O303" i="3"/>
  <c r="N303" i="3"/>
  <c r="J303" i="3"/>
  <c r="H303" i="3"/>
  <c r="E303" i="3"/>
  <c r="I303" i="3" s="1"/>
  <c r="P302" i="3"/>
  <c r="O302" i="3"/>
  <c r="N302" i="3"/>
  <c r="J302" i="3"/>
  <c r="H302" i="3"/>
  <c r="E302" i="3"/>
  <c r="I302" i="3" s="1"/>
  <c r="P301" i="3"/>
  <c r="O301" i="3"/>
  <c r="N301" i="3"/>
  <c r="J301" i="3"/>
  <c r="I301" i="3"/>
  <c r="H301" i="3"/>
  <c r="E301" i="3"/>
  <c r="P300" i="3"/>
  <c r="O300" i="3"/>
  <c r="N300" i="3"/>
  <c r="J300" i="3"/>
  <c r="H300" i="3"/>
  <c r="I300" i="3" s="1"/>
  <c r="E300" i="3"/>
  <c r="P299" i="3"/>
  <c r="O299" i="3"/>
  <c r="N299" i="3"/>
  <c r="J299" i="3"/>
  <c r="H299" i="3"/>
  <c r="E299" i="3"/>
  <c r="I299" i="3" s="1"/>
  <c r="P298" i="3"/>
  <c r="O298" i="3"/>
  <c r="N298" i="3"/>
  <c r="J298" i="3"/>
  <c r="H298" i="3"/>
  <c r="E298" i="3"/>
  <c r="I298" i="3" s="1"/>
  <c r="P297" i="3"/>
  <c r="O297" i="3"/>
  <c r="N297" i="3"/>
  <c r="J297" i="3"/>
  <c r="H297" i="3"/>
  <c r="E297" i="3"/>
  <c r="I297" i="3" s="1"/>
  <c r="P296" i="3"/>
  <c r="O296" i="3"/>
  <c r="N296" i="3"/>
  <c r="J296" i="3"/>
  <c r="H296" i="3"/>
  <c r="I296" i="3" s="1"/>
  <c r="E296" i="3"/>
  <c r="P295" i="3"/>
  <c r="O295" i="3"/>
  <c r="N295" i="3"/>
  <c r="J295" i="3"/>
  <c r="H295" i="3"/>
  <c r="E295" i="3"/>
  <c r="I295" i="3" s="1"/>
  <c r="P294" i="3"/>
  <c r="O294" i="3"/>
  <c r="N294" i="3"/>
  <c r="J294" i="3"/>
  <c r="H294" i="3"/>
  <c r="E294" i="3"/>
  <c r="I294" i="3" s="1"/>
  <c r="P293" i="3"/>
  <c r="O293" i="3"/>
  <c r="N293" i="3"/>
  <c r="J293" i="3"/>
  <c r="I293" i="3"/>
  <c r="H293" i="3"/>
  <c r="E293" i="3"/>
  <c r="P292" i="3"/>
  <c r="O292" i="3"/>
  <c r="N292" i="3"/>
  <c r="J292" i="3"/>
  <c r="H292" i="3"/>
  <c r="I292" i="3" s="1"/>
  <c r="E292" i="3"/>
  <c r="P291" i="3"/>
  <c r="O291" i="3"/>
  <c r="N291" i="3"/>
  <c r="J291" i="3"/>
  <c r="H291" i="3"/>
  <c r="E291" i="3"/>
  <c r="I291" i="3" s="1"/>
  <c r="P290" i="3"/>
  <c r="O290" i="3"/>
  <c r="N290" i="3"/>
  <c r="J290" i="3"/>
  <c r="H290" i="3"/>
  <c r="E290" i="3"/>
  <c r="I290" i="3" s="1"/>
  <c r="P289" i="3"/>
  <c r="O289" i="3"/>
  <c r="N289" i="3"/>
  <c r="J289" i="3"/>
  <c r="H289" i="3"/>
  <c r="E289" i="3"/>
  <c r="I289" i="3" s="1"/>
  <c r="P288" i="3"/>
  <c r="O288" i="3"/>
  <c r="N288" i="3"/>
  <c r="J288" i="3"/>
  <c r="H288" i="3"/>
  <c r="I288" i="3" s="1"/>
  <c r="E288" i="3"/>
  <c r="P287" i="3"/>
  <c r="O287" i="3"/>
  <c r="N287" i="3"/>
  <c r="J287" i="3"/>
  <c r="H287" i="3"/>
  <c r="E287" i="3"/>
  <c r="I287" i="3" s="1"/>
  <c r="P286" i="3"/>
  <c r="O286" i="3"/>
  <c r="N286" i="3"/>
  <c r="J286" i="3"/>
  <c r="H286" i="3"/>
  <c r="E286" i="3"/>
  <c r="I286" i="3" s="1"/>
  <c r="P285" i="3"/>
  <c r="O285" i="3"/>
  <c r="N285" i="3"/>
  <c r="J285" i="3"/>
  <c r="I285" i="3"/>
  <c r="H285" i="3"/>
  <c r="E285" i="3"/>
  <c r="P284" i="3"/>
  <c r="O284" i="3"/>
  <c r="N284" i="3"/>
  <c r="J284" i="3"/>
  <c r="H284" i="3"/>
  <c r="I284" i="3" s="1"/>
  <c r="E284" i="3"/>
  <c r="P283" i="3"/>
  <c r="O283" i="3"/>
  <c r="N283" i="3"/>
  <c r="J283" i="3"/>
  <c r="H283" i="3"/>
  <c r="E283" i="3"/>
  <c r="I283" i="3" s="1"/>
  <c r="P282" i="3"/>
  <c r="O282" i="3"/>
  <c r="N282" i="3"/>
  <c r="J282" i="3"/>
  <c r="H282" i="3"/>
  <c r="E282" i="3"/>
  <c r="I282" i="3" s="1"/>
  <c r="P281" i="3"/>
  <c r="O281" i="3"/>
  <c r="N281" i="3"/>
  <c r="J281" i="3"/>
  <c r="H281" i="3"/>
  <c r="E281" i="3"/>
  <c r="I281" i="3" s="1"/>
  <c r="P280" i="3"/>
  <c r="O280" i="3"/>
  <c r="N280" i="3"/>
  <c r="J280" i="3"/>
  <c r="H280" i="3"/>
  <c r="I280" i="3" s="1"/>
  <c r="E280" i="3"/>
  <c r="P279" i="3"/>
  <c r="O279" i="3"/>
  <c r="N279" i="3"/>
  <c r="J279" i="3"/>
  <c r="H279" i="3"/>
  <c r="E279" i="3"/>
  <c r="I279" i="3" s="1"/>
  <c r="P278" i="3"/>
  <c r="O278" i="3"/>
  <c r="N278" i="3"/>
  <c r="J278" i="3"/>
  <c r="H278" i="3"/>
  <c r="E278" i="3"/>
  <c r="I278" i="3" s="1"/>
  <c r="P277" i="3"/>
  <c r="O277" i="3"/>
  <c r="N277" i="3"/>
  <c r="J277" i="3"/>
  <c r="I277" i="3"/>
  <c r="H277" i="3"/>
  <c r="E277" i="3"/>
  <c r="P276" i="3"/>
  <c r="O276" i="3"/>
  <c r="N276" i="3"/>
  <c r="J276" i="3"/>
  <c r="H276" i="3"/>
  <c r="I276" i="3" s="1"/>
  <c r="E276" i="3"/>
  <c r="P275" i="3"/>
  <c r="O275" i="3"/>
  <c r="N275" i="3"/>
  <c r="J275" i="3"/>
  <c r="H275" i="3"/>
  <c r="E275" i="3"/>
  <c r="I275" i="3" s="1"/>
  <c r="P274" i="3"/>
  <c r="O274" i="3"/>
  <c r="N274" i="3"/>
  <c r="J274" i="3"/>
  <c r="H274" i="3"/>
  <c r="E274" i="3"/>
  <c r="I274" i="3" s="1"/>
  <c r="P273" i="3"/>
  <c r="O273" i="3"/>
  <c r="N273" i="3"/>
  <c r="J273" i="3"/>
  <c r="H273" i="3"/>
  <c r="E273" i="3"/>
  <c r="I273" i="3" s="1"/>
  <c r="P272" i="3"/>
  <c r="O272" i="3"/>
  <c r="N272" i="3"/>
  <c r="J272" i="3"/>
  <c r="H272" i="3"/>
  <c r="I272" i="3" s="1"/>
  <c r="E272" i="3"/>
  <c r="P271" i="3"/>
  <c r="O271" i="3"/>
  <c r="N271" i="3"/>
  <c r="J271" i="3"/>
  <c r="H271" i="3"/>
  <c r="E271" i="3"/>
  <c r="I271" i="3" s="1"/>
  <c r="P270" i="3"/>
  <c r="O270" i="3"/>
  <c r="N270" i="3"/>
  <c r="J270" i="3"/>
  <c r="H270" i="3"/>
  <c r="E270" i="3"/>
  <c r="I270" i="3" s="1"/>
  <c r="P269" i="3"/>
  <c r="O269" i="3"/>
  <c r="N269" i="3"/>
  <c r="J269" i="3"/>
  <c r="I269" i="3"/>
  <c r="H269" i="3"/>
  <c r="E269" i="3"/>
  <c r="P268" i="3"/>
  <c r="O268" i="3"/>
  <c r="N268" i="3"/>
  <c r="J268" i="3"/>
  <c r="H268" i="3"/>
  <c r="I268" i="3" s="1"/>
  <c r="E268" i="3"/>
  <c r="P267" i="3"/>
  <c r="O267" i="3"/>
  <c r="N267" i="3"/>
  <c r="J267" i="3"/>
  <c r="H267" i="3"/>
  <c r="E267" i="3"/>
  <c r="I267" i="3" s="1"/>
  <c r="P266" i="3"/>
  <c r="O266" i="3"/>
  <c r="N266" i="3"/>
  <c r="J266" i="3"/>
  <c r="H266" i="3"/>
  <c r="E266" i="3"/>
  <c r="I266" i="3" s="1"/>
  <c r="P265" i="3"/>
  <c r="O265" i="3"/>
  <c r="N265" i="3"/>
  <c r="J265" i="3"/>
  <c r="H265" i="3"/>
  <c r="E265" i="3"/>
  <c r="I265" i="3" s="1"/>
  <c r="P264" i="3"/>
  <c r="O264" i="3"/>
  <c r="N264" i="3"/>
  <c r="J264" i="3"/>
  <c r="H264" i="3"/>
  <c r="I264" i="3" s="1"/>
  <c r="E264" i="3"/>
  <c r="P263" i="3"/>
  <c r="O263" i="3"/>
  <c r="N263" i="3"/>
  <c r="J263" i="3"/>
  <c r="H263" i="3"/>
  <c r="E263" i="3"/>
  <c r="I263" i="3" s="1"/>
  <c r="P262" i="3"/>
  <c r="O262" i="3"/>
  <c r="N262" i="3"/>
  <c r="J262" i="3"/>
  <c r="H262" i="3"/>
  <c r="E262" i="3"/>
  <c r="I262" i="3" s="1"/>
  <c r="P261" i="3"/>
  <c r="O261" i="3"/>
  <c r="N261" i="3"/>
  <c r="J261" i="3"/>
  <c r="I261" i="3"/>
  <c r="H261" i="3"/>
  <c r="E261" i="3"/>
  <c r="P260" i="3"/>
  <c r="O260" i="3"/>
  <c r="N260" i="3"/>
  <c r="J260" i="3"/>
  <c r="H260" i="3"/>
  <c r="I260" i="3" s="1"/>
  <c r="E260" i="3"/>
  <c r="P259" i="3"/>
  <c r="O259" i="3"/>
  <c r="N259" i="3"/>
  <c r="J259" i="3"/>
  <c r="H259" i="3"/>
  <c r="E259" i="3"/>
  <c r="I259" i="3" s="1"/>
  <c r="P258" i="3"/>
  <c r="O258" i="3"/>
  <c r="N258" i="3"/>
  <c r="J258" i="3"/>
  <c r="H258" i="3"/>
  <c r="E258" i="3"/>
  <c r="I258" i="3" s="1"/>
  <c r="P257" i="3"/>
  <c r="O257" i="3"/>
  <c r="N257" i="3"/>
  <c r="J257" i="3"/>
  <c r="H257" i="3"/>
  <c r="E257" i="3"/>
  <c r="I257" i="3" s="1"/>
  <c r="P256" i="3"/>
  <c r="O256" i="3"/>
  <c r="N256" i="3"/>
  <c r="J256" i="3"/>
  <c r="H256" i="3"/>
  <c r="I256" i="3" s="1"/>
  <c r="E256" i="3"/>
  <c r="P255" i="3"/>
  <c r="O255" i="3"/>
  <c r="N255" i="3"/>
  <c r="J255" i="3"/>
  <c r="H255" i="3"/>
  <c r="E255" i="3"/>
  <c r="I255" i="3" s="1"/>
  <c r="P254" i="3"/>
  <c r="O254" i="3"/>
  <c r="N254" i="3"/>
  <c r="J254" i="3"/>
  <c r="H254" i="3"/>
  <c r="E254" i="3"/>
  <c r="I254" i="3" s="1"/>
  <c r="P253" i="3"/>
  <c r="O253" i="3"/>
  <c r="N253" i="3"/>
  <c r="J253" i="3"/>
  <c r="I253" i="3"/>
  <c r="H253" i="3"/>
  <c r="E253" i="3"/>
  <c r="P252" i="3"/>
  <c r="O252" i="3"/>
  <c r="N252" i="3"/>
  <c r="J252" i="3"/>
  <c r="H252" i="3"/>
  <c r="I252" i="3" s="1"/>
  <c r="E252" i="3"/>
  <c r="P251" i="3"/>
  <c r="O251" i="3"/>
  <c r="N251" i="3"/>
  <c r="J251" i="3"/>
  <c r="H251" i="3"/>
  <c r="E251" i="3"/>
  <c r="I251" i="3" s="1"/>
  <c r="P250" i="3"/>
  <c r="O250" i="3"/>
  <c r="N250" i="3"/>
  <c r="J250" i="3"/>
  <c r="H250" i="3"/>
  <c r="E250" i="3"/>
  <c r="I250" i="3" s="1"/>
  <c r="P249" i="3"/>
  <c r="O249" i="3"/>
  <c r="N249" i="3"/>
  <c r="J249" i="3"/>
  <c r="H249" i="3"/>
  <c r="E249" i="3"/>
  <c r="I249" i="3" s="1"/>
  <c r="P248" i="3"/>
  <c r="O248" i="3"/>
  <c r="N248" i="3"/>
  <c r="J248" i="3"/>
  <c r="H248" i="3"/>
  <c r="I248" i="3" s="1"/>
  <c r="E248" i="3"/>
  <c r="P247" i="3"/>
  <c r="O247" i="3"/>
  <c r="N247" i="3"/>
  <c r="J247" i="3"/>
  <c r="H247" i="3"/>
  <c r="E247" i="3"/>
  <c r="I247" i="3" s="1"/>
  <c r="P246" i="3"/>
  <c r="O246" i="3"/>
  <c r="N246" i="3"/>
  <c r="J246" i="3"/>
  <c r="H246" i="3"/>
  <c r="E246" i="3"/>
  <c r="I246" i="3" s="1"/>
  <c r="P245" i="3"/>
  <c r="O245" i="3"/>
  <c r="N245" i="3"/>
  <c r="J245" i="3"/>
  <c r="I245" i="3"/>
  <c r="H245" i="3"/>
  <c r="E245" i="3"/>
  <c r="P244" i="3"/>
  <c r="O244" i="3"/>
  <c r="N244" i="3"/>
  <c r="J244" i="3"/>
  <c r="H244" i="3"/>
  <c r="I244" i="3" s="1"/>
  <c r="E244" i="3"/>
  <c r="P243" i="3"/>
  <c r="O243" i="3"/>
  <c r="N243" i="3"/>
  <c r="J243" i="3"/>
  <c r="H243" i="3"/>
  <c r="E243" i="3"/>
  <c r="I243" i="3" s="1"/>
  <c r="P242" i="3"/>
  <c r="O242" i="3"/>
  <c r="N242" i="3"/>
  <c r="J242" i="3"/>
  <c r="H242" i="3"/>
  <c r="E242" i="3"/>
  <c r="I242" i="3" s="1"/>
  <c r="P241" i="3"/>
  <c r="O241" i="3"/>
  <c r="N241" i="3"/>
  <c r="J241" i="3"/>
  <c r="H241" i="3"/>
  <c r="E241" i="3"/>
  <c r="I241" i="3" s="1"/>
  <c r="P240" i="3"/>
  <c r="O240" i="3"/>
  <c r="N240" i="3"/>
  <c r="J240" i="3"/>
  <c r="H240" i="3"/>
  <c r="I240" i="3" s="1"/>
  <c r="E240" i="3"/>
  <c r="P239" i="3"/>
  <c r="O239" i="3"/>
  <c r="N239" i="3"/>
  <c r="J239" i="3"/>
  <c r="H239" i="3"/>
  <c r="E239" i="3"/>
  <c r="I239" i="3" s="1"/>
  <c r="P238" i="3"/>
  <c r="O238" i="3"/>
  <c r="N238" i="3"/>
  <c r="J238" i="3"/>
  <c r="H238" i="3"/>
  <c r="E238" i="3"/>
  <c r="I238" i="3" s="1"/>
  <c r="P237" i="3"/>
  <c r="O237" i="3"/>
  <c r="N237" i="3"/>
  <c r="J237" i="3"/>
  <c r="I237" i="3"/>
  <c r="H237" i="3"/>
  <c r="E237" i="3"/>
  <c r="P236" i="3"/>
  <c r="O236" i="3"/>
  <c r="N236" i="3"/>
  <c r="J236" i="3"/>
  <c r="H236" i="3"/>
  <c r="I236" i="3" s="1"/>
  <c r="E236" i="3"/>
  <c r="P235" i="3"/>
  <c r="O235" i="3"/>
  <c r="N235" i="3"/>
  <c r="J235" i="3"/>
  <c r="H235" i="3"/>
  <c r="E235" i="3"/>
  <c r="I235" i="3" s="1"/>
  <c r="P234" i="3"/>
  <c r="O234" i="3"/>
  <c r="N234" i="3"/>
  <c r="J234" i="3"/>
  <c r="H234" i="3"/>
  <c r="E234" i="3"/>
  <c r="I234" i="3" s="1"/>
  <c r="P233" i="3"/>
  <c r="O233" i="3"/>
  <c r="N233" i="3"/>
  <c r="J233" i="3"/>
  <c r="H233" i="3"/>
  <c r="E233" i="3"/>
  <c r="I233" i="3" s="1"/>
  <c r="P232" i="3"/>
  <c r="O232" i="3"/>
  <c r="N232" i="3"/>
  <c r="J232" i="3"/>
  <c r="H232" i="3"/>
  <c r="I232" i="3" s="1"/>
  <c r="E232" i="3"/>
  <c r="P231" i="3"/>
  <c r="O231" i="3"/>
  <c r="N231" i="3"/>
  <c r="J231" i="3"/>
  <c r="H231" i="3"/>
  <c r="E231" i="3"/>
  <c r="I231" i="3" s="1"/>
  <c r="P230" i="3"/>
  <c r="O230" i="3"/>
  <c r="N230" i="3"/>
  <c r="J230" i="3"/>
  <c r="H230" i="3"/>
  <c r="E230" i="3"/>
  <c r="I230" i="3" s="1"/>
  <c r="P229" i="3"/>
  <c r="O229" i="3"/>
  <c r="N229" i="3"/>
  <c r="J229" i="3"/>
  <c r="I229" i="3"/>
  <c r="H229" i="3"/>
  <c r="E229" i="3"/>
  <c r="P228" i="3"/>
  <c r="O228" i="3"/>
  <c r="N228" i="3"/>
  <c r="J228" i="3"/>
  <c r="H228" i="3"/>
  <c r="I228" i="3" s="1"/>
  <c r="E228" i="3"/>
  <c r="P227" i="3"/>
  <c r="O227" i="3"/>
  <c r="N227" i="3"/>
  <c r="J227" i="3"/>
  <c r="H227" i="3"/>
  <c r="E227" i="3"/>
  <c r="I227" i="3" s="1"/>
  <c r="P226" i="3"/>
  <c r="O226" i="3"/>
  <c r="N226" i="3"/>
  <c r="J226" i="3"/>
  <c r="H226" i="3"/>
  <c r="E226" i="3"/>
  <c r="I226" i="3" s="1"/>
  <c r="P225" i="3"/>
  <c r="O225" i="3"/>
  <c r="N225" i="3"/>
  <c r="J225" i="3"/>
  <c r="H225" i="3"/>
  <c r="E225" i="3"/>
  <c r="I225" i="3" s="1"/>
  <c r="P224" i="3"/>
  <c r="O224" i="3"/>
  <c r="N224" i="3"/>
  <c r="J224" i="3"/>
  <c r="H224" i="3"/>
  <c r="I224" i="3" s="1"/>
  <c r="E224" i="3"/>
  <c r="P223" i="3"/>
  <c r="O223" i="3"/>
  <c r="N223" i="3"/>
  <c r="J223" i="3"/>
  <c r="H223" i="3"/>
  <c r="E223" i="3"/>
  <c r="I223" i="3" s="1"/>
  <c r="P222" i="3"/>
  <c r="O222" i="3"/>
  <c r="N222" i="3"/>
  <c r="J222" i="3"/>
  <c r="H222" i="3"/>
  <c r="E222" i="3"/>
  <c r="I222" i="3" s="1"/>
  <c r="P221" i="3"/>
  <c r="O221" i="3"/>
  <c r="N221" i="3"/>
  <c r="J221" i="3"/>
  <c r="I221" i="3"/>
  <c r="H221" i="3"/>
  <c r="E221" i="3"/>
  <c r="P220" i="3"/>
  <c r="O220" i="3"/>
  <c r="N220" i="3"/>
  <c r="J220" i="3"/>
  <c r="H220" i="3"/>
  <c r="I220" i="3" s="1"/>
  <c r="E220" i="3"/>
  <c r="P219" i="3"/>
  <c r="O219" i="3"/>
  <c r="N219" i="3"/>
  <c r="J219" i="3"/>
  <c r="H219" i="3"/>
  <c r="E219" i="3"/>
  <c r="I219" i="3" s="1"/>
  <c r="P218" i="3"/>
  <c r="O218" i="3"/>
  <c r="N218" i="3"/>
  <c r="J218" i="3"/>
  <c r="H218" i="3"/>
  <c r="E218" i="3"/>
  <c r="I218" i="3" s="1"/>
  <c r="P217" i="3"/>
  <c r="O217" i="3"/>
  <c r="N217" i="3"/>
  <c r="J217" i="3"/>
  <c r="H217" i="3"/>
  <c r="E217" i="3"/>
  <c r="I217" i="3" s="1"/>
  <c r="P216" i="3"/>
  <c r="O216" i="3"/>
  <c r="N216" i="3"/>
  <c r="J216" i="3"/>
  <c r="H216" i="3"/>
  <c r="I216" i="3" s="1"/>
  <c r="E216" i="3"/>
  <c r="P215" i="3"/>
  <c r="O215" i="3"/>
  <c r="N215" i="3"/>
  <c r="J215" i="3"/>
  <c r="H215" i="3"/>
  <c r="E215" i="3"/>
  <c r="I215" i="3" s="1"/>
  <c r="P214" i="3"/>
  <c r="O214" i="3"/>
  <c r="N214" i="3"/>
  <c r="J214" i="3"/>
  <c r="H214" i="3"/>
  <c r="E214" i="3"/>
  <c r="I214" i="3" s="1"/>
  <c r="P213" i="3"/>
  <c r="O213" i="3"/>
  <c r="N213" i="3"/>
  <c r="J213" i="3"/>
  <c r="I213" i="3"/>
  <c r="H213" i="3"/>
  <c r="E213" i="3"/>
  <c r="P212" i="3"/>
  <c r="O212" i="3"/>
  <c r="N212" i="3"/>
  <c r="J212" i="3"/>
  <c r="H212" i="3"/>
  <c r="I212" i="3" s="1"/>
  <c r="E212" i="3"/>
  <c r="P211" i="3"/>
  <c r="O211" i="3"/>
  <c r="N211" i="3"/>
  <c r="J211" i="3"/>
  <c r="H211" i="3"/>
  <c r="E211" i="3"/>
  <c r="I211" i="3" s="1"/>
  <c r="P210" i="3"/>
  <c r="O210" i="3"/>
  <c r="N210" i="3"/>
  <c r="J210" i="3"/>
  <c r="H210" i="3"/>
  <c r="E210" i="3"/>
  <c r="I210" i="3" s="1"/>
  <c r="P209" i="3"/>
  <c r="O209" i="3"/>
  <c r="N209" i="3"/>
  <c r="J209" i="3"/>
  <c r="H209" i="3"/>
  <c r="E209" i="3"/>
  <c r="I209" i="3" s="1"/>
  <c r="P208" i="3"/>
  <c r="O208" i="3"/>
  <c r="N208" i="3"/>
  <c r="J208" i="3"/>
  <c r="H208" i="3"/>
  <c r="I208" i="3" s="1"/>
  <c r="E208" i="3"/>
  <c r="P207" i="3"/>
  <c r="O207" i="3"/>
  <c r="N207" i="3"/>
  <c r="J207" i="3"/>
  <c r="H207" i="3"/>
  <c r="E207" i="3"/>
  <c r="I207" i="3" s="1"/>
  <c r="P206" i="3"/>
  <c r="O206" i="3"/>
  <c r="N206" i="3"/>
  <c r="J206" i="3"/>
  <c r="H206" i="3"/>
  <c r="E206" i="3"/>
  <c r="I206" i="3" s="1"/>
  <c r="P205" i="3"/>
  <c r="O205" i="3"/>
  <c r="N205" i="3"/>
  <c r="J205" i="3"/>
  <c r="I205" i="3"/>
  <c r="H205" i="3"/>
  <c r="E205" i="3"/>
  <c r="P204" i="3"/>
  <c r="O204" i="3"/>
  <c r="N204" i="3"/>
  <c r="J204" i="3"/>
  <c r="H204" i="3"/>
  <c r="I204" i="3" s="1"/>
  <c r="E204" i="3"/>
  <c r="P203" i="3"/>
  <c r="O203" i="3"/>
  <c r="N203" i="3"/>
  <c r="J203" i="3"/>
  <c r="H203" i="3"/>
  <c r="E203" i="3"/>
  <c r="I203" i="3" s="1"/>
  <c r="P202" i="3"/>
  <c r="O202" i="3"/>
  <c r="N202" i="3"/>
  <c r="J202" i="3"/>
  <c r="H202" i="3"/>
  <c r="E202" i="3"/>
  <c r="I202" i="3" s="1"/>
  <c r="P201" i="3"/>
  <c r="O201" i="3"/>
  <c r="N201" i="3"/>
  <c r="J201" i="3"/>
  <c r="H201" i="3"/>
  <c r="E201" i="3"/>
  <c r="I201" i="3" s="1"/>
  <c r="P200" i="3"/>
  <c r="O200" i="3"/>
  <c r="N200" i="3"/>
  <c r="J200" i="3"/>
  <c r="H200" i="3"/>
  <c r="I200" i="3" s="1"/>
  <c r="E200" i="3"/>
  <c r="P199" i="3"/>
  <c r="O199" i="3"/>
  <c r="N199" i="3"/>
  <c r="J199" i="3"/>
  <c r="H199" i="3"/>
  <c r="E199" i="3"/>
  <c r="I199" i="3" s="1"/>
  <c r="P198" i="3"/>
  <c r="O198" i="3"/>
  <c r="N198" i="3"/>
  <c r="J198" i="3"/>
  <c r="H198" i="3"/>
  <c r="E198" i="3"/>
  <c r="I198" i="3" s="1"/>
  <c r="P197" i="3"/>
  <c r="O197" i="3"/>
  <c r="N197" i="3"/>
  <c r="J197" i="3"/>
  <c r="I197" i="3"/>
  <c r="H197" i="3"/>
  <c r="E197" i="3"/>
  <c r="P196" i="3"/>
  <c r="O196" i="3"/>
  <c r="N196" i="3"/>
  <c r="J196" i="3"/>
  <c r="H196" i="3"/>
  <c r="I196" i="3" s="1"/>
  <c r="E196" i="3"/>
  <c r="P195" i="3"/>
  <c r="O195" i="3"/>
  <c r="N195" i="3"/>
  <c r="J195" i="3"/>
  <c r="H195" i="3"/>
  <c r="E195" i="3"/>
  <c r="I195" i="3" s="1"/>
  <c r="P194" i="3"/>
  <c r="O194" i="3"/>
  <c r="N194" i="3"/>
  <c r="J194" i="3"/>
  <c r="H194" i="3"/>
  <c r="E194" i="3"/>
  <c r="I194" i="3" s="1"/>
  <c r="P193" i="3"/>
  <c r="O193" i="3"/>
  <c r="N193" i="3"/>
  <c r="J193" i="3"/>
  <c r="H193" i="3"/>
  <c r="E193" i="3"/>
  <c r="I193" i="3" s="1"/>
  <c r="P192" i="3"/>
  <c r="O192" i="3"/>
  <c r="N192" i="3"/>
  <c r="J192" i="3"/>
  <c r="H192" i="3"/>
  <c r="I192" i="3" s="1"/>
  <c r="E192" i="3"/>
  <c r="P191" i="3"/>
  <c r="O191" i="3"/>
  <c r="N191" i="3"/>
  <c r="J191" i="3"/>
  <c r="H191" i="3"/>
  <c r="E191" i="3"/>
  <c r="I191" i="3" s="1"/>
  <c r="P190" i="3"/>
  <c r="O190" i="3"/>
  <c r="N190" i="3"/>
  <c r="J190" i="3"/>
  <c r="H190" i="3"/>
  <c r="E190" i="3"/>
  <c r="I190" i="3" s="1"/>
  <c r="P189" i="3"/>
  <c r="O189" i="3"/>
  <c r="N189" i="3"/>
  <c r="J189" i="3"/>
  <c r="I189" i="3"/>
  <c r="H189" i="3"/>
  <c r="E189" i="3"/>
  <c r="P188" i="3"/>
  <c r="O188" i="3"/>
  <c r="N188" i="3"/>
  <c r="J188" i="3"/>
  <c r="H188" i="3"/>
  <c r="I188" i="3" s="1"/>
  <c r="E188" i="3"/>
  <c r="P187" i="3"/>
  <c r="O187" i="3"/>
  <c r="N187" i="3"/>
  <c r="J187" i="3"/>
  <c r="H187" i="3"/>
  <c r="E187" i="3"/>
  <c r="I187" i="3" s="1"/>
  <c r="P186" i="3"/>
  <c r="O186" i="3"/>
  <c r="N186" i="3"/>
  <c r="J186" i="3"/>
  <c r="H186" i="3"/>
  <c r="E186" i="3"/>
  <c r="I186" i="3" s="1"/>
  <c r="P185" i="3"/>
  <c r="O185" i="3"/>
  <c r="N185" i="3"/>
  <c r="J185" i="3"/>
  <c r="H185" i="3"/>
  <c r="E185" i="3"/>
  <c r="I185" i="3" s="1"/>
  <c r="P184" i="3"/>
  <c r="O184" i="3"/>
  <c r="N184" i="3"/>
  <c r="J184" i="3"/>
  <c r="H184" i="3"/>
  <c r="I184" i="3" s="1"/>
  <c r="E184" i="3"/>
  <c r="P183" i="3"/>
  <c r="O183" i="3"/>
  <c r="N183" i="3"/>
  <c r="J183" i="3"/>
  <c r="H183" i="3"/>
  <c r="E183" i="3"/>
  <c r="I183" i="3" s="1"/>
  <c r="P182" i="3"/>
  <c r="O182" i="3"/>
  <c r="N182" i="3"/>
  <c r="J182" i="3"/>
  <c r="H182" i="3"/>
  <c r="E182" i="3"/>
  <c r="I182" i="3" s="1"/>
  <c r="P181" i="3"/>
  <c r="O181" i="3"/>
  <c r="N181" i="3"/>
  <c r="J181" i="3"/>
  <c r="I181" i="3"/>
  <c r="H181" i="3"/>
  <c r="E181" i="3"/>
  <c r="P180" i="3"/>
  <c r="O180" i="3"/>
  <c r="N180" i="3"/>
  <c r="J180" i="3"/>
  <c r="H180" i="3"/>
  <c r="I180" i="3" s="1"/>
  <c r="E180" i="3"/>
  <c r="P179" i="3"/>
  <c r="O179" i="3"/>
  <c r="N179" i="3"/>
  <c r="J179" i="3"/>
  <c r="H179" i="3"/>
  <c r="E179" i="3"/>
  <c r="I179" i="3" s="1"/>
  <c r="P178" i="3"/>
  <c r="O178" i="3"/>
  <c r="N178" i="3"/>
  <c r="J178" i="3"/>
  <c r="H178" i="3"/>
  <c r="E178" i="3"/>
  <c r="I178" i="3" s="1"/>
  <c r="P177" i="3"/>
  <c r="O177" i="3"/>
  <c r="N177" i="3"/>
  <c r="J177" i="3"/>
  <c r="H177" i="3"/>
  <c r="E177" i="3"/>
  <c r="I177" i="3" s="1"/>
  <c r="P176" i="3"/>
  <c r="O176" i="3"/>
  <c r="N176" i="3"/>
  <c r="J176" i="3"/>
  <c r="H176" i="3"/>
  <c r="I176" i="3" s="1"/>
  <c r="E176" i="3"/>
  <c r="P175" i="3"/>
  <c r="O175" i="3"/>
  <c r="N175" i="3"/>
  <c r="J175" i="3"/>
  <c r="H175" i="3"/>
  <c r="E175" i="3"/>
  <c r="I175" i="3" s="1"/>
  <c r="P174" i="3"/>
  <c r="O174" i="3"/>
  <c r="N174" i="3"/>
  <c r="J174" i="3"/>
  <c r="H174" i="3"/>
  <c r="E174" i="3"/>
  <c r="I174" i="3" s="1"/>
  <c r="P173" i="3"/>
  <c r="O173" i="3"/>
  <c r="N173" i="3"/>
  <c r="J173" i="3"/>
  <c r="I173" i="3"/>
  <c r="H173" i="3"/>
  <c r="E173" i="3"/>
  <c r="P172" i="3"/>
  <c r="O172" i="3"/>
  <c r="N172" i="3"/>
  <c r="J172" i="3"/>
  <c r="H172" i="3"/>
  <c r="I172" i="3" s="1"/>
  <c r="E172" i="3"/>
  <c r="P171" i="3"/>
  <c r="O171" i="3"/>
  <c r="N171" i="3"/>
  <c r="J171" i="3"/>
  <c r="H171" i="3"/>
  <c r="E171" i="3"/>
  <c r="I171" i="3" s="1"/>
  <c r="P170" i="3"/>
  <c r="O170" i="3"/>
  <c r="N170" i="3"/>
  <c r="J170" i="3"/>
  <c r="H170" i="3"/>
  <c r="E170" i="3"/>
  <c r="I170" i="3" s="1"/>
  <c r="P169" i="3"/>
  <c r="O169" i="3"/>
  <c r="N169" i="3"/>
  <c r="J169" i="3"/>
  <c r="H169" i="3"/>
  <c r="E169" i="3"/>
  <c r="I169" i="3" s="1"/>
  <c r="P168" i="3"/>
  <c r="O168" i="3"/>
  <c r="N168" i="3"/>
  <c r="J168" i="3"/>
  <c r="H168" i="3"/>
  <c r="I168" i="3" s="1"/>
  <c r="E168" i="3"/>
  <c r="P167" i="3"/>
  <c r="O167" i="3"/>
  <c r="N167" i="3"/>
  <c r="J167" i="3"/>
  <c r="H167" i="3"/>
  <c r="E167" i="3"/>
  <c r="I167" i="3" s="1"/>
  <c r="P166" i="3"/>
  <c r="O166" i="3"/>
  <c r="N166" i="3"/>
  <c r="J166" i="3"/>
  <c r="H166" i="3"/>
  <c r="E166" i="3"/>
  <c r="I166" i="3" s="1"/>
  <c r="P165" i="3"/>
  <c r="O165" i="3"/>
  <c r="N165" i="3"/>
  <c r="J165" i="3"/>
  <c r="I165" i="3"/>
  <c r="H165" i="3"/>
  <c r="E165" i="3"/>
  <c r="P164" i="3"/>
  <c r="O164" i="3"/>
  <c r="N164" i="3"/>
  <c r="J164" i="3"/>
  <c r="H164" i="3"/>
  <c r="I164" i="3" s="1"/>
  <c r="E164" i="3"/>
  <c r="P163" i="3"/>
  <c r="O163" i="3"/>
  <c r="N163" i="3"/>
  <c r="J163" i="3"/>
  <c r="H163" i="3"/>
  <c r="E163" i="3"/>
  <c r="I163" i="3" s="1"/>
  <c r="P162" i="3"/>
  <c r="O162" i="3"/>
  <c r="N162" i="3"/>
  <c r="J162" i="3"/>
  <c r="H162" i="3"/>
  <c r="E162" i="3"/>
  <c r="I162" i="3" s="1"/>
  <c r="P161" i="3"/>
  <c r="O161" i="3"/>
  <c r="N161" i="3"/>
  <c r="J161" i="3"/>
  <c r="H161" i="3"/>
  <c r="E161" i="3"/>
  <c r="I161" i="3" s="1"/>
  <c r="P160" i="3"/>
  <c r="O160" i="3"/>
  <c r="N160" i="3"/>
  <c r="J160" i="3"/>
  <c r="H160" i="3"/>
  <c r="I160" i="3" s="1"/>
  <c r="E160" i="3"/>
  <c r="P159" i="3"/>
  <c r="O159" i="3"/>
  <c r="N159" i="3"/>
  <c r="J159" i="3"/>
  <c r="H159" i="3"/>
  <c r="E159" i="3"/>
  <c r="I159" i="3" s="1"/>
  <c r="P158" i="3"/>
  <c r="O158" i="3"/>
  <c r="N158" i="3"/>
  <c r="J158" i="3"/>
  <c r="H158" i="3"/>
  <c r="E158" i="3"/>
  <c r="I158" i="3" s="1"/>
  <c r="P157" i="3"/>
  <c r="O157" i="3"/>
  <c r="N157" i="3"/>
  <c r="J157" i="3"/>
  <c r="I157" i="3"/>
  <c r="H157" i="3"/>
  <c r="E157" i="3"/>
  <c r="P156" i="3"/>
  <c r="O156" i="3"/>
  <c r="N156" i="3"/>
  <c r="J156" i="3"/>
  <c r="H156" i="3"/>
  <c r="I156" i="3" s="1"/>
  <c r="E156" i="3"/>
  <c r="P155" i="3"/>
  <c r="O155" i="3"/>
  <c r="N155" i="3"/>
  <c r="J155" i="3"/>
  <c r="H155" i="3"/>
  <c r="E155" i="3"/>
  <c r="I155" i="3" s="1"/>
  <c r="P154" i="3"/>
  <c r="O154" i="3"/>
  <c r="N154" i="3"/>
  <c r="J154" i="3"/>
  <c r="H154" i="3"/>
  <c r="E154" i="3"/>
  <c r="I154" i="3" s="1"/>
  <c r="P153" i="3"/>
  <c r="O153" i="3"/>
  <c r="N153" i="3"/>
  <c r="J153" i="3"/>
  <c r="H153" i="3"/>
  <c r="E153" i="3"/>
  <c r="I153" i="3" s="1"/>
  <c r="P152" i="3"/>
  <c r="O152" i="3"/>
  <c r="N152" i="3"/>
  <c r="J152" i="3"/>
  <c r="H152" i="3"/>
  <c r="I152" i="3" s="1"/>
  <c r="E152" i="3"/>
  <c r="P151" i="3"/>
  <c r="O151" i="3"/>
  <c r="N151" i="3"/>
  <c r="J151" i="3"/>
  <c r="H151" i="3"/>
  <c r="E151" i="3"/>
  <c r="I151" i="3" s="1"/>
  <c r="P150" i="3"/>
  <c r="O150" i="3"/>
  <c r="N150" i="3"/>
  <c r="J150" i="3"/>
  <c r="H150" i="3"/>
  <c r="E150" i="3"/>
  <c r="I150" i="3" s="1"/>
  <c r="P149" i="3"/>
  <c r="O149" i="3"/>
  <c r="N149" i="3"/>
  <c r="J149" i="3"/>
  <c r="I149" i="3"/>
  <c r="H149" i="3"/>
  <c r="E149" i="3"/>
  <c r="P148" i="3"/>
  <c r="O148" i="3"/>
  <c r="N148" i="3"/>
  <c r="J148" i="3"/>
  <c r="H148" i="3"/>
  <c r="I148" i="3" s="1"/>
  <c r="E148" i="3"/>
  <c r="P147" i="3"/>
  <c r="O147" i="3"/>
  <c r="N147" i="3"/>
  <c r="J147" i="3"/>
  <c r="H147" i="3"/>
  <c r="E147" i="3"/>
  <c r="I147" i="3" s="1"/>
  <c r="P146" i="3"/>
  <c r="O146" i="3"/>
  <c r="N146" i="3"/>
  <c r="J146" i="3"/>
  <c r="H146" i="3"/>
  <c r="E146" i="3"/>
  <c r="I146" i="3" s="1"/>
  <c r="P145" i="3"/>
  <c r="O145" i="3"/>
  <c r="N145" i="3"/>
  <c r="J145" i="3"/>
  <c r="I145" i="3"/>
  <c r="H145" i="3"/>
  <c r="E145" i="3"/>
  <c r="P144" i="3"/>
  <c r="O144" i="3"/>
  <c r="N144" i="3"/>
  <c r="J144" i="3"/>
  <c r="H144" i="3"/>
  <c r="I144" i="3" s="1"/>
  <c r="E144" i="3"/>
  <c r="P143" i="3"/>
  <c r="O143" i="3"/>
  <c r="N143" i="3"/>
  <c r="J143" i="3"/>
  <c r="H143" i="3"/>
  <c r="E143" i="3"/>
  <c r="I143" i="3" s="1"/>
  <c r="P142" i="3"/>
  <c r="O142" i="3"/>
  <c r="N142" i="3"/>
  <c r="J142" i="3"/>
  <c r="H142" i="3"/>
  <c r="E142" i="3"/>
  <c r="I142" i="3" s="1"/>
  <c r="P141" i="3"/>
  <c r="O141" i="3"/>
  <c r="N141" i="3"/>
  <c r="J141" i="3"/>
  <c r="I141" i="3"/>
  <c r="H141" i="3"/>
  <c r="E141" i="3"/>
  <c r="P140" i="3"/>
  <c r="O140" i="3"/>
  <c r="N140" i="3"/>
  <c r="J140" i="3"/>
  <c r="H140" i="3"/>
  <c r="I140" i="3" s="1"/>
  <c r="E140" i="3"/>
  <c r="P139" i="3"/>
  <c r="O139" i="3"/>
  <c r="N139" i="3"/>
  <c r="J139" i="3"/>
  <c r="H139" i="3"/>
  <c r="E139" i="3"/>
  <c r="I139" i="3" s="1"/>
  <c r="P138" i="3"/>
  <c r="O138" i="3"/>
  <c r="N138" i="3"/>
  <c r="J138" i="3"/>
  <c r="H138" i="3"/>
  <c r="E138" i="3"/>
  <c r="I138" i="3" s="1"/>
  <c r="P137" i="3"/>
  <c r="O137" i="3"/>
  <c r="N137" i="3"/>
  <c r="J137" i="3"/>
  <c r="I137" i="3"/>
  <c r="H137" i="3"/>
  <c r="E137" i="3"/>
  <c r="P136" i="3"/>
  <c r="O136" i="3"/>
  <c r="N136" i="3"/>
  <c r="J136" i="3"/>
  <c r="H136" i="3"/>
  <c r="I136" i="3" s="1"/>
  <c r="E136" i="3"/>
  <c r="P135" i="3"/>
  <c r="O135" i="3"/>
  <c r="N135" i="3"/>
  <c r="J135" i="3"/>
  <c r="H135" i="3"/>
  <c r="E135" i="3"/>
  <c r="I135" i="3" s="1"/>
  <c r="P134" i="3"/>
  <c r="O134" i="3"/>
  <c r="N134" i="3"/>
  <c r="J134" i="3"/>
  <c r="H134" i="3"/>
  <c r="E134" i="3"/>
  <c r="I134" i="3" s="1"/>
  <c r="P133" i="3"/>
  <c r="O133" i="3"/>
  <c r="N133" i="3"/>
  <c r="J133" i="3"/>
  <c r="I133" i="3"/>
  <c r="H133" i="3"/>
  <c r="E133" i="3"/>
  <c r="P132" i="3"/>
  <c r="O132" i="3"/>
  <c r="N132" i="3"/>
  <c r="J132" i="3"/>
  <c r="H132" i="3"/>
  <c r="I132" i="3" s="1"/>
  <c r="E132" i="3"/>
  <c r="P131" i="3"/>
  <c r="O131" i="3"/>
  <c r="N131" i="3"/>
  <c r="J131" i="3"/>
  <c r="H131" i="3"/>
  <c r="E131" i="3"/>
  <c r="I131" i="3" s="1"/>
  <c r="P130" i="3"/>
  <c r="O130" i="3"/>
  <c r="N130" i="3"/>
  <c r="J130" i="3"/>
  <c r="H130" i="3"/>
  <c r="E130" i="3"/>
  <c r="I130" i="3" s="1"/>
  <c r="P129" i="3"/>
  <c r="O129" i="3"/>
  <c r="N129" i="3"/>
  <c r="J129" i="3"/>
  <c r="I129" i="3"/>
  <c r="H129" i="3"/>
  <c r="E129" i="3"/>
  <c r="P128" i="3"/>
  <c r="O128" i="3"/>
  <c r="N128" i="3"/>
  <c r="J128" i="3"/>
  <c r="H128" i="3"/>
  <c r="I128" i="3" s="1"/>
  <c r="E128" i="3"/>
  <c r="P127" i="3"/>
  <c r="O127" i="3"/>
  <c r="N127" i="3"/>
  <c r="J127" i="3"/>
  <c r="H127" i="3"/>
  <c r="E127" i="3"/>
  <c r="I127" i="3" s="1"/>
  <c r="P126" i="3"/>
  <c r="O126" i="3"/>
  <c r="N126" i="3"/>
  <c r="J126" i="3"/>
  <c r="I126" i="3"/>
  <c r="H126" i="3"/>
  <c r="E126" i="3"/>
  <c r="P125" i="3"/>
  <c r="O125" i="3"/>
  <c r="N125" i="3"/>
  <c r="J125" i="3"/>
  <c r="I125" i="3"/>
  <c r="H125" i="3"/>
  <c r="E125" i="3"/>
  <c r="P124" i="3"/>
  <c r="O124" i="3"/>
  <c r="N124" i="3"/>
  <c r="J124" i="3"/>
  <c r="H124" i="3"/>
  <c r="I124" i="3" s="1"/>
  <c r="E124" i="3"/>
  <c r="P123" i="3"/>
  <c r="O123" i="3"/>
  <c r="N123" i="3"/>
  <c r="J123" i="3"/>
  <c r="H123" i="3"/>
  <c r="E123" i="3"/>
  <c r="I123" i="3" s="1"/>
  <c r="P122" i="3"/>
  <c r="O122" i="3"/>
  <c r="N122" i="3"/>
  <c r="J122" i="3"/>
  <c r="H122" i="3"/>
  <c r="E122" i="3"/>
  <c r="I122" i="3" s="1"/>
  <c r="P121" i="3"/>
  <c r="O121" i="3"/>
  <c r="N121" i="3"/>
  <c r="J121" i="3"/>
  <c r="I121" i="3"/>
  <c r="H121" i="3"/>
  <c r="E121" i="3"/>
  <c r="P120" i="3"/>
  <c r="O120" i="3"/>
  <c r="N120" i="3"/>
  <c r="J120" i="3"/>
  <c r="H120" i="3"/>
  <c r="I120" i="3" s="1"/>
  <c r="E120" i="3"/>
  <c r="P119" i="3"/>
  <c r="O119" i="3"/>
  <c r="N119" i="3"/>
  <c r="J119" i="3"/>
  <c r="H119" i="3"/>
  <c r="E119" i="3"/>
  <c r="I119" i="3" s="1"/>
  <c r="P118" i="3"/>
  <c r="O118" i="3"/>
  <c r="N118" i="3"/>
  <c r="J118" i="3"/>
  <c r="I118" i="3"/>
  <c r="H118" i="3"/>
  <c r="E118" i="3"/>
  <c r="P117" i="3"/>
  <c r="O117" i="3"/>
  <c r="N117" i="3"/>
  <c r="J117" i="3"/>
  <c r="I117" i="3"/>
  <c r="H117" i="3"/>
  <c r="E117" i="3"/>
  <c r="P116" i="3"/>
  <c r="O116" i="3"/>
  <c r="N116" i="3"/>
  <c r="J116" i="3"/>
  <c r="H116" i="3"/>
  <c r="I116" i="3" s="1"/>
  <c r="E116" i="3"/>
  <c r="P115" i="3"/>
  <c r="O115" i="3"/>
  <c r="N115" i="3"/>
  <c r="J115" i="3"/>
  <c r="H115" i="3"/>
  <c r="E115" i="3"/>
  <c r="I115" i="3" s="1"/>
  <c r="P114" i="3"/>
  <c r="O114" i="3"/>
  <c r="N114" i="3"/>
  <c r="J114" i="3"/>
  <c r="H114" i="3"/>
  <c r="E114" i="3"/>
  <c r="I114" i="3" s="1"/>
  <c r="P113" i="3"/>
  <c r="O113" i="3"/>
  <c r="N113" i="3"/>
  <c r="J113" i="3"/>
  <c r="I113" i="3"/>
  <c r="H113" i="3"/>
  <c r="E113" i="3"/>
  <c r="P112" i="3"/>
  <c r="O112" i="3"/>
  <c r="N112" i="3"/>
  <c r="J112" i="3"/>
  <c r="H112" i="3"/>
  <c r="I112" i="3" s="1"/>
  <c r="E112" i="3"/>
  <c r="P111" i="3"/>
  <c r="O111" i="3"/>
  <c r="N111" i="3"/>
  <c r="J111" i="3"/>
  <c r="H111" i="3"/>
  <c r="E111" i="3"/>
  <c r="I111" i="3" s="1"/>
  <c r="P110" i="3"/>
  <c r="O110" i="3"/>
  <c r="N110" i="3"/>
  <c r="J110" i="3"/>
  <c r="I110" i="3"/>
  <c r="H110" i="3"/>
  <c r="E110" i="3"/>
  <c r="P109" i="3"/>
  <c r="O109" i="3"/>
  <c r="N109" i="3"/>
  <c r="J109" i="3"/>
  <c r="I109" i="3"/>
  <c r="H109" i="3"/>
  <c r="E109" i="3"/>
  <c r="P108" i="3"/>
  <c r="O108" i="3"/>
  <c r="N108" i="3"/>
  <c r="J108" i="3"/>
  <c r="H108" i="3"/>
  <c r="I108" i="3" s="1"/>
  <c r="E108" i="3"/>
  <c r="P107" i="3"/>
  <c r="O107" i="3"/>
  <c r="N107" i="3"/>
  <c r="J107" i="3"/>
  <c r="H107" i="3"/>
  <c r="E107" i="3"/>
  <c r="I107" i="3" s="1"/>
  <c r="P106" i="3"/>
  <c r="O106" i="3"/>
  <c r="N106" i="3"/>
  <c r="J106" i="3"/>
  <c r="H106" i="3"/>
  <c r="E106" i="3"/>
  <c r="I106" i="3" s="1"/>
  <c r="P105" i="3"/>
  <c r="O105" i="3"/>
  <c r="N105" i="3"/>
  <c r="J105" i="3"/>
  <c r="I105" i="3"/>
  <c r="H105" i="3"/>
  <c r="E105" i="3"/>
  <c r="P104" i="3"/>
  <c r="O104" i="3"/>
  <c r="N104" i="3"/>
  <c r="J104" i="3"/>
  <c r="H104" i="3"/>
  <c r="I104" i="3" s="1"/>
  <c r="E104" i="3"/>
  <c r="P103" i="3"/>
  <c r="O103" i="3"/>
  <c r="N103" i="3"/>
  <c r="J103" i="3"/>
  <c r="H103" i="3"/>
  <c r="E103" i="3"/>
  <c r="I103" i="3" s="1"/>
  <c r="P102" i="3"/>
  <c r="O102" i="3"/>
  <c r="N102" i="3"/>
  <c r="J102" i="3"/>
  <c r="I102" i="3"/>
  <c r="H102" i="3"/>
  <c r="E102" i="3"/>
  <c r="P101" i="3"/>
  <c r="O101" i="3"/>
  <c r="N101" i="3"/>
  <c r="J101" i="3"/>
  <c r="I101" i="3"/>
  <c r="H101" i="3"/>
  <c r="E101" i="3"/>
  <c r="P100" i="3"/>
  <c r="O100" i="3"/>
  <c r="N100" i="3"/>
  <c r="J100" i="3"/>
  <c r="H100" i="3"/>
  <c r="I100" i="3" s="1"/>
  <c r="E100" i="3"/>
  <c r="P99" i="3"/>
  <c r="O99" i="3"/>
  <c r="N99" i="3"/>
  <c r="J99" i="3"/>
  <c r="H99" i="3"/>
  <c r="E99" i="3"/>
  <c r="I99" i="3" s="1"/>
  <c r="P98" i="3"/>
  <c r="O98" i="3"/>
  <c r="N98" i="3"/>
  <c r="J98" i="3"/>
  <c r="H98" i="3"/>
  <c r="E98" i="3"/>
  <c r="I98" i="3" s="1"/>
  <c r="P97" i="3"/>
  <c r="O97" i="3"/>
  <c r="N97" i="3"/>
  <c r="J97" i="3"/>
  <c r="I97" i="3"/>
  <c r="H97" i="3"/>
  <c r="E97" i="3"/>
  <c r="P96" i="3"/>
  <c r="O96" i="3"/>
  <c r="N96" i="3"/>
  <c r="J96" i="3"/>
  <c r="H96" i="3"/>
  <c r="I96" i="3" s="1"/>
  <c r="E96" i="3"/>
  <c r="P95" i="3"/>
  <c r="O95" i="3"/>
  <c r="N95" i="3"/>
  <c r="J95" i="3"/>
  <c r="H95" i="3"/>
  <c r="E95" i="3"/>
  <c r="I95" i="3" s="1"/>
  <c r="P94" i="3"/>
  <c r="O94" i="3"/>
  <c r="N94" i="3"/>
  <c r="J94" i="3"/>
  <c r="I94" i="3"/>
  <c r="H94" i="3"/>
  <c r="E94" i="3"/>
  <c r="P93" i="3"/>
  <c r="O93" i="3"/>
  <c r="N93" i="3"/>
  <c r="J93" i="3"/>
  <c r="I93" i="3"/>
  <c r="H93" i="3"/>
  <c r="E93" i="3"/>
  <c r="P92" i="3"/>
  <c r="O92" i="3"/>
  <c r="N92" i="3"/>
  <c r="J92" i="3"/>
  <c r="H92" i="3"/>
  <c r="I92" i="3" s="1"/>
  <c r="E92" i="3"/>
  <c r="P91" i="3"/>
  <c r="O91" i="3"/>
  <c r="N91" i="3"/>
  <c r="J91" i="3"/>
  <c r="H91" i="3"/>
  <c r="E91" i="3"/>
  <c r="I91" i="3" s="1"/>
  <c r="P90" i="3"/>
  <c r="O90" i="3"/>
  <c r="N90" i="3"/>
  <c r="J90" i="3"/>
  <c r="H90" i="3"/>
  <c r="E90" i="3"/>
  <c r="I90" i="3" s="1"/>
  <c r="P89" i="3"/>
  <c r="O89" i="3"/>
  <c r="N89" i="3"/>
  <c r="J89" i="3"/>
  <c r="I89" i="3"/>
  <c r="H89" i="3"/>
  <c r="E89" i="3"/>
  <c r="P88" i="3"/>
  <c r="O88" i="3"/>
  <c r="N88" i="3"/>
  <c r="J88" i="3"/>
  <c r="H88" i="3"/>
  <c r="I88" i="3" s="1"/>
  <c r="E88" i="3"/>
  <c r="P87" i="3"/>
  <c r="O87" i="3"/>
  <c r="N87" i="3"/>
  <c r="J87" i="3"/>
  <c r="H87" i="3"/>
  <c r="E87" i="3"/>
  <c r="I87" i="3" s="1"/>
  <c r="P86" i="3"/>
  <c r="O86" i="3"/>
  <c r="N86" i="3"/>
  <c r="J86" i="3"/>
  <c r="I86" i="3"/>
  <c r="H86" i="3"/>
  <c r="E86" i="3"/>
  <c r="P85" i="3"/>
  <c r="O85" i="3"/>
  <c r="N85" i="3"/>
  <c r="J85" i="3"/>
  <c r="I85" i="3"/>
  <c r="H85" i="3"/>
  <c r="E85" i="3"/>
  <c r="P84" i="3"/>
  <c r="O84" i="3"/>
  <c r="N84" i="3"/>
  <c r="J84" i="3"/>
  <c r="H84" i="3"/>
  <c r="I84" i="3" s="1"/>
  <c r="E84" i="3"/>
  <c r="P83" i="3"/>
  <c r="O83" i="3"/>
  <c r="N83" i="3"/>
  <c r="J83" i="3"/>
  <c r="H83" i="3"/>
  <c r="E83" i="3"/>
  <c r="I83" i="3" s="1"/>
  <c r="P82" i="3"/>
  <c r="O82" i="3"/>
  <c r="N82" i="3"/>
  <c r="J82" i="3"/>
  <c r="H82" i="3"/>
  <c r="E82" i="3"/>
  <c r="I82" i="3" s="1"/>
  <c r="P81" i="3"/>
  <c r="O81" i="3"/>
  <c r="N81" i="3"/>
  <c r="J81" i="3"/>
  <c r="I81" i="3"/>
  <c r="H81" i="3"/>
  <c r="E81" i="3"/>
  <c r="P80" i="3"/>
  <c r="O80" i="3"/>
  <c r="N80" i="3"/>
  <c r="J80" i="3"/>
  <c r="H80" i="3"/>
  <c r="I80" i="3" s="1"/>
  <c r="E80" i="3"/>
  <c r="P79" i="3"/>
  <c r="O79" i="3"/>
  <c r="N79" i="3"/>
  <c r="J79" i="3"/>
  <c r="H79" i="3"/>
  <c r="E79" i="3"/>
  <c r="I79" i="3" s="1"/>
  <c r="P78" i="3"/>
  <c r="O78" i="3"/>
  <c r="N78" i="3"/>
  <c r="J78" i="3"/>
  <c r="I78" i="3"/>
  <c r="H78" i="3"/>
  <c r="E78" i="3"/>
  <c r="P77" i="3"/>
  <c r="O77" i="3"/>
  <c r="N77" i="3"/>
  <c r="J77" i="3"/>
  <c r="I77" i="3"/>
  <c r="H77" i="3"/>
  <c r="E77" i="3"/>
  <c r="P76" i="3"/>
  <c r="O76" i="3"/>
  <c r="N76" i="3"/>
  <c r="J76" i="3"/>
  <c r="H76" i="3"/>
  <c r="I76" i="3" s="1"/>
  <c r="E76" i="3"/>
  <c r="P75" i="3"/>
  <c r="O75" i="3"/>
  <c r="N75" i="3"/>
  <c r="J75" i="3"/>
  <c r="H75" i="3"/>
  <c r="E75" i="3"/>
  <c r="I75" i="3" s="1"/>
  <c r="P74" i="3"/>
  <c r="O74" i="3"/>
  <c r="N74" i="3"/>
  <c r="J74" i="3"/>
  <c r="H74" i="3"/>
  <c r="E74" i="3"/>
  <c r="I74" i="3" s="1"/>
  <c r="P73" i="3"/>
  <c r="O73" i="3"/>
  <c r="N73" i="3"/>
  <c r="J73" i="3"/>
  <c r="I73" i="3"/>
  <c r="H73" i="3"/>
  <c r="E73" i="3"/>
  <c r="P72" i="3"/>
  <c r="O72" i="3"/>
  <c r="N72" i="3"/>
  <c r="J72" i="3"/>
  <c r="H72" i="3"/>
  <c r="I72" i="3" s="1"/>
  <c r="E72" i="3"/>
  <c r="P71" i="3"/>
  <c r="O71" i="3"/>
  <c r="N71" i="3"/>
  <c r="J71" i="3"/>
  <c r="H71" i="3"/>
  <c r="E71" i="3"/>
  <c r="I71" i="3" s="1"/>
  <c r="P70" i="3"/>
  <c r="O70" i="3"/>
  <c r="N70" i="3"/>
  <c r="J70" i="3"/>
  <c r="I70" i="3"/>
  <c r="H70" i="3"/>
  <c r="E70" i="3"/>
  <c r="P69" i="3"/>
  <c r="O69" i="3"/>
  <c r="N69" i="3"/>
  <c r="J69" i="3"/>
  <c r="I69" i="3"/>
  <c r="H69" i="3"/>
  <c r="E69" i="3"/>
  <c r="P68" i="3"/>
  <c r="O68" i="3"/>
  <c r="N68" i="3"/>
  <c r="J68" i="3"/>
  <c r="H68" i="3"/>
  <c r="I68" i="3" s="1"/>
  <c r="E68" i="3"/>
  <c r="P67" i="3"/>
  <c r="O67" i="3"/>
  <c r="N67" i="3"/>
  <c r="J67" i="3"/>
  <c r="H67" i="3"/>
  <c r="E67" i="3"/>
  <c r="I67" i="3" s="1"/>
  <c r="P66" i="3"/>
  <c r="O66" i="3"/>
  <c r="N66" i="3"/>
  <c r="J66" i="3"/>
  <c r="H66" i="3"/>
  <c r="E66" i="3"/>
  <c r="I66" i="3" s="1"/>
  <c r="P65" i="3"/>
  <c r="O65" i="3"/>
  <c r="N65" i="3"/>
  <c r="J65" i="3"/>
  <c r="I65" i="3"/>
  <c r="H65" i="3"/>
  <c r="E65" i="3"/>
  <c r="P64" i="3"/>
  <c r="O64" i="3"/>
  <c r="N64" i="3"/>
  <c r="J64" i="3"/>
  <c r="H64" i="3"/>
  <c r="I64" i="3" s="1"/>
  <c r="E64" i="3"/>
  <c r="P63" i="3"/>
  <c r="O63" i="3"/>
  <c r="N63" i="3"/>
  <c r="J63" i="3"/>
  <c r="H63" i="3"/>
  <c r="E63" i="3"/>
  <c r="I63" i="3" s="1"/>
  <c r="P62" i="3"/>
  <c r="O62" i="3"/>
  <c r="N62" i="3"/>
  <c r="J62" i="3"/>
  <c r="I62" i="3"/>
  <c r="H62" i="3"/>
  <c r="E62" i="3"/>
  <c r="P61" i="3"/>
  <c r="O61" i="3"/>
  <c r="N61" i="3"/>
  <c r="J61" i="3"/>
  <c r="I61" i="3"/>
  <c r="H61" i="3"/>
  <c r="E61" i="3"/>
  <c r="P60" i="3"/>
  <c r="O60" i="3"/>
  <c r="N60" i="3"/>
  <c r="J60" i="3"/>
  <c r="H60" i="3"/>
  <c r="I60" i="3" s="1"/>
  <c r="E60" i="3"/>
  <c r="P59" i="3"/>
  <c r="O59" i="3"/>
  <c r="N59" i="3"/>
  <c r="J59" i="3"/>
  <c r="H59" i="3"/>
  <c r="E59" i="3"/>
  <c r="I59" i="3" s="1"/>
  <c r="P58" i="3"/>
  <c r="O58" i="3"/>
  <c r="N58" i="3"/>
  <c r="J58" i="3"/>
  <c r="H58" i="3"/>
  <c r="E58" i="3"/>
  <c r="I58" i="3" s="1"/>
  <c r="P57" i="3"/>
  <c r="O57" i="3"/>
  <c r="N57" i="3"/>
  <c r="J57" i="3"/>
  <c r="I57" i="3"/>
  <c r="H57" i="3"/>
  <c r="E57" i="3"/>
  <c r="P56" i="3"/>
  <c r="O56" i="3"/>
  <c r="N56" i="3"/>
  <c r="J56" i="3"/>
  <c r="H56" i="3"/>
  <c r="I56" i="3" s="1"/>
  <c r="E56" i="3"/>
  <c r="P55" i="3"/>
  <c r="O55" i="3"/>
  <c r="N55" i="3"/>
  <c r="J55" i="3"/>
  <c r="H55" i="3"/>
  <c r="E55" i="3"/>
  <c r="I55" i="3" s="1"/>
  <c r="P54" i="3"/>
  <c r="O54" i="3"/>
  <c r="N54" i="3"/>
  <c r="J54" i="3"/>
  <c r="I54" i="3"/>
  <c r="H54" i="3"/>
  <c r="E54" i="3"/>
  <c r="P53" i="3"/>
  <c r="O53" i="3"/>
  <c r="N53" i="3"/>
  <c r="J53" i="3"/>
  <c r="I53" i="3"/>
  <c r="H53" i="3"/>
  <c r="E53" i="3"/>
  <c r="P52" i="3"/>
  <c r="O52" i="3"/>
  <c r="N52" i="3"/>
  <c r="J52" i="3"/>
  <c r="H52" i="3"/>
  <c r="I52" i="3" s="1"/>
  <c r="E52" i="3"/>
  <c r="P51" i="3"/>
  <c r="O51" i="3"/>
  <c r="N51" i="3"/>
  <c r="J51" i="3"/>
  <c r="H51" i="3"/>
  <c r="E51" i="3"/>
  <c r="I51" i="3" s="1"/>
  <c r="P50" i="3"/>
  <c r="O50" i="3"/>
  <c r="N50" i="3"/>
  <c r="J50" i="3"/>
  <c r="H50" i="3"/>
  <c r="E50" i="3"/>
  <c r="I50" i="3" s="1"/>
  <c r="P49" i="3"/>
  <c r="O49" i="3"/>
  <c r="N49" i="3"/>
  <c r="J49" i="3"/>
  <c r="I49" i="3"/>
  <c r="H49" i="3"/>
  <c r="E49" i="3"/>
  <c r="P48" i="3"/>
  <c r="O48" i="3"/>
  <c r="N48" i="3"/>
  <c r="J48" i="3"/>
  <c r="H48" i="3"/>
  <c r="I48" i="3" s="1"/>
  <c r="E48" i="3"/>
  <c r="P47" i="3"/>
  <c r="O47" i="3"/>
  <c r="N47" i="3"/>
  <c r="J47" i="3"/>
  <c r="H47" i="3"/>
  <c r="E47" i="3"/>
  <c r="I47" i="3" s="1"/>
  <c r="P46" i="3"/>
  <c r="O46" i="3"/>
  <c r="N46" i="3"/>
  <c r="J46" i="3"/>
  <c r="I46" i="3"/>
  <c r="H46" i="3"/>
  <c r="E46" i="3"/>
  <c r="P45" i="3"/>
  <c r="O45" i="3"/>
  <c r="N45" i="3"/>
  <c r="J45" i="3"/>
  <c r="I45" i="3"/>
  <c r="H45" i="3"/>
  <c r="E45" i="3"/>
  <c r="P44" i="3"/>
  <c r="O44" i="3"/>
  <c r="N44" i="3"/>
  <c r="J44" i="3"/>
  <c r="H44" i="3"/>
  <c r="I44" i="3" s="1"/>
  <c r="E44" i="3"/>
  <c r="P43" i="3"/>
  <c r="O43" i="3"/>
  <c r="N43" i="3"/>
  <c r="J43" i="3"/>
  <c r="H43" i="3"/>
  <c r="E43" i="3"/>
  <c r="I43" i="3" s="1"/>
  <c r="P42" i="3"/>
  <c r="O42" i="3"/>
  <c r="N42" i="3"/>
  <c r="J42" i="3"/>
  <c r="H42" i="3"/>
  <c r="E42" i="3"/>
  <c r="I42" i="3" s="1"/>
  <c r="P41" i="3"/>
  <c r="O41" i="3"/>
  <c r="N41" i="3"/>
  <c r="J41" i="3"/>
  <c r="I41" i="3"/>
  <c r="H41" i="3"/>
  <c r="E41" i="3"/>
  <c r="P40" i="3"/>
  <c r="O40" i="3"/>
  <c r="N40" i="3"/>
  <c r="J40" i="3"/>
  <c r="H40" i="3"/>
  <c r="I40" i="3" s="1"/>
  <c r="E40" i="3"/>
  <c r="P39" i="3"/>
  <c r="O39" i="3"/>
  <c r="N39" i="3"/>
  <c r="J39" i="3"/>
  <c r="H39" i="3"/>
  <c r="E39" i="3"/>
  <c r="I39" i="3" s="1"/>
  <c r="P38" i="3"/>
  <c r="O38" i="3"/>
  <c r="N38" i="3"/>
  <c r="J38" i="3"/>
  <c r="I38" i="3"/>
  <c r="H38" i="3"/>
  <c r="E38" i="3"/>
  <c r="P37" i="3"/>
  <c r="O37" i="3"/>
  <c r="N37" i="3"/>
  <c r="J37" i="3"/>
  <c r="I37" i="3"/>
  <c r="H37" i="3"/>
  <c r="E37" i="3"/>
  <c r="P36" i="3"/>
  <c r="O36" i="3"/>
  <c r="N36" i="3"/>
  <c r="J36" i="3"/>
  <c r="H36" i="3"/>
  <c r="I36" i="3" s="1"/>
  <c r="E36" i="3"/>
  <c r="P35" i="3"/>
  <c r="O35" i="3"/>
  <c r="N35" i="3"/>
  <c r="J35" i="3"/>
  <c r="H35" i="3"/>
  <c r="E35" i="3"/>
  <c r="I35" i="3" s="1"/>
  <c r="P34" i="3"/>
  <c r="O34" i="3"/>
  <c r="N34" i="3"/>
  <c r="J34" i="3"/>
  <c r="H34" i="3"/>
  <c r="E34" i="3"/>
  <c r="I34" i="3" s="1"/>
  <c r="P33" i="3"/>
  <c r="O33" i="3"/>
  <c r="N33" i="3"/>
  <c r="J33" i="3"/>
  <c r="I33" i="3"/>
  <c r="H33" i="3"/>
  <c r="E33" i="3"/>
  <c r="P32" i="3"/>
  <c r="O32" i="3"/>
  <c r="N32" i="3"/>
  <c r="J32" i="3"/>
  <c r="H32" i="3"/>
  <c r="I32" i="3" s="1"/>
  <c r="E32" i="3"/>
  <c r="P31" i="3"/>
  <c r="O31" i="3"/>
  <c r="N31" i="3"/>
  <c r="J31" i="3"/>
  <c r="H31" i="3"/>
  <c r="E31" i="3"/>
  <c r="I31" i="3" s="1"/>
  <c r="P30" i="3"/>
  <c r="O30" i="3"/>
  <c r="N30" i="3"/>
  <c r="J30" i="3"/>
  <c r="I30" i="3"/>
  <c r="H30" i="3"/>
  <c r="E30" i="3"/>
  <c r="P29" i="3"/>
  <c r="O29" i="3"/>
  <c r="N29" i="3"/>
  <c r="J29" i="3"/>
  <c r="I29" i="3"/>
  <c r="H29" i="3"/>
  <c r="E29" i="3"/>
  <c r="P28" i="3"/>
  <c r="O28" i="3"/>
  <c r="N28" i="3"/>
  <c r="J28" i="3"/>
  <c r="H28" i="3"/>
  <c r="I28" i="3" s="1"/>
  <c r="E28" i="3"/>
  <c r="P27" i="3"/>
  <c r="O27" i="3"/>
  <c r="N27" i="3"/>
  <c r="J27" i="3"/>
  <c r="H27" i="3"/>
  <c r="E27" i="3"/>
  <c r="I27" i="3" s="1"/>
  <c r="P26" i="3"/>
  <c r="O26" i="3"/>
  <c r="N26" i="3"/>
  <c r="J26" i="3"/>
  <c r="H26" i="3"/>
  <c r="E26" i="3"/>
  <c r="I26" i="3" s="1"/>
  <c r="P25" i="3"/>
  <c r="O25" i="3"/>
  <c r="N25" i="3"/>
  <c r="J25" i="3"/>
  <c r="I25" i="3"/>
  <c r="H25" i="3"/>
  <c r="E25" i="3"/>
  <c r="P24" i="3"/>
  <c r="O24" i="3"/>
  <c r="N24" i="3"/>
  <c r="J24" i="3"/>
  <c r="H24" i="3"/>
  <c r="I24" i="3" s="1"/>
  <c r="E24" i="3"/>
  <c r="P23" i="3"/>
  <c r="O23" i="3"/>
  <c r="N23" i="3"/>
  <c r="J23" i="3"/>
  <c r="H23" i="3"/>
  <c r="E23" i="3"/>
  <c r="I23" i="3" s="1"/>
  <c r="P22" i="3"/>
  <c r="O22" i="3"/>
  <c r="N22" i="3"/>
  <c r="J22" i="3"/>
  <c r="I22" i="3"/>
  <c r="H22" i="3"/>
  <c r="E22" i="3"/>
  <c r="P21" i="3"/>
  <c r="O21" i="3"/>
  <c r="N21" i="3"/>
  <c r="J21" i="3"/>
  <c r="I21" i="3"/>
  <c r="H21" i="3"/>
  <c r="E21" i="3"/>
  <c r="P20" i="3"/>
  <c r="O20" i="3"/>
  <c r="N20" i="3"/>
  <c r="J20" i="3"/>
  <c r="H20" i="3"/>
  <c r="I20" i="3" s="1"/>
  <c r="E20" i="3"/>
  <c r="P19" i="3"/>
  <c r="O19" i="3"/>
  <c r="N19" i="3"/>
  <c r="J19" i="3"/>
  <c r="H19" i="3"/>
  <c r="E19" i="3"/>
  <c r="I19" i="3" s="1"/>
  <c r="P18" i="3"/>
  <c r="O18" i="3"/>
  <c r="N18" i="3"/>
  <c r="J18" i="3"/>
  <c r="H18" i="3"/>
  <c r="E18" i="3"/>
  <c r="I18" i="3" s="1"/>
  <c r="P17" i="3"/>
  <c r="O17" i="3"/>
  <c r="N17" i="3"/>
  <c r="J17" i="3"/>
  <c r="I17" i="3"/>
  <c r="H17" i="3"/>
  <c r="E17" i="3"/>
  <c r="P16" i="3"/>
  <c r="O16" i="3"/>
  <c r="N16" i="3"/>
  <c r="J16" i="3"/>
  <c r="H16" i="3"/>
  <c r="I16" i="3" s="1"/>
  <c r="E16" i="3"/>
  <c r="P15" i="3"/>
  <c r="O15" i="3"/>
  <c r="N15" i="3"/>
  <c r="J15" i="3"/>
  <c r="H15" i="3"/>
  <c r="E15" i="3"/>
  <c r="I15" i="3" s="1"/>
  <c r="P14" i="3"/>
  <c r="O14" i="3"/>
  <c r="N14" i="3"/>
  <c r="J14" i="3"/>
  <c r="I14" i="3"/>
  <c r="H14" i="3"/>
  <c r="E14" i="3"/>
  <c r="P13" i="3"/>
  <c r="O13" i="3"/>
  <c r="N13" i="3"/>
  <c r="J13" i="3"/>
  <c r="I13" i="3"/>
  <c r="H13" i="3"/>
  <c r="E13" i="3"/>
  <c r="P12" i="3"/>
  <c r="O12" i="3"/>
  <c r="N12" i="3"/>
  <c r="J12" i="3"/>
  <c r="H12" i="3"/>
  <c r="I12" i="3" s="1"/>
  <c r="E12" i="3"/>
  <c r="P11" i="3"/>
  <c r="O11" i="3"/>
  <c r="N11" i="3"/>
  <c r="J11" i="3"/>
  <c r="H11" i="3"/>
  <c r="E11" i="3"/>
  <c r="I11" i="3" s="1"/>
  <c r="P10" i="3"/>
  <c r="O10" i="3"/>
  <c r="N10" i="3"/>
  <c r="J10" i="3"/>
  <c r="H10" i="3"/>
  <c r="E10" i="3"/>
  <c r="I10" i="3" s="1"/>
  <c r="P9" i="3"/>
  <c r="O9" i="3"/>
  <c r="N9" i="3"/>
  <c r="J9" i="3"/>
  <c r="I9" i="3"/>
  <c r="H9" i="3"/>
  <c r="E9" i="3"/>
  <c r="P8" i="3"/>
  <c r="O8" i="3"/>
  <c r="N8" i="3"/>
  <c r="J8" i="3"/>
  <c r="H8" i="3"/>
  <c r="I8" i="3" s="1"/>
  <c r="E8" i="3"/>
  <c r="P7" i="3"/>
  <c r="O7" i="3"/>
  <c r="N7" i="3"/>
  <c r="J7" i="3"/>
  <c r="H7" i="3"/>
  <c r="E7" i="3"/>
  <c r="I7" i="3" s="1"/>
  <c r="S25" i="2"/>
  <c r="R25" i="2"/>
  <c r="N25" i="2"/>
  <c r="M25" i="2"/>
  <c r="O25" i="2" s="1"/>
  <c r="L25" i="2"/>
  <c r="K25" i="2"/>
  <c r="F7" i="1" s="1"/>
  <c r="J25" i="2"/>
  <c r="S24" i="2"/>
  <c r="R24" i="2"/>
  <c r="N24" i="2"/>
  <c r="M24" i="2"/>
  <c r="O24" i="2" s="1"/>
  <c r="L24" i="2"/>
  <c r="K24" i="2"/>
  <c r="J24" i="2"/>
  <c r="S23" i="2"/>
  <c r="R23" i="2"/>
  <c r="N23" i="2"/>
  <c r="M23" i="2"/>
  <c r="O23" i="2" s="1"/>
  <c r="L23" i="2"/>
  <c r="K23" i="2"/>
  <c r="J23" i="2"/>
  <c r="S22" i="2"/>
  <c r="R22" i="2"/>
  <c r="N22" i="2"/>
  <c r="M22" i="2"/>
  <c r="O22" i="2" s="1"/>
  <c r="L22" i="2"/>
  <c r="K22" i="2"/>
  <c r="J22" i="2"/>
  <c r="S21" i="2"/>
  <c r="R21" i="2"/>
  <c r="N21" i="2"/>
  <c r="M21" i="2"/>
  <c r="O21" i="2" s="1"/>
  <c r="L21" i="2"/>
  <c r="K21" i="2"/>
  <c r="J21" i="2"/>
  <c r="S20" i="2"/>
  <c r="R20" i="2"/>
  <c r="N20" i="2"/>
  <c r="M20" i="2"/>
  <c r="O20" i="2" s="1"/>
  <c r="L20" i="2"/>
  <c r="K20" i="2"/>
  <c r="J20" i="2"/>
  <c r="S19" i="2"/>
  <c r="R19" i="2"/>
  <c r="N19" i="2"/>
  <c r="M19" i="2"/>
  <c r="O19" i="2" s="1"/>
  <c r="L19" i="2"/>
  <c r="K19" i="2"/>
  <c r="J19" i="2"/>
  <c r="S18" i="2"/>
  <c r="R18" i="2"/>
  <c r="N18" i="2"/>
  <c r="M18" i="2"/>
  <c r="O18" i="2" s="1"/>
  <c r="L18" i="2"/>
  <c r="K18" i="2"/>
  <c r="J18" i="2"/>
  <c r="S17" i="2"/>
  <c r="R17" i="2"/>
  <c r="N17" i="2"/>
  <c r="M17" i="2"/>
  <c r="O17" i="2" s="1"/>
  <c r="L17" i="2"/>
  <c r="K17" i="2"/>
  <c r="J17" i="2"/>
  <c r="S16" i="2"/>
  <c r="R16" i="2"/>
  <c r="N16" i="2"/>
  <c r="M16" i="2"/>
  <c r="O16" i="2" s="1"/>
  <c r="L16" i="2"/>
  <c r="K16" i="2"/>
  <c r="J16" i="2"/>
  <c r="S15" i="2"/>
  <c r="R15" i="2"/>
  <c r="N15" i="2"/>
  <c r="M15" i="2"/>
  <c r="O15" i="2" s="1"/>
  <c r="L15" i="2"/>
  <c r="K15" i="2"/>
  <c r="J15" i="2"/>
  <c r="S14" i="2"/>
  <c r="R14" i="2"/>
  <c r="N14" i="2"/>
  <c r="M14" i="2"/>
  <c r="O14" i="2" s="1"/>
  <c r="L14" i="2"/>
  <c r="K14" i="2"/>
  <c r="J14" i="2"/>
  <c r="S13" i="2"/>
  <c r="R13" i="2"/>
  <c r="N13" i="2"/>
  <c r="M13" i="2"/>
  <c r="O13" i="2" s="1"/>
  <c r="L13" i="2"/>
  <c r="K13" i="2"/>
  <c r="J13" i="2"/>
  <c r="S12" i="2"/>
  <c r="R12" i="2"/>
  <c r="N12" i="2"/>
  <c r="M12" i="2"/>
  <c r="O12" i="2" s="1"/>
  <c r="L12" i="2"/>
  <c r="K12" i="2"/>
  <c r="J12" i="2"/>
  <c r="S11" i="2"/>
  <c r="R11" i="2"/>
  <c r="N11" i="2"/>
  <c r="M11" i="2"/>
  <c r="O11" i="2" s="1"/>
  <c r="L11" i="2"/>
  <c r="K11" i="2"/>
  <c r="J11" i="2"/>
  <c r="S10" i="2"/>
  <c r="R10" i="2"/>
  <c r="N10" i="2"/>
  <c r="M10" i="2"/>
  <c r="O10" i="2" s="1"/>
  <c r="L10" i="2"/>
  <c r="K10" i="2"/>
  <c r="J10" i="2"/>
  <c r="S9" i="2"/>
  <c r="R9" i="2"/>
  <c r="N9" i="2"/>
  <c r="M9" i="2"/>
  <c r="O9" i="2" s="1"/>
  <c r="L9" i="2"/>
  <c r="K9" i="2"/>
  <c r="J9" i="2"/>
  <c r="S8" i="2"/>
  <c r="R8" i="2"/>
  <c r="N8" i="2"/>
  <c r="M8" i="2"/>
  <c r="O8" i="2" s="1"/>
  <c r="L8" i="2"/>
  <c r="K8" i="2"/>
  <c r="J8" i="2"/>
  <c r="S7" i="2"/>
  <c r="R7" i="2"/>
  <c r="N7" i="2"/>
  <c r="M7" i="2"/>
  <c r="O7" i="2" s="1"/>
  <c r="L7" i="2"/>
  <c r="K7" i="2"/>
  <c r="J7" i="2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E7" i="1"/>
  <c r="D7" i="1"/>
  <c r="C7" i="1"/>
  <c r="B7" i="1"/>
  <c r="A7" i="1"/>
  <c r="K41" i="7" l="1"/>
  <c r="M41" i="7" s="1"/>
  <c r="F41" i="7" s="1"/>
  <c r="K45" i="7"/>
  <c r="K53" i="7"/>
  <c r="K39" i="7"/>
  <c r="M39" i="7" s="1"/>
  <c r="F39" i="7" s="1"/>
  <c r="K43" i="7"/>
  <c r="M43" i="7" s="1"/>
  <c r="F43" i="7" s="1"/>
  <c r="K47" i="7"/>
  <c r="M47" i="7" s="1"/>
  <c r="F47" i="7" s="1"/>
  <c r="K51" i="7"/>
  <c r="M51" i="7" s="1"/>
  <c r="F51" i="7" s="1"/>
  <c r="P17" i="4"/>
  <c r="L17" i="4"/>
  <c r="Q17" i="4"/>
  <c r="O17" i="4"/>
  <c r="N17" i="4"/>
  <c r="M17" i="4"/>
  <c r="Q22" i="4"/>
  <c r="O22" i="4"/>
  <c r="N22" i="4"/>
  <c r="M22" i="4"/>
  <c r="Q30" i="4"/>
  <c r="M30" i="4"/>
  <c r="O30" i="4"/>
  <c r="N30" i="4"/>
  <c r="O55" i="4"/>
  <c r="Q55" i="4"/>
  <c r="P55" i="4"/>
  <c r="M55" i="4"/>
  <c r="N104" i="4"/>
  <c r="Q104" i="4"/>
  <c r="P104" i="4"/>
  <c r="O104" i="4"/>
  <c r="M104" i="4"/>
  <c r="L104" i="4"/>
  <c r="L111" i="4"/>
  <c r="P10" i="4"/>
  <c r="M10" i="4"/>
  <c r="O10" i="4"/>
  <c r="Q10" i="4"/>
  <c r="N10" i="4"/>
  <c r="N32" i="4"/>
  <c r="Q32" i="4"/>
  <c r="O32" i="4"/>
  <c r="M32" i="4"/>
  <c r="L32" i="4"/>
  <c r="P32" i="4" s="1"/>
  <c r="O37" i="4"/>
  <c r="N37" i="4"/>
  <c r="Q37" i="4"/>
  <c r="M37" i="4"/>
  <c r="L42" i="4"/>
  <c r="Q62" i="4"/>
  <c r="O62" i="4"/>
  <c r="M62" i="4"/>
  <c r="L62" i="4"/>
  <c r="P62" i="4"/>
  <c r="Q66" i="4"/>
  <c r="M66" i="4"/>
  <c r="P66" i="4"/>
  <c r="O66" i="4"/>
  <c r="O75" i="4"/>
  <c r="M75" i="4"/>
  <c r="Q75" i="4"/>
  <c r="P75" i="4"/>
  <c r="N75" i="4"/>
  <c r="Q79" i="4"/>
  <c r="P79" i="4"/>
  <c r="N79" i="4"/>
  <c r="Q86" i="4"/>
  <c r="O86" i="4"/>
  <c r="M86" i="4"/>
  <c r="L86" i="4"/>
  <c r="P86" i="4"/>
  <c r="Q90" i="4"/>
  <c r="M90" i="4"/>
  <c r="P90" i="4"/>
  <c r="O90" i="4"/>
  <c r="Q127" i="4"/>
  <c r="N127" i="4"/>
  <c r="M127" i="4"/>
  <c r="P127" i="4"/>
  <c r="O127" i="4"/>
  <c r="Q7" i="4"/>
  <c r="F69" i="1" s="1"/>
  <c r="N7" i="4"/>
  <c r="D69" i="1" s="1"/>
  <c r="A69" i="1"/>
  <c r="P7" i="4"/>
  <c r="O7" i="4"/>
  <c r="E69" i="1" s="1"/>
  <c r="M7" i="4"/>
  <c r="C69" i="1" s="1"/>
  <c r="L39" i="4"/>
  <c r="P53" i="4"/>
  <c r="Q53" i="4"/>
  <c r="O53" i="4"/>
  <c r="N53" i="4"/>
  <c r="L53" i="4"/>
  <c r="M53" i="4"/>
  <c r="O71" i="4"/>
  <c r="M71" i="4"/>
  <c r="Q71" i="4"/>
  <c r="P71" i="4"/>
  <c r="Q110" i="4"/>
  <c r="M110" i="4"/>
  <c r="P110" i="4"/>
  <c r="O110" i="4"/>
  <c r="N110" i="4"/>
  <c r="Q135" i="4"/>
  <c r="N135" i="4"/>
  <c r="M135" i="4"/>
  <c r="P135" i="4"/>
  <c r="O135" i="4"/>
  <c r="L135" i="4"/>
  <c r="P145" i="4"/>
  <c r="Q145" i="4"/>
  <c r="N145" i="4"/>
  <c r="L145" i="4"/>
  <c r="Q23" i="4"/>
  <c r="N23" i="4"/>
  <c r="M23" i="4"/>
  <c r="P23" i="4"/>
  <c r="O23" i="4"/>
  <c r="O51" i="4"/>
  <c r="N51" i="4"/>
  <c r="Q51" i="4"/>
  <c r="P51" i="4"/>
  <c r="M51" i="4"/>
  <c r="P73" i="4"/>
  <c r="Q73" i="4"/>
  <c r="O73" i="4"/>
  <c r="N73" i="4"/>
  <c r="M73" i="4"/>
  <c r="L73" i="4"/>
  <c r="P77" i="4"/>
  <c r="Q77" i="4"/>
  <c r="O77" i="4"/>
  <c r="N77" i="4"/>
  <c r="L77" i="4"/>
  <c r="P97" i="4"/>
  <c r="Q97" i="4"/>
  <c r="O97" i="4"/>
  <c r="L97" i="4"/>
  <c r="N97" i="4"/>
  <c r="Q103" i="4"/>
  <c r="N103" i="4"/>
  <c r="M103" i="4"/>
  <c r="O103" i="4"/>
  <c r="L103" i="4"/>
  <c r="P103" i="4" s="1"/>
  <c r="N120" i="4"/>
  <c r="O120" i="4"/>
  <c r="M120" i="4"/>
  <c r="L120" i="4"/>
  <c r="P120" i="4" s="1"/>
  <c r="Q120" i="4"/>
  <c r="O125" i="4"/>
  <c r="Q125" i="4"/>
  <c r="N125" i="4"/>
  <c r="M125" i="4"/>
  <c r="P129" i="4"/>
  <c r="Q129" i="4"/>
  <c r="O129" i="4"/>
  <c r="N129" i="4"/>
  <c r="M129" i="4"/>
  <c r="L129" i="4"/>
  <c r="O133" i="4"/>
  <c r="N133" i="4"/>
  <c r="M133" i="4"/>
  <c r="Q133" i="4"/>
  <c r="Q31" i="4"/>
  <c r="N31" i="4"/>
  <c r="O31" i="4"/>
  <c r="M31" i="4"/>
  <c r="L31" i="4"/>
  <c r="P31" i="4" s="1"/>
  <c r="Q38" i="4"/>
  <c r="O38" i="4"/>
  <c r="M38" i="4"/>
  <c r="N38" i="4"/>
  <c r="N48" i="4"/>
  <c r="O48" i="4"/>
  <c r="M48" i="4"/>
  <c r="L48" i="4"/>
  <c r="Q48" i="4"/>
  <c r="P48" i="4"/>
  <c r="Q54" i="4"/>
  <c r="N54" i="4"/>
  <c r="P54" i="4"/>
  <c r="P63" i="4"/>
  <c r="N63" i="4"/>
  <c r="Q63" i="4"/>
  <c r="N67" i="4"/>
  <c r="Q67" i="4"/>
  <c r="P67" i="4"/>
  <c r="P69" i="4"/>
  <c r="L69" i="4"/>
  <c r="O69" i="4"/>
  <c r="Q69" i="4"/>
  <c r="N69" i="4"/>
  <c r="P87" i="4"/>
  <c r="N87" i="4"/>
  <c r="Q87" i="4"/>
  <c r="N91" i="4"/>
  <c r="Q91" i="4"/>
  <c r="P91" i="4"/>
  <c r="O95" i="4"/>
  <c r="N95" i="4"/>
  <c r="Q95" i="4"/>
  <c r="P95" i="4"/>
  <c r="M95" i="4"/>
  <c r="O101" i="4"/>
  <c r="N101" i="4"/>
  <c r="M101" i="4"/>
  <c r="Q101" i="4"/>
  <c r="P114" i="4"/>
  <c r="M114" i="4"/>
  <c r="Q114" i="4"/>
  <c r="O114" i="4"/>
  <c r="N114" i="4"/>
  <c r="P122" i="4"/>
  <c r="M122" i="4"/>
  <c r="L122" i="4"/>
  <c r="Q122" i="4"/>
  <c r="O122" i="4"/>
  <c r="N122" i="4"/>
  <c r="N16" i="4"/>
  <c r="O16" i="4"/>
  <c r="Q16" i="4"/>
  <c r="M16" i="4"/>
  <c r="L16" i="4"/>
  <c r="P16" i="4" s="1"/>
  <c r="O21" i="4"/>
  <c r="Q21" i="4"/>
  <c r="N21" i="4"/>
  <c r="M21" i="4"/>
  <c r="P25" i="4"/>
  <c r="L25" i="4"/>
  <c r="Q25" i="4"/>
  <c r="O25" i="4"/>
  <c r="N25" i="4"/>
  <c r="M25" i="4"/>
  <c r="O29" i="4"/>
  <c r="N29" i="4"/>
  <c r="M29" i="4"/>
  <c r="Q29" i="4"/>
  <c r="Q74" i="4"/>
  <c r="N74" i="4"/>
  <c r="L74" i="4"/>
  <c r="P74" i="4"/>
  <c r="O74" i="4"/>
  <c r="Q111" i="4"/>
  <c r="N111" i="4"/>
  <c r="P111" i="4"/>
  <c r="O111" i="4"/>
  <c r="M111" i="4"/>
  <c r="N128" i="4"/>
  <c r="L128" i="4"/>
  <c r="O128" i="4"/>
  <c r="Q128" i="4"/>
  <c r="P128" i="4"/>
  <c r="M128" i="4"/>
  <c r="Q142" i="4"/>
  <c r="M142" i="4"/>
  <c r="P142" i="4"/>
  <c r="O142" i="4"/>
  <c r="L142" i="4"/>
  <c r="P18" i="4"/>
  <c r="M18" i="4"/>
  <c r="L18" i="4"/>
  <c r="Q18" i="4"/>
  <c r="O18" i="4"/>
  <c r="N18" i="4"/>
  <c r="L23" i="4"/>
  <c r="P42" i="4"/>
  <c r="M42" i="4"/>
  <c r="Q42" i="4"/>
  <c r="O42" i="4"/>
  <c r="N42" i="4"/>
  <c r="O45" i="4"/>
  <c r="Q45" i="4"/>
  <c r="P45" i="4"/>
  <c r="N45" i="4"/>
  <c r="M45" i="4"/>
  <c r="Q78" i="4"/>
  <c r="P78" i="4"/>
  <c r="O78" i="4"/>
  <c r="M78" i="4"/>
  <c r="P85" i="4"/>
  <c r="O85" i="4"/>
  <c r="N85" i="4"/>
  <c r="L85" i="4"/>
  <c r="Q85" i="4"/>
  <c r="L121" i="4"/>
  <c r="P121" i="4" s="1"/>
  <c r="N121" i="4"/>
  <c r="Q121" i="4"/>
  <c r="O121" i="4"/>
  <c r="M121" i="4"/>
  <c r="Q126" i="4"/>
  <c r="O126" i="4"/>
  <c r="N126" i="4"/>
  <c r="M126" i="4"/>
  <c r="P126" i="4"/>
  <c r="Q134" i="4"/>
  <c r="M134" i="4"/>
  <c r="P134" i="4"/>
  <c r="O134" i="4"/>
  <c r="N134" i="4"/>
  <c r="O13" i="4"/>
  <c r="Q13" i="4"/>
  <c r="N13" i="4"/>
  <c r="M13" i="4"/>
  <c r="N24" i="4"/>
  <c r="L24" i="4"/>
  <c r="O24" i="4"/>
  <c r="Q24" i="4"/>
  <c r="P24" i="4"/>
  <c r="M24" i="4"/>
  <c r="Q39" i="4"/>
  <c r="N39" i="4"/>
  <c r="P39" i="4"/>
  <c r="O39" i="4"/>
  <c r="M39" i="4"/>
  <c r="L49" i="4"/>
  <c r="P49" i="4" s="1"/>
  <c r="Q49" i="4"/>
  <c r="O49" i="4"/>
  <c r="N49" i="4"/>
  <c r="M49" i="4"/>
  <c r="P61" i="4"/>
  <c r="O61" i="4"/>
  <c r="N61" i="4"/>
  <c r="M61" i="4"/>
  <c r="L61" i="4"/>
  <c r="Q61" i="4"/>
  <c r="Q70" i="4"/>
  <c r="O70" i="4"/>
  <c r="P70" i="4"/>
  <c r="M70" i="4"/>
  <c r="Q83" i="4"/>
  <c r="P83" i="4"/>
  <c r="N83" i="4"/>
  <c r="Q102" i="4"/>
  <c r="M102" i="4"/>
  <c r="O102" i="4"/>
  <c r="N102" i="4"/>
  <c r="O109" i="4"/>
  <c r="N109" i="4"/>
  <c r="Q109" i="4"/>
  <c r="M109" i="4"/>
  <c r="N136" i="4"/>
  <c r="L136" i="4"/>
  <c r="Q136" i="4"/>
  <c r="P136" i="4"/>
  <c r="O136" i="4"/>
  <c r="M136" i="4"/>
  <c r="Q143" i="4"/>
  <c r="P143" i="4"/>
  <c r="O143" i="4"/>
  <c r="N143" i="4"/>
  <c r="N11" i="4"/>
  <c r="Q28" i="4"/>
  <c r="P35" i="4"/>
  <c r="N36" i="4"/>
  <c r="L38" i="4"/>
  <c r="P38" i="4" s="1"/>
  <c r="O41" i="4"/>
  <c r="N43" i="4"/>
  <c r="L44" i="4"/>
  <c r="P44" i="4" s="1"/>
  <c r="Q64" i="4"/>
  <c r="O65" i="4"/>
  <c r="N72" i="4"/>
  <c r="L75" i="4"/>
  <c r="L76" i="4"/>
  <c r="J84" i="4"/>
  <c r="Q88" i="4"/>
  <c r="O89" i="4"/>
  <c r="M93" i="4"/>
  <c r="J100" i="4"/>
  <c r="L110" i="4"/>
  <c r="N115" i="4"/>
  <c r="O117" i="4"/>
  <c r="J132" i="4"/>
  <c r="L132" i="4" s="1"/>
  <c r="L143" i="4"/>
  <c r="L144" i="4"/>
  <c r="J156" i="4"/>
  <c r="O156" i="4" s="1"/>
  <c r="J162" i="4"/>
  <c r="L164" i="4"/>
  <c r="J168" i="4"/>
  <c r="O168" i="4" s="1"/>
  <c r="O173" i="4"/>
  <c r="P185" i="4"/>
  <c r="M185" i="4"/>
  <c r="Q185" i="4"/>
  <c r="P194" i="4"/>
  <c r="O194" i="4"/>
  <c r="M194" i="4"/>
  <c r="Q194" i="4"/>
  <c r="Q196" i="4"/>
  <c r="O196" i="4"/>
  <c r="N196" i="4"/>
  <c r="M196" i="4"/>
  <c r="Q199" i="4"/>
  <c r="P199" i="4"/>
  <c r="O199" i="4"/>
  <c r="N199" i="4"/>
  <c r="M199" i="4"/>
  <c r="Q204" i="4"/>
  <c r="P204" i="4"/>
  <c r="O204" i="4"/>
  <c r="N204" i="4"/>
  <c r="M204" i="4"/>
  <c r="Q207" i="4"/>
  <c r="P207" i="4"/>
  <c r="O207" i="4"/>
  <c r="N207" i="4"/>
  <c r="M207" i="4"/>
  <c r="P222" i="4"/>
  <c r="Q222" i="4"/>
  <c r="O222" i="4"/>
  <c r="N222" i="4"/>
  <c r="O240" i="4"/>
  <c r="Q240" i="4"/>
  <c r="P240" i="4"/>
  <c r="N240" i="4"/>
  <c r="L240" i="4"/>
  <c r="O256" i="4"/>
  <c r="Q256" i="4"/>
  <c r="P256" i="4"/>
  <c r="N256" i="4"/>
  <c r="L256" i="4"/>
  <c r="O260" i="4"/>
  <c r="N260" i="4"/>
  <c r="M260" i="4"/>
  <c r="L260" i="4"/>
  <c r="P260" i="4"/>
  <c r="Q267" i="4"/>
  <c r="P267" i="4"/>
  <c r="O267" i="4"/>
  <c r="N267" i="4"/>
  <c r="Q275" i="4"/>
  <c r="P275" i="4"/>
  <c r="N275" i="4"/>
  <c r="O278" i="4"/>
  <c r="P278" i="4"/>
  <c r="N278" i="4"/>
  <c r="L278" i="4"/>
  <c r="Q278" i="4"/>
  <c r="O289" i="4"/>
  <c r="Q289" i="4"/>
  <c r="N289" i="4"/>
  <c r="M289" i="4"/>
  <c r="L289" i="4"/>
  <c r="P289" i="4" s="1"/>
  <c r="M291" i="4"/>
  <c r="Q291" i="4"/>
  <c r="O291" i="4"/>
  <c r="N291" i="4"/>
  <c r="L291" i="4"/>
  <c r="P291" i="4" s="1"/>
  <c r="O315" i="4"/>
  <c r="M315" i="4"/>
  <c r="Q315" i="4"/>
  <c r="P315" i="4"/>
  <c r="N315" i="4"/>
  <c r="P324" i="4"/>
  <c r="Q324" i="4"/>
  <c r="O324" i="4"/>
  <c r="M324" i="4"/>
  <c r="P328" i="4"/>
  <c r="O328" i="4"/>
  <c r="M328" i="4"/>
  <c r="Q328" i="4"/>
  <c r="O330" i="4"/>
  <c r="L330" i="4"/>
  <c r="N330" i="4"/>
  <c r="P343" i="4"/>
  <c r="M343" i="4"/>
  <c r="Q343" i="4"/>
  <c r="O343" i="4"/>
  <c r="O390" i="4"/>
  <c r="N390" i="4"/>
  <c r="M390" i="4"/>
  <c r="Q390" i="4"/>
  <c r="Q400" i="4"/>
  <c r="P400" i="4"/>
  <c r="O400" i="4"/>
  <c r="N400" i="4"/>
  <c r="M400" i="4"/>
  <c r="L400" i="4"/>
  <c r="N508" i="4"/>
  <c r="L508" i="4"/>
  <c r="Q624" i="4"/>
  <c r="P624" i="4"/>
  <c r="N624" i="4"/>
  <c r="O624" i="4"/>
  <c r="L624" i="4"/>
  <c r="L635" i="4"/>
  <c r="P635" i="4"/>
  <c r="O635" i="4"/>
  <c r="Q635" i="4"/>
  <c r="N635" i="4"/>
  <c r="L45" i="4"/>
  <c r="P98" i="4"/>
  <c r="M98" i="4"/>
  <c r="P157" i="4"/>
  <c r="M157" i="4"/>
  <c r="Q157" i="4"/>
  <c r="Q163" i="4"/>
  <c r="P163" i="4"/>
  <c r="M163" i="4"/>
  <c r="Q175" i="4"/>
  <c r="P175" i="4"/>
  <c r="N265" i="4"/>
  <c r="L265" i="4"/>
  <c r="P26" i="4"/>
  <c r="M26" i="4"/>
  <c r="Q35" i="4"/>
  <c r="L55" i="4"/>
  <c r="N78" i="4"/>
  <c r="Q174" i="4"/>
  <c r="O174" i="4"/>
  <c r="O202" i="4"/>
  <c r="N202" i="4"/>
  <c r="M202" i="4"/>
  <c r="Q202" i="4"/>
  <c r="P11" i="4"/>
  <c r="L14" i="4"/>
  <c r="Q15" i="4"/>
  <c r="N15" i="4"/>
  <c r="Q36" i="4"/>
  <c r="P43" i="4"/>
  <c r="L46" i="4"/>
  <c r="Q47" i="4"/>
  <c r="N47" i="4"/>
  <c r="L54" i="4"/>
  <c r="N58" i="4"/>
  <c r="L59" i="4"/>
  <c r="J68" i="4"/>
  <c r="P72" i="4"/>
  <c r="L78" i="4"/>
  <c r="Q82" i="4"/>
  <c r="N82" i="4"/>
  <c r="J92" i="4"/>
  <c r="J108" i="4"/>
  <c r="P115" i="4"/>
  <c r="L118" i="4"/>
  <c r="Q119" i="4"/>
  <c r="N119" i="4"/>
  <c r="J140" i="4"/>
  <c r="L140" i="4" s="1"/>
  <c r="L147" i="4"/>
  <c r="L151" i="4"/>
  <c r="L157" i="4"/>
  <c r="L163" i="4"/>
  <c r="J166" i="4"/>
  <c r="L169" i="4"/>
  <c r="L175" i="4"/>
  <c r="O175" i="4"/>
  <c r="Q178" i="4"/>
  <c r="O178" i="4"/>
  <c r="Q179" i="4"/>
  <c r="P179" i="4"/>
  <c r="J191" i="4"/>
  <c r="L202" i="4"/>
  <c r="P202" i="4" s="1"/>
  <c r="O217" i="4"/>
  <c r="Q217" i="4"/>
  <c r="P217" i="4"/>
  <c r="N217" i="4"/>
  <c r="M217" i="4"/>
  <c r="L217" i="4"/>
  <c r="M219" i="4"/>
  <c r="Q219" i="4"/>
  <c r="O219" i="4"/>
  <c r="N219" i="4"/>
  <c r="L219" i="4"/>
  <c r="P219" i="4" s="1"/>
  <c r="O229" i="4"/>
  <c r="Q229" i="4"/>
  <c r="P229" i="4"/>
  <c r="N229" i="4"/>
  <c r="M229" i="4"/>
  <c r="O236" i="4"/>
  <c r="L236" i="4"/>
  <c r="Q236" i="4"/>
  <c r="N236" i="4"/>
  <c r="O248" i="4"/>
  <c r="N248" i="4"/>
  <c r="M248" i="4"/>
  <c r="L248" i="4"/>
  <c r="P248" i="4"/>
  <c r="Q253" i="4"/>
  <c r="P253" i="4"/>
  <c r="N253" i="4"/>
  <c r="O258" i="4"/>
  <c r="P258" i="4"/>
  <c r="N258" i="4"/>
  <c r="L258" i="4"/>
  <c r="Q258" i="4"/>
  <c r="O266" i="4"/>
  <c r="Q266" i="4"/>
  <c r="P266" i="4"/>
  <c r="N266" i="4"/>
  <c r="L266" i="4"/>
  <c r="O275" i="4"/>
  <c r="L275" i="4"/>
  <c r="O285" i="4"/>
  <c r="N285" i="4"/>
  <c r="M285" i="4"/>
  <c r="L285" i="4"/>
  <c r="P285" i="4" s="1"/>
  <c r="Q303" i="4"/>
  <c r="M303" i="4"/>
  <c r="O303" i="4"/>
  <c r="N303" i="4"/>
  <c r="L303" i="4"/>
  <c r="P303" i="4" s="1"/>
  <c r="M305" i="4"/>
  <c r="O305" i="4"/>
  <c r="N305" i="4"/>
  <c r="L305" i="4"/>
  <c r="P305" i="4"/>
  <c r="Q329" i="4"/>
  <c r="N329" i="4"/>
  <c r="P329" i="4"/>
  <c r="O382" i="4"/>
  <c r="N382" i="4"/>
  <c r="M382" i="4"/>
  <c r="Q382" i="4"/>
  <c r="M388" i="4"/>
  <c r="Q388" i="4"/>
  <c r="N388" i="4"/>
  <c r="O388" i="4"/>
  <c r="O478" i="4"/>
  <c r="N478" i="4"/>
  <c r="M478" i="4"/>
  <c r="P509" i="4"/>
  <c r="N509" i="4"/>
  <c r="Q509" i="4"/>
  <c r="N576" i="4"/>
  <c r="P576" i="4"/>
  <c r="O576" i="4"/>
  <c r="M576" i="4"/>
  <c r="L576" i="4"/>
  <c r="Q576" i="4"/>
  <c r="Q598" i="4"/>
  <c r="P598" i="4"/>
  <c r="N598" i="4"/>
  <c r="P130" i="4"/>
  <c r="M130" i="4"/>
  <c r="P169" i="4"/>
  <c r="Q169" i="4"/>
  <c r="L8" i="4"/>
  <c r="P8" i="4" s="1"/>
  <c r="Q11" i="4"/>
  <c r="M14" i="4"/>
  <c r="L21" i="4"/>
  <c r="P21" i="4" s="1"/>
  <c r="L26" i="4"/>
  <c r="L33" i="4"/>
  <c r="M34" i="4"/>
  <c r="L40" i="4"/>
  <c r="Q43" i="4"/>
  <c r="M46" i="4"/>
  <c r="N55" i="4"/>
  <c r="L58" i="4"/>
  <c r="M59" i="4"/>
  <c r="L81" i="4"/>
  <c r="O83" i="4"/>
  <c r="L83" i="4"/>
  <c r="L98" i="4"/>
  <c r="L105" i="4"/>
  <c r="M106" i="4"/>
  <c r="L112" i="4"/>
  <c r="Q115" i="4"/>
  <c r="N117" i="4"/>
  <c r="M118" i="4"/>
  <c r="L125" i="4"/>
  <c r="P125" i="4" s="1"/>
  <c r="L130" i="4"/>
  <c r="P138" i="4"/>
  <c r="M138" i="4"/>
  <c r="L149" i="4"/>
  <c r="L150" i="4"/>
  <c r="N154" i="4"/>
  <c r="O154" i="4"/>
  <c r="N157" i="4"/>
  <c r="O160" i="4"/>
  <c r="N160" i="4"/>
  <c r="N163" i="4"/>
  <c r="Q167" i="4"/>
  <c r="P167" i="4"/>
  <c r="O172" i="4"/>
  <c r="N172" i="4"/>
  <c r="N174" i="4"/>
  <c r="L179" i="4"/>
  <c r="O179" i="4"/>
  <c r="Q182" i="4"/>
  <c r="O182" i="4"/>
  <c r="Q183" i="4"/>
  <c r="P183" i="4"/>
  <c r="M193" i="4"/>
  <c r="M195" i="4"/>
  <c r="Q195" i="4"/>
  <c r="N195" i="4"/>
  <c r="Q201" i="4"/>
  <c r="P201" i="4"/>
  <c r="O201" i="4"/>
  <c r="N201" i="4"/>
  <c r="L201" i="4"/>
  <c r="M203" i="4"/>
  <c r="Q203" i="4"/>
  <c r="N203" i="4"/>
  <c r="O209" i="4"/>
  <c r="Q209" i="4"/>
  <c r="N209" i="4"/>
  <c r="L209" i="4"/>
  <c r="P209" i="4" s="1"/>
  <c r="O232" i="4"/>
  <c r="P232" i="4"/>
  <c r="N232" i="4"/>
  <c r="L232" i="4"/>
  <c r="Q232" i="4"/>
  <c r="M241" i="4"/>
  <c r="Q241" i="4"/>
  <c r="P241" i="4"/>
  <c r="O241" i="4"/>
  <c r="N241" i="4"/>
  <c r="O264" i="4"/>
  <c r="Q264" i="4"/>
  <c r="P264" i="4"/>
  <c r="N264" i="4"/>
  <c r="M264" i="4"/>
  <c r="Q279" i="4"/>
  <c r="N279" i="4"/>
  <c r="L279" i="4"/>
  <c r="O279" i="4"/>
  <c r="M283" i="4"/>
  <c r="Q283" i="4"/>
  <c r="O283" i="4"/>
  <c r="N283" i="4"/>
  <c r="L283" i="4"/>
  <c r="P283" i="4" s="1"/>
  <c r="N292" i="4"/>
  <c r="O292" i="4"/>
  <c r="M292" i="4"/>
  <c r="L292" i="4"/>
  <c r="P292" i="4" s="1"/>
  <c r="Q295" i="4"/>
  <c r="M295" i="4"/>
  <c r="O295" i="4"/>
  <c r="N295" i="4"/>
  <c r="L295" i="4"/>
  <c r="P295" i="4" s="1"/>
  <c r="O364" i="4"/>
  <c r="M364" i="4"/>
  <c r="P364" i="4"/>
  <c r="Q364" i="4"/>
  <c r="O470" i="4"/>
  <c r="N470" i="4"/>
  <c r="M470" i="4"/>
  <c r="P470" i="4"/>
  <c r="Q470" i="4"/>
  <c r="Q502" i="4"/>
  <c r="O502" i="4"/>
  <c r="N502" i="4"/>
  <c r="M502" i="4"/>
  <c r="N516" i="4"/>
  <c r="Q516" i="4"/>
  <c r="P516" i="4"/>
  <c r="L516" i="4"/>
  <c r="O516" i="4"/>
  <c r="O543" i="4"/>
  <c r="L543" i="4"/>
  <c r="M547" i="4"/>
  <c r="P547" i="4"/>
  <c r="Q547" i="4"/>
  <c r="O547" i="4"/>
  <c r="N547" i="4"/>
  <c r="Q668" i="4"/>
  <c r="P668" i="4"/>
  <c r="O668" i="4"/>
  <c r="N668" i="4"/>
  <c r="M668" i="4"/>
  <c r="Q673" i="4"/>
  <c r="O673" i="4"/>
  <c r="N673" i="4"/>
  <c r="M673" i="4"/>
  <c r="L673" i="4"/>
  <c r="P673" i="4" s="1"/>
  <c r="P137" i="4"/>
  <c r="Q151" i="4"/>
  <c r="M151" i="4"/>
  <c r="N192" i="4"/>
  <c r="Q192" i="4"/>
  <c r="O192" i="4"/>
  <c r="O246" i="4"/>
  <c r="Q246" i="4"/>
  <c r="P246" i="4"/>
  <c r="N246" i="4"/>
  <c r="L246" i="4"/>
  <c r="O270" i="4"/>
  <c r="N270" i="4"/>
  <c r="M270" i="4"/>
  <c r="L270" i="4"/>
  <c r="P270" i="4"/>
  <c r="Q317" i="4"/>
  <c r="O317" i="4"/>
  <c r="P317" i="4"/>
  <c r="N317" i="4"/>
  <c r="M317" i="4"/>
  <c r="L317" i="4"/>
  <c r="P336" i="4"/>
  <c r="Q336" i="4"/>
  <c r="O336" i="4"/>
  <c r="O454" i="4"/>
  <c r="L454" i="4"/>
  <c r="O581" i="4"/>
  <c r="Q581" i="4"/>
  <c r="N581" i="4"/>
  <c r="M581" i="4"/>
  <c r="P607" i="4"/>
  <c r="O607" i="4"/>
  <c r="M607" i="4"/>
  <c r="Q607" i="4"/>
  <c r="N607" i="4"/>
  <c r="L607" i="4"/>
  <c r="P611" i="4"/>
  <c r="O611" i="4"/>
  <c r="Q611" i="4"/>
  <c r="N611" i="4"/>
  <c r="L611" i="4"/>
  <c r="O1104" i="4"/>
  <c r="N1104" i="4"/>
  <c r="Q1104" i="4"/>
  <c r="M1104" i="4"/>
  <c r="P1132" i="4"/>
  <c r="N1132" i="4"/>
  <c r="Q1132" i="4"/>
  <c r="Q1166" i="4"/>
  <c r="N1166" i="4"/>
  <c r="M1166" i="4"/>
  <c r="L1166" i="4"/>
  <c r="P1166" i="4" s="1"/>
  <c r="O1166" i="4"/>
  <c r="M8" i="4"/>
  <c r="J12" i="4"/>
  <c r="N14" i="4"/>
  <c r="P19" i="4"/>
  <c r="L22" i="4"/>
  <c r="P22" i="4" s="1"/>
  <c r="N26" i="4"/>
  <c r="M33" i="4"/>
  <c r="M40" i="4"/>
  <c r="Q44" i="4"/>
  <c r="N46" i="4"/>
  <c r="J52" i="4"/>
  <c r="P56" i="4"/>
  <c r="N57" i="4"/>
  <c r="M58" i="4"/>
  <c r="N59" i="4"/>
  <c r="N62" i="4"/>
  <c r="O63" i="4"/>
  <c r="L63" i="4"/>
  <c r="L64" i="4"/>
  <c r="Q76" i="4"/>
  <c r="L82" i="4"/>
  <c r="N86" i="4"/>
  <c r="O87" i="4"/>
  <c r="L87" i="4"/>
  <c r="L88" i="4"/>
  <c r="J96" i="4"/>
  <c r="L96" i="4" s="1"/>
  <c r="N98" i="4"/>
  <c r="M105" i="4"/>
  <c r="M112" i="4"/>
  <c r="J116" i="4"/>
  <c r="P117" i="4"/>
  <c r="N118" i="4"/>
  <c r="P123" i="4"/>
  <c r="L126" i="4"/>
  <c r="N130" i="4"/>
  <c r="M137" i="4"/>
  <c r="Q144" i="4"/>
  <c r="O146" i="4"/>
  <c r="N147" i="4"/>
  <c r="O151" i="4"/>
  <c r="Q152" i="4"/>
  <c r="Q155" i="4"/>
  <c r="P155" i="4"/>
  <c r="M155" i="4"/>
  <c r="O157" i="4"/>
  <c r="P161" i="4"/>
  <c r="M161" i="4"/>
  <c r="Q161" i="4"/>
  <c r="O163" i="4"/>
  <c r="N166" i="4"/>
  <c r="L167" i="4"/>
  <c r="N169" i="4"/>
  <c r="P173" i="4"/>
  <c r="Q173" i="4"/>
  <c r="L174" i="4"/>
  <c r="N175" i="4"/>
  <c r="N178" i="4"/>
  <c r="L183" i="4"/>
  <c r="O183" i="4"/>
  <c r="N186" i="4"/>
  <c r="Q186" i="4"/>
  <c r="O186" i="4"/>
  <c r="Q187" i="4"/>
  <c r="P187" i="4"/>
  <c r="O187" i="4"/>
  <c r="M187" i="4"/>
  <c r="L192" i="4"/>
  <c r="P192" i="4" s="1"/>
  <c r="L196" i="4"/>
  <c r="P196" i="4" s="1"/>
  <c r="L204" i="4"/>
  <c r="O213" i="4"/>
  <c r="N213" i="4"/>
  <c r="M213" i="4"/>
  <c r="L213" i="4"/>
  <c r="P213" i="4"/>
  <c r="M222" i="4"/>
  <c r="P224" i="4"/>
  <c r="L224" i="4"/>
  <c r="Q243" i="4"/>
  <c r="M243" i="4"/>
  <c r="P243" i="4"/>
  <c r="O243" i="4"/>
  <c r="O253" i="4"/>
  <c r="Q255" i="4"/>
  <c r="M255" i="4"/>
  <c r="P255" i="4"/>
  <c r="O255" i="4"/>
  <c r="Q261" i="4"/>
  <c r="L261" i="4"/>
  <c r="P261" i="4"/>
  <c r="N261" i="4"/>
  <c r="O268" i="4"/>
  <c r="P268" i="4"/>
  <c r="N268" i="4"/>
  <c r="M268" i="4"/>
  <c r="L268" i="4"/>
  <c r="Q268" i="4"/>
  <c r="Q270" i="4"/>
  <c r="O274" i="4"/>
  <c r="Q274" i="4"/>
  <c r="P274" i="4"/>
  <c r="N274" i="4"/>
  <c r="M274" i="4"/>
  <c r="P282" i="4"/>
  <c r="Q282" i="4"/>
  <c r="O282" i="4"/>
  <c r="N282" i="4"/>
  <c r="M282" i="4"/>
  <c r="Q319" i="4"/>
  <c r="M319" i="4"/>
  <c r="P319" i="4"/>
  <c r="O319" i="4"/>
  <c r="N319" i="4"/>
  <c r="L319" i="4"/>
  <c r="M321" i="4"/>
  <c r="O321" i="4"/>
  <c r="Q321" i="4"/>
  <c r="P321" i="4"/>
  <c r="N321" i="4"/>
  <c r="L321" i="4"/>
  <c r="P371" i="4"/>
  <c r="O371" i="4"/>
  <c r="N371" i="4"/>
  <c r="M371" i="4"/>
  <c r="Q371" i="4"/>
  <c r="Q478" i="4"/>
  <c r="O193" i="4"/>
  <c r="N193" i="4"/>
  <c r="L193" i="4"/>
  <c r="P193" i="4" s="1"/>
  <c r="Q230" i="4"/>
  <c r="O230" i="4"/>
  <c r="N230" i="4"/>
  <c r="M230" i="4"/>
  <c r="O609" i="4"/>
  <c r="N609" i="4"/>
  <c r="L609" i="4"/>
  <c r="Q609" i="4"/>
  <c r="P609" i="4"/>
  <c r="O8" i="4"/>
  <c r="L9" i="4"/>
  <c r="P9" i="4" s="1"/>
  <c r="O14" i="4"/>
  <c r="M15" i="4"/>
  <c r="Q19" i="4"/>
  <c r="O26" i="4"/>
  <c r="M28" i="4"/>
  <c r="L29" i="4"/>
  <c r="P29" i="4" s="1"/>
  <c r="N33" i="4"/>
  <c r="L34" i="4"/>
  <c r="P34" i="4" s="1"/>
  <c r="L35" i="4"/>
  <c r="O40" i="4"/>
  <c r="L41" i="4"/>
  <c r="O46" i="4"/>
  <c r="M47" i="4"/>
  <c r="O58" i="4"/>
  <c r="P59" i="4"/>
  <c r="L65" i="4"/>
  <c r="N66" i="4"/>
  <c r="O67" i="4"/>
  <c r="L67" i="4"/>
  <c r="N81" i="4"/>
  <c r="L89" i="4"/>
  <c r="N90" i="4"/>
  <c r="O91" i="4"/>
  <c r="L91" i="4"/>
  <c r="O98" i="4"/>
  <c r="L101" i="4"/>
  <c r="P101" i="4" s="1"/>
  <c r="L106" i="4"/>
  <c r="P106" i="4" s="1"/>
  <c r="L107" i="4"/>
  <c r="P107" i="4" s="1"/>
  <c r="O112" i="4"/>
  <c r="L113" i="4"/>
  <c r="P113" i="4" s="1"/>
  <c r="O118" i="4"/>
  <c r="M119" i="4"/>
  <c r="Q123" i="4"/>
  <c r="O130" i="4"/>
  <c r="L133" i="4"/>
  <c r="P133" i="4" s="1"/>
  <c r="N137" i="4"/>
  <c r="L138" i="4"/>
  <c r="L139" i="4"/>
  <c r="P139" i="4" s="1"/>
  <c r="O147" i="4"/>
  <c r="P151" i="4"/>
  <c r="N158" i="4"/>
  <c r="O158" i="4"/>
  <c r="O169" i="4"/>
  <c r="M174" i="4"/>
  <c r="O176" i="4"/>
  <c r="N176" i="4"/>
  <c r="M176" i="4"/>
  <c r="P177" i="4"/>
  <c r="Q177" i="4"/>
  <c r="L178" i="4"/>
  <c r="N179" i="4"/>
  <c r="N182" i="4"/>
  <c r="L191" i="4"/>
  <c r="M192" i="4"/>
  <c r="N200" i="4"/>
  <c r="M200" i="4"/>
  <c r="L200" i="4"/>
  <c r="P200" i="4" s="1"/>
  <c r="Q200" i="4"/>
  <c r="O200" i="4"/>
  <c r="M201" i="4"/>
  <c r="N208" i="4"/>
  <c r="M208" i="4"/>
  <c r="L208" i="4"/>
  <c r="P208" i="4" s="1"/>
  <c r="Q208" i="4"/>
  <c r="O208" i="4"/>
  <c r="M209" i="4"/>
  <c r="M211" i="4"/>
  <c r="Q211" i="4"/>
  <c r="O211" i="4"/>
  <c r="N211" i="4"/>
  <c r="N220" i="4"/>
  <c r="O220" i="4"/>
  <c r="M220" i="4"/>
  <c r="L220" i="4"/>
  <c r="P220" i="4" s="1"/>
  <c r="Q223" i="4"/>
  <c r="M223" i="4"/>
  <c r="P223" i="4"/>
  <c r="O223" i="4"/>
  <c r="N223" i="4"/>
  <c r="L229" i="4"/>
  <c r="M245" i="4"/>
  <c r="Q245" i="4"/>
  <c r="P245" i="4"/>
  <c r="O245" i="4"/>
  <c r="Q248" i="4"/>
  <c r="L253" i="4"/>
  <c r="Q259" i="4"/>
  <c r="M259" i="4"/>
  <c r="O259" i="4"/>
  <c r="N259" i="4"/>
  <c r="L259" i="4"/>
  <c r="P259" i="4"/>
  <c r="Q271" i="4"/>
  <c r="P271" i="4"/>
  <c r="N271" i="4"/>
  <c r="Q285" i="4"/>
  <c r="Q290" i="4"/>
  <c r="O290" i="4"/>
  <c r="N290" i="4"/>
  <c r="M290" i="4"/>
  <c r="N304" i="4"/>
  <c r="O304" i="4"/>
  <c r="M304" i="4"/>
  <c r="L304" i="4"/>
  <c r="P304" i="4" s="1"/>
  <c r="Q304" i="4"/>
  <c r="Q305" i="4"/>
  <c r="O307" i="4"/>
  <c r="M307" i="4"/>
  <c r="Q307" i="4"/>
  <c r="N307" i="4"/>
  <c r="M313" i="4"/>
  <c r="O313" i="4"/>
  <c r="Q313" i="4"/>
  <c r="P313" i="4"/>
  <c r="N313" i="4"/>
  <c r="P344" i="4"/>
  <c r="Q344" i="4"/>
  <c r="O344" i="4"/>
  <c r="M344" i="4"/>
  <c r="M361" i="4"/>
  <c r="Q361" i="4"/>
  <c r="P361" i="4"/>
  <c r="O361" i="4"/>
  <c r="N446" i="4"/>
  <c r="L446" i="4"/>
  <c r="O462" i="4"/>
  <c r="N462" i="4"/>
  <c r="M462" i="4"/>
  <c r="Q462" i="4"/>
  <c r="M468" i="4"/>
  <c r="Q468" i="4"/>
  <c r="N468" i="4"/>
  <c r="O468" i="4"/>
  <c r="O501" i="4"/>
  <c r="Q501" i="4"/>
  <c r="P501" i="4"/>
  <c r="N501" i="4"/>
  <c r="M501" i="4"/>
  <c r="L501" i="4"/>
  <c r="O79" i="4"/>
  <c r="L79" i="4"/>
  <c r="P105" i="4"/>
  <c r="Q107" i="4"/>
  <c r="Q139" i="4"/>
  <c r="N150" i="4"/>
  <c r="O150" i="4"/>
  <c r="O234" i="4"/>
  <c r="N234" i="4"/>
  <c r="L234" i="4"/>
  <c r="P234" i="4"/>
  <c r="M9" i="4"/>
  <c r="P14" i="4"/>
  <c r="O15" i="4"/>
  <c r="Q26" i="4"/>
  <c r="N28" i="4"/>
  <c r="L30" i="4"/>
  <c r="P30" i="4" s="1"/>
  <c r="O33" i="4"/>
  <c r="N34" i="4"/>
  <c r="N35" i="4"/>
  <c r="P40" i="4"/>
  <c r="M41" i="4"/>
  <c r="P46" i="4"/>
  <c r="O47" i="4"/>
  <c r="Q50" i="4"/>
  <c r="N50" i="4"/>
  <c r="P58" i="4"/>
  <c r="Q59" i="4"/>
  <c r="O64" i="4"/>
  <c r="L66" i="4"/>
  <c r="N70" i="4"/>
  <c r="L71" i="4"/>
  <c r="O81" i="4"/>
  <c r="O88" i="4"/>
  <c r="L90" i="4"/>
  <c r="Q94" i="4"/>
  <c r="N94" i="4"/>
  <c r="Q98" i="4"/>
  <c r="L102" i="4"/>
  <c r="P102" i="4" s="1"/>
  <c r="O105" i="4"/>
  <c r="N106" i="4"/>
  <c r="N107" i="4"/>
  <c r="P112" i="4"/>
  <c r="M113" i="4"/>
  <c r="P118" i="4"/>
  <c r="O119" i="4"/>
  <c r="J124" i="4"/>
  <c r="Q130" i="4"/>
  <c r="L134" i="4"/>
  <c r="O137" i="4"/>
  <c r="N138" i="4"/>
  <c r="N139" i="4"/>
  <c r="P147" i="4"/>
  <c r="Q150" i="4"/>
  <c r="L154" i="4"/>
  <c r="N155" i="4"/>
  <c r="Q159" i="4"/>
  <c r="P159" i="4"/>
  <c r="L160" i="4"/>
  <c r="N161" i="4"/>
  <c r="P165" i="4"/>
  <c r="M165" i="4"/>
  <c r="Q165" i="4"/>
  <c r="N167" i="4"/>
  <c r="N170" i="4"/>
  <c r="O170" i="4"/>
  <c r="L172" i="4"/>
  <c r="P174" i="4"/>
  <c r="L177" i="4"/>
  <c r="M178" i="4"/>
  <c r="O180" i="4"/>
  <c r="N180" i="4"/>
  <c r="M180" i="4"/>
  <c r="P181" i="4"/>
  <c r="Q181" i="4"/>
  <c r="L182" i="4"/>
  <c r="N183" i="4"/>
  <c r="N187" i="4"/>
  <c r="L195" i="4"/>
  <c r="P195" i="4" s="1"/>
  <c r="L203" i="4"/>
  <c r="P203" i="4" s="1"/>
  <c r="P210" i="4"/>
  <c r="Q210" i="4"/>
  <c r="O210" i="4"/>
  <c r="N210" i="4"/>
  <c r="M210" i="4"/>
  <c r="L211" i="4"/>
  <c r="P211" i="4" s="1"/>
  <c r="M233" i="4"/>
  <c r="Q233" i="4"/>
  <c r="O233" i="4"/>
  <c r="N233" i="4"/>
  <c r="L233" i="4"/>
  <c r="P233" i="4"/>
  <c r="Q235" i="4"/>
  <c r="M235" i="4"/>
  <c r="O235" i="4"/>
  <c r="P236" i="4"/>
  <c r="L241" i="4"/>
  <c r="N243" i="4"/>
  <c r="L243" i="4"/>
  <c r="N245" i="4"/>
  <c r="Q249" i="4"/>
  <c r="P249" i="4"/>
  <c r="N249" i="4"/>
  <c r="L264" i="4"/>
  <c r="M269" i="4"/>
  <c r="Q269" i="4"/>
  <c r="O269" i="4"/>
  <c r="N269" i="4"/>
  <c r="L269" i="4"/>
  <c r="P269" i="4"/>
  <c r="O276" i="4"/>
  <c r="Q276" i="4"/>
  <c r="P276" i="4"/>
  <c r="N276" i="4"/>
  <c r="L276" i="4"/>
  <c r="Q294" i="4"/>
  <c r="O294" i="4"/>
  <c r="N294" i="4"/>
  <c r="M297" i="4"/>
  <c r="O297" i="4"/>
  <c r="Q297" i="4"/>
  <c r="P297" i="4"/>
  <c r="N297" i="4"/>
  <c r="L297" i="4"/>
  <c r="O368" i="4"/>
  <c r="N368" i="4"/>
  <c r="P368" i="4"/>
  <c r="Q368" i="4"/>
  <c r="N385" i="4"/>
  <c r="M385" i="4"/>
  <c r="L385" i="4"/>
  <c r="O385" i="4"/>
  <c r="Q385" i="4"/>
  <c r="P385" i="4"/>
  <c r="P442" i="4"/>
  <c r="O442" i="4"/>
  <c r="M442" i="4"/>
  <c r="Q442" i="4"/>
  <c r="N548" i="4"/>
  <c r="P548" i="4"/>
  <c r="O548" i="4"/>
  <c r="L548" i="4"/>
  <c r="Q548" i="4"/>
  <c r="L13" i="4"/>
  <c r="P13" i="4" s="1"/>
  <c r="P149" i="4"/>
  <c r="Q149" i="4"/>
  <c r="O184" i="4"/>
  <c r="P226" i="4"/>
  <c r="N226" i="4"/>
  <c r="M226" i="4"/>
  <c r="O226" i="4"/>
  <c r="P334" i="4"/>
  <c r="O334" i="4"/>
  <c r="Q334" i="4"/>
  <c r="M334" i="4"/>
  <c r="O356" i="4"/>
  <c r="N356" i="4"/>
  <c r="P356" i="4"/>
  <c r="Q356" i="4"/>
  <c r="N465" i="4"/>
  <c r="M465" i="4"/>
  <c r="L465" i="4"/>
  <c r="P465" i="4" s="1"/>
  <c r="O465" i="4"/>
  <c r="Q465" i="4"/>
  <c r="O586" i="4"/>
  <c r="L586" i="4"/>
  <c r="O613" i="4"/>
  <c r="L613" i="4"/>
  <c r="Q613" i="4"/>
  <c r="P613" i="4"/>
  <c r="M613" i="4"/>
  <c r="P1109" i="4"/>
  <c r="N1109" i="4"/>
  <c r="L1109" i="4"/>
  <c r="M1109" i="4"/>
  <c r="Q1109" i="4"/>
  <c r="O1109" i="4"/>
  <c r="Q8" i="4"/>
  <c r="N9" i="4"/>
  <c r="P15" i="4"/>
  <c r="J20" i="4"/>
  <c r="L20" i="4" s="1"/>
  <c r="J27" i="4"/>
  <c r="P28" i="4"/>
  <c r="Q33" i="4"/>
  <c r="O34" i="4"/>
  <c r="O35" i="4"/>
  <c r="M36" i="4"/>
  <c r="L37" i="4"/>
  <c r="P37" i="4" s="1"/>
  <c r="Q40" i="4"/>
  <c r="N41" i="4"/>
  <c r="P47" i="4"/>
  <c r="L51" i="4"/>
  <c r="J60" i="4"/>
  <c r="P64" i="4"/>
  <c r="N65" i="4"/>
  <c r="L70" i="4"/>
  <c r="Q81" i="4"/>
  <c r="P82" i="4"/>
  <c r="P88" i="4"/>
  <c r="N89" i="4"/>
  <c r="L93" i="4"/>
  <c r="L95" i="4"/>
  <c r="J99" i="4"/>
  <c r="Q105" i="4"/>
  <c r="O106" i="4"/>
  <c r="O107" i="4"/>
  <c r="L109" i="4"/>
  <c r="P109" i="4" s="1"/>
  <c r="Q112" i="4"/>
  <c r="N113" i="4"/>
  <c r="P119" i="4"/>
  <c r="J131" i="4"/>
  <c r="Q137" i="4"/>
  <c r="O138" i="4"/>
  <c r="O139" i="4"/>
  <c r="N142" i="4"/>
  <c r="J148" i="4"/>
  <c r="P153" i="4"/>
  <c r="M153" i="4"/>
  <c r="Q153" i="4"/>
  <c r="O155" i="4"/>
  <c r="L159" i="4"/>
  <c r="M160" i="4"/>
  <c r="O161" i="4"/>
  <c r="O164" i="4"/>
  <c r="L165" i="4"/>
  <c r="O167" i="4"/>
  <c r="Q171" i="4"/>
  <c r="P171" i="4"/>
  <c r="M171" i="4"/>
  <c r="M172" i="4"/>
  <c r="N173" i="4"/>
  <c r="P178" i="4"/>
  <c r="L181" i="4"/>
  <c r="M182" i="4"/>
  <c r="J184" i="4"/>
  <c r="J188" i="4"/>
  <c r="O189" i="4"/>
  <c r="P189" i="4"/>
  <c r="Q190" i="4"/>
  <c r="P190" i="4"/>
  <c r="O190" i="4"/>
  <c r="M190" i="4"/>
  <c r="O195" i="4"/>
  <c r="O197" i="4"/>
  <c r="N197" i="4"/>
  <c r="M197" i="4"/>
  <c r="P197" i="4"/>
  <c r="O203" i="4"/>
  <c r="O205" i="4"/>
  <c r="N205" i="4"/>
  <c r="M205" i="4"/>
  <c r="P205" i="4"/>
  <c r="P218" i="4"/>
  <c r="Q218" i="4"/>
  <c r="O218" i="4"/>
  <c r="N218" i="4"/>
  <c r="M218" i="4"/>
  <c r="O225" i="4"/>
  <c r="P225" i="4"/>
  <c r="N225" i="4"/>
  <c r="M225" i="4"/>
  <c r="L225" i="4"/>
  <c r="Q225" i="4"/>
  <c r="O242" i="4"/>
  <c r="Q242" i="4"/>
  <c r="P242" i="4"/>
  <c r="N242" i="4"/>
  <c r="O244" i="4"/>
  <c r="Q244" i="4"/>
  <c r="P244" i="4"/>
  <c r="N244" i="4"/>
  <c r="L244" i="4"/>
  <c r="O252" i="4"/>
  <c r="Q252" i="4"/>
  <c r="P252" i="4"/>
  <c r="N252" i="4"/>
  <c r="L252" i="4"/>
  <c r="O254" i="4"/>
  <c r="Q254" i="4"/>
  <c r="P254" i="4"/>
  <c r="N254" i="4"/>
  <c r="M254" i="4"/>
  <c r="L254" i="4"/>
  <c r="M265" i="4"/>
  <c r="Q265" i="4"/>
  <c r="P265" i="4"/>
  <c r="O265" i="4"/>
  <c r="L271" i="4"/>
  <c r="P279" i="4"/>
  <c r="P287" i="4"/>
  <c r="Q292" i="4"/>
  <c r="N302" i="4"/>
  <c r="Q302" i="4"/>
  <c r="O302" i="4"/>
  <c r="M302" i="4"/>
  <c r="L307" i="4"/>
  <c r="P307" i="4" s="1"/>
  <c r="Q309" i="4"/>
  <c r="O309" i="4"/>
  <c r="L309" i="4"/>
  <c r="P309" i="4" s="1"/>
  <c r="M309" i="4"/>
  <c r="N318" i="4"/>
  <c r="Q318" i="4"/>
  <c r="O318" i="4"/>
  <c r="M318" i="4"/>
  <c r="N359" i="4"/>
  <c r="L359" i="4"/>
  <c r="O406" i="4"/>
  <c r="N406" i="4"/>
  <c r="M406" i="4"/>
  <c r="P406" i="4"/>
  <c r="O458" i="4"/>
  <c r="L458" i="4"/>
  <c r="Q490" i="4"/>
  <c r="P490" i="4"/>
  <c r="O490" i="4"/>
  <c r="N490" i="4"/>
  <c r="M490" i="4"/>
  <c r="N528" i="4"/>
  <c r="P528" i="4"/>
  <c r="O528" i="4"/>
  <c r="L528" i="4"/>
  <c r="Q528" i="4"/>
  <c r="Q540" i="4"/>
  <c r="P540" i="4"/>
  <c r="O540" i="4"/>
  <c r="M540" i="4"/>
  <c r="L540" i="4"/>
  <c r="Q566" i="4"/>
  <c r="M566" i="4"/>
  <c r="O566" i="4"/>
  <c r="N566" i="4"/>
  <c r="M198" i="4"/>
  <c r="M206" i="4"/>
  <c r="N214" i="4"/>
  <c r="L215" i="4"/>
  <c r="P215" i="4" s="1"/>
  <c r="M221" i="4"/>
  <c r="L222" i="4"/>
  <c r="N227" i="4"/>
  <c r="N237" i="4"/>
  <c r="L239" i="4"/>
  <c r="P247" i="4"/>
  <c r="L251" i="4"/>
  <c r="M262" i="4"/>
  <c r="L263" i="4"/>
  <c r="M272" i="4"/>
  <c r="L273" i="4"/>
  <c r="L281" i="4"/>
  <c r="P281" i="4" s="1"/>
  <c r="N286" i="4"/>
  <c r="L287" i="4"/>
  <c r="M293" i="4"/>
  <c r="L294" i="4"/>
  <c r="P294" i="4" s="1"/>
  <c r="O306" i="4"/>
  <c r="M310" i="4"/>
  <c r="L311" i="4"/>
  <c r="P311" i="4" s="1"/>
  <c r="L314" i="4"/>
  <c r="J322" i="4"/>
  <c r="J323" i="4"/>
  <c r="O323" i="4" s="1"/>
  <c r="L325" i="4"/>
  <c r="P330" i="4"/>
  <c r="O332" i="4"/>
  <c r="N336" i="4"/>
  <c r="O337" i="4"/>
  <c r="J339" i="4"/>
  <c r="N340" i="4"/>
  <c r="P340" i="4"/>
  <c r="M341" i="4"/>
  <c r="L345" i="4"/>
  <c r="N346" i="4"/>
  <c r="O350" i="4"/>
  <c r="L350" i="4"/>
  <c r="Q367" i="4"/>
  <c r="P367" i="4"/>
  <c r="N367" i="4"/>
  <c r="L368" i="4"/>
  <c r="P379" i="4"/>
  <c r="O379" i="4"/>
  <c r="N379" i="4"/>
  <c r="M379" i="4"/>
  <c r="Q379" i="4"/>
  <c r="J393" i="4"/>
  <c r="L394" i="4"/>
  <c r="P394" i="4" s="1"/>
  <c r="J396" i="4"/>
  <c r="L396" i="4" s="1"/>
  <c r="O398" i="4"/>
  <c r="N398" i="4"/>
  <c r="M398" i="4"/>
  <c r="P398" i="4"/>
  <c r="L406" i="4"/>
  <c r="Q408" i="4"/>
  <c r="P408" i="4"/>
  <c r="O408" i="4"/>
  <c r="N408" i="4"/>
  <c r="M408" i="4"/>
  <c r="J415" i="4"/>
  <c r="J419" i="4"/>
  <c r="J423" i="4"/>
  <c r="P446" i="4"/>
  <c r="O446" i="4"/>
  <c r="M446" i="4"/>
  <c r="Q446" i="4"/>
  <c r="O450" i="4"/>
  <c r="L450" i="4"/>
  <c r="P454" i="4"/>
  <c r="N454" i="4"/>
  <c r="Q454" i="4"/>
  <c r="P458" i="4"/>
  <c r="N458" i="4"/>
  <c r="Q458" i="4"/>
  <c r="J473" i="4"/>
  <c r="L474" i="4"/>
  <c r="J476" i="4"/>
  <c r="L478" i="4"/>
  <c r="P478" i="4" s="1"/>
  <c r="Q480" i="4"/>
  <c r="P480" i="4"/>
  <c r="O480" i="4"/>
  <c r="N480" i="4"/>
  <c r="M480" i="4"/>
  <c r="L487" i="4"/>
  <c r="Q487" i="4"/>
  <c r="P487" i="4"/>
  <c r="M487" i="4"/>
  <c r="P499" i="4"/>
  <c r="O499" i="4"/>
  <c r="N499" i="4"/>
  <c r="M499" i="4"/>
  <c r="Q499" i="4"/>
  <c r="N504" i="4"/>
  <c r="L504" i="4"/>
  <c r="Q504" i="4"/>
  <c r="M504" i="4"/>
  <c r="Q508" i="4"/>
  <c r="P508" i="4"/>
  <c r="O508" i="4"/>
  <c r="M508" i="4"/>
  <c r="J530" i="4"/>
  <c r="O534" i="4"/>
  <c r="N534" i="4"/>
  <c r="M534" i="4"/>
  <c r="L534" i="4"/>
  <c r="P534" i="4"/>
  <c r="L541" i="4"/>
  <c r="O541" i="4"/>
  <c r="P543" i="4"/>
  <c r="Q543" i="4"/>
  <c r="N543" i="4"/>
  <c r="N560" i="4"/>
  <c r="Q560" i="4"/>
  <c r="L560" i="4"/>
  <c r="P560" i="4" s="1"/>
  <c r="M570" i="4"/>
  <c r="N570" i="4"/>
  <c r="O570" i="4"/>
  <c r="Q593" i="4"/>
  <c r="P593" i="4"/>
  <c r="N593" i="4"/>
  <c r="M593" i="4"/>
  <c r="O593" i="4"/>
  <c r="L593" i="4"/>
  <c r="N605" i="4"/>
  <c r="L605" i="4"/>
  <c r="Q605" i="4"/>
  <c r="M648" i="4"/>
  <c r="L648" i="4"/>
  <c r="P648" i="4" s="1"/>
  <c r="Q648" i="4"/>
  <c r="N648" i="4"/>
  <c r="O648" i="4"/>
  <c r="L694" i="4"/>
  <c r="Q694" i="4"/>
  <c r="P694" i="4"/>
  <c r="O694" i="4"/>
  <c r="N694" i="4"/>
  <c r="O198" i="4"/>
  <c r="O206" i="4"/>
  <c r="O215" i="4"/>
  <c r="P221" i="4"/>
  <c r="L230" i="4"/>
  <c r="P230" i="4" s="1"/>
  <c r="Q231" i="4"/>
  <c r="M231" i="4"/>
  <c r="P238" i="4"/>
  <c r="O239" i="4"/>
  <c r="P250" i="4"/>
  <c r="O251" i="4"/>
  <c r="M257" i="4"/>
  <c r="Q257" i="4"/>
  <c r="P262" i="4"/>
  <c r="N263" i="4"/>
  <c r="P272" i="4"/>
  <c r="N273" i="4"/>
  <c r="M277" i="4"/>
  <c r="Q277" i="4"/>
  <c r="N280" i="4"/>
  <c r="Q280" i="4"/>
  <c r="N281" i="4"/>
  <c r="O287" i="4"/>
  <c r="O299" i="4"/>
  <c r="M299" i="4"/>
  <c r="Q299" i="4"/>
  <c r="Q301" i="4"/>
  <c r="O301" i="4"/>
  <c r="J308" i="4"/>
  <c r="O311" i="4"/>
  <c r="N314" i="4"/>
  <c r="L318" i="4"/>
  <c r="P318" i="4" s="1"/>
  <c r="N324" i="4"/>
  <c r="L324" i="4"/>
  <c r="O325" i="4"/>
  <c r="O326" i="4"/>
  <c r="Q333" i="4"/>
  <c r="N333" i="4"/>
  <c r="L334" i="4"/>
  <c r="N339" i="4"/>
  <c r="N344" i="4"/>
  <c r="O345" i="4"/>
  <c r="J347" i="4"/>
  <c r="L349" i="4"/>
  <c r="N349" i="4"/>
  <c r="J355" i="4"/>
  <c r="L356" i="4"/>
  <c r="Q370" i="4"/>
  <c r="P370" i="4"/>
  <c r="L371" i="4"/>
  <c r="N375" i="4"/>
  <c r="J377" i="4"/>
  <c r="J380" i="4"/>
  <c r="M386" i="4"/>
  <c r="L390" i="4"/>
  <c r="P390" i="4" s="1"/>
  <c r="Q392" i="4"/>
  <c r="P392" i="4"/>
  <c r="O392" i="4"/>
  <c r="N392" i="4"/>
  <c r="M392" i="4"/>
  <c r="L407" i="4"/>
  <c r="Q407" i="4"/>
  <c r="P407" i="4"/>
  <c r="M407" i="4"/>
  <c r="O412" i="4"/>
  <c r="P438" i="4"/>
  <c r="N438" i="4"/>
  <c r="Q438" i="4"/>
  <c r="N442" i="4"/>
  <c r="L442" i="4"/>
  <c r="J447" i="4"/>
  <c r="J451" i="4"/>
  <c r="M466" i="4"/>
  <c r="L470" i="4"/>
  <c r="Q472" i="4"/>
  <c r="P472" i="4"/>
  <c r="O472" i="4"/>
  <c r="N472" i="4"/>
  <c r="M472" i="4"/>
  <c r="L479" i="4"/>
  <c r="P479" i="4" s="1"/>
  <c r="Q479" i="4"/>
  <c r="M479" i="4"/>
  <c r="O484" i="4"/>
  <c r="P491" i="4"/>
  <c r="O491" i="4"/>
  <c r="N491" i="4"/>
  <c r="M491" i="4"/>
  <c r="Q491" i="4"/>
  <c r="N495" i="4"/>
  <c r="J497" i="4"/>
  <c r="J500" i="4"/>
  <c r="L502" i="4"/>
  <c r="P502" i="4" s="1"/>
  <c r="P507" i="4"/>
  <c r="Q507" i="4"/>
  <c r="N507" i="4"/>
  <c r="Q521" i="4"/>
  <c r="P521" i="4"/>
  <c r="O521" i="4"/>
  <c r="Q524" i="4"/>
  <c r="P524" i="4"/>
  <c r="O524" i="4"/>
  <c r="M524" i="4"/>
  <c r="L524" i="4"/>
  <c r="Q549" i="4"/>
  <c r="O549" i="4"/>
  <c r="N549" i="4"/>
  <c r="P549" i="4"/>
  <c r="O557" i="4"/>
  <c r="N557" i="4"/>
  <c r="M557" i="4"/>
  <c r="Q557" i="4"/>
  <c r="N559" i="4"/>
  <c r="Q559" i="4"/>
  <c r="L559" i="4"/>
  <c r="M559" i="4"/>
  <c r="O573" i="4"/>
  <c r="Q573" i="4"/>
  <c r="P573" i="4"/>
  <c r="O577" i="4"/>
  <c r="L581" i="4"/>
  <c r="P581" i="4" s="1"/>
  <c r="O583" i="4"/>
  <c r="N583" i="4"/>
  <c r="Q583" i="4"/>
  <c r="P583" i="4"/>
  <c r="M583" i="4"/>
  <c r="L583" i="4"/>
  <c r="P615" i="4"/>
  <c r="O615" i="4"/>
  <c r="M615" i="4"/>
  <c r="Q615" i="4"/>
  <c r="N615" i="4"/>
  <c r="L615" i="4"/>
  <c r="P619" i="4"/>
  <c r="O619" i="4"/>
  <c r="N619" i="4"/>
  <c r="L619" i="4"/>
  <c r="Q619" i="4"/>
  <c r="M630" i="4"/>
  <c r="Q630" i="4"/>
  <c r="O630" i="4"/>
  <c r="P630" i="4"/>
  <c r="N645" i="4"/>
  <c r="M645" i="4"/>
  <c r="Q645" i="4"/>
  <c r="O645" i="4"/>
  <c r="M689" i="4"/>
  <c r="Q689" i="4"/>
  <c r="O689" i="4"/>
  <c r="P689" i="4"/>
  <c r="P692" i="4"/>
  <c r="N692" i="4"/>
  <c r="L692" i="4"/>
  <c r="Q692" i="4"/>
  <c r="N738" i="4"/>
  <c r="Q738" i="4"/>
  <c r="O738" i="4"/>
  <c r="M738" i="4"/>
  <c r="Q743" i="4"/>
  <c r="O743" i="4"/>
  <c r="N743" i="4"/>
  <c r="M743" i="4"/>
  <c r="P795" i="4"/>
  <c r="Q795" i="4"/>
  <c r="O795" i="4"/>
  <c r="N795" i="4"/>
  <c r="M795" i="4"/>
  <c r="P803" i="4"/>
  <c r="Q803" i="4"/>
  <c r="O803" i="4"/>
  <c r="N803" i="4"/>
  <c r="M803" i="4"/>
  <c r="P198" i="4"/>
  <c r="P206" i="4"/>
  <c r="L218" i="4"/>
  <c r="Q221" i="4"/>
  <c r="M224" i="4"/>
  <c r="J228" i="4"/>
  <c r="L228" i="4" s="1"/>
  <c r="Q238" i="4"/>
  <c r="L245" i="4"/>
  <c r="Q250" i="4"/>
  <c r="L255" i="4"/>
  <c r="Q262" i="4"/>
  <c r="O263" i="4"/>
  <c r="Q272" i="4"/>
  <c r="O273" i="4"/>
  <c r="L290" i="4"/>
  <c r="P290" i="4" s="1"/>
  <c r="Q293" i="4"/>
  <c r="M296" i="4"/>
  <c r="L322" i="4"/>
  <c r="P325" i="4"/>
  <c r="Q326" i="4"/>
  <c r="L329" i="4"/>
  <c r="O335" i="4"/>
  <c r="P338" i="4"/>
  <c r="O338" i="4"/>
  <c r="N343" i="4"/>
  <c r="M352" i="4"/>
  <c r="P352" i="4"/>
  <c r="Q358" i="4"/>
  <c r="P358" i="4"/>
  <c r="L361" i="4"/>
  <c r="Q363" i="4"/>
  <c r="P363" i="4"/>
  <c r="N363" i="4"/>
  <c r="N364" i="4"/>
  <c r="Q369" i="4"/>
  <c r="N369" i="4"/>
  <c r="M372" i="4"/>
  <c r="Q372" i="4"/>
  <c r="N372" i="4"/>
  <c r="O374" i="4"/>
  <c r="N374" i="4"/>
  <c r="M374" i="4"/>
  <c r="P374" i="4"/>
  <c r="L382" i="4"/>
  <c r="P382" i="4" s="1"/>
  <c r="Q384" i="4"/>
  <c r="P384" i="4"/>
  <c r="O384" i="4"/>
  <c r="N384" i="4"/>
  <c r="M384" i="4"/>
  <c r="L399" i="4"/>
  <c r="Q399" i="4"/>
  <c r="P399" i="4"/>
  <c r="M399" i="4"/>
  <c r="Q410" i="4"/>
  <c r="P410" i="4"/>
  <c r="O410" i="4"/>
  <c r="P434" i="4"/>
  <c r="O434" i="4"/>
  <c r="M434" i="4"/>
  <c r="Q434" i="4"/>
  <c r="O438" i="4"/>
  <c r="L438" i="4"/>
  <c r="N443" i="4"/>
  <c r="M443" i="4"/>
  <c r="L443" i="4"/>
  <c r="O443" i="4"/>
  <c r="N455" i="4"/>
  <c r="L455" i="4"/>
  <c r="O455" i="4"/>
  <c r="N459" i="4"/>
  <c r="L459" i="4"/>
  <c r="O459" i="4"/>
  <c r="L462" i="4"/>
  <c r="P462" i="4" s="1"/>
  <c r="Q464" i="4"/>
  <c r="P464" i="4"/>
  <c r="O464" i="4"/>
  <c r="N464" i="4"/>
  <c r="M464" i="4"/>
  <c r="L476" i="4"/>
  <c r="Q482" i="4"/>
  <c r="P482" i="4"/>
  <c r="O482" i="4"/>
  <c r="Q493" i="4"/>
  <c r="P493" i="4"/>
  <c r="O493" i="4"/>
  <c r="N493" i="4"/>
  <c r="O494" i="4"/>
  <c r="N494" i="4"/>
  <c r="M494" i="4"/>
  <c r="P494" i="4"/>
  <c r="N524" i="4"/>
  <c r="Q533" i="4"/>
  <c r="N533" i="4"/>
  <c r="Q534" i="4"/>
  <c r="Q545" i="4"/>
  <c r="P545" i="4"/>
  <c r="O545" i="4"/>
  <c r="N545" i="4"/>
  <c r="M545" i="4"/>
  <c r="P551" i="4"/>
  <c r="N551" i="4"/>
  <c r="L551" i="4"/>
  <c r="O551" i="4"/>
  <c r="M554" i="4"/>
  <c r="P554" i="4"/>
  <c r="Q554" i="4"/>
  <c r="O554" i="4"/>
  <c r="N554" i="4"/>
  <c r="L570" i="4"/>
  <c r="P570" i="4" s="1"/>
  <c r="P582" i="4"/>
  <c r="N613" i="4"/>
  <c r="L653" i="4"/>
  <c r="P653" i="4" s="1"/>
  <c r="L686" i="4"/>
  <c r="Q686" i="4"/>
  <c r="P686" i="4"/>
  <c r="O686" i="4"/>
  <c r="N686" i="4"/>
  <c r="M771" i="4"/>
  <c r="Q771" i="4"/>
  <c r="O771" i="4"/>
  <c r="N771" i="4"/>
  <c r="L771" i="4"/>
  <c r="P771" i="4" s="1"/>
  <c r="P807" i="4"/>
  <c r="Q807" i="4"/>
  <c r="O807" i="4"/>
  <c r="N807" i="4"/>
  <c r="M807" i="4"/>
  <c r="M825" i="4"/>
  <c r="Q825" i="4"/>
  <c r="N825" i="4"/>
  <c r="O825" i="4"/>
  <c r="J216" i="4"/>
  <c r="L247" i="4"/>
  <c r="P263" i="4"/>
  <c r="P273" i="4"/>
  <c r="Q281" i="4"/>
  <c r="J288" i="4"/>
  <c r="O296" i="4"/>
  <c r="L301" i="4"/>
  <c r="L302" i="4"/>
  <c r="P302" i="4" s="1"/>
  <c r="J312" i="4"/>
  <c r="Q325" i="4"/>
  <c r="J327" i="4"/>
  <c r="Q330" i="4"/>
  <c r="L333" i="4"/>
  <c r="N334" i="4"/>
  <c r="Q337" i="4"/>
  <c r="N337" i="4"/>
  <c r="L338" i="4"/>
  <c r="Q340" i="4"/>
  <c r="P342" i="4"/>
  <c r="L343" i="4"/>
  <c r="N348" i="4"/>
  <c r="O349" i="4"/>
  <c r="J351" i="4"/>
  <c r="N352" i="4"/>
  <c r="N355" i="4"/>
  <c r="O358" i="4"/>
  <c r="Q366" i="4"/>
  <c r="P366" i="4"/>
  <c r="O366" i="4"/>
  <c r="L374" i="4"/>
  <c r="Q376" i="4"/>
  <c r="P376" i="4"/>
  <c r="O376" i="4"/>
  <c r="N376" i="4"/>
  <c r="M376" i="4"/>
  <c r="L388" i="4"/>
  <c r="P388" i="4" s="1"/>
  <c r="L391" i="4"/>
  <c r="P391" i="4" s="1"/>
  <c r="Q391" i="4"/>
  <c r="M391" i="4"/>
  <c r="P411" i="4"/>
  <c r="O411" i="4"/>
  <c r="N411" i="4"/>
  <c r="M411" i="4"/>
  <c r="Q411" i="4"/>
  <c r="P430" i="4"/>
  <c r="N430" i="4"/>
  <c r="Q430" i="4"/>
  <c r="N434" i="4"/>
  <c r="L434" i="4"/>
  <c r="L468" i="4"/>
  <c r="P468" i="4" s="1"/>
  <c r="L471" i="4"/>
  <c r="P471" i="4" s="1"/>
  <c r="Q471" i="4"/>
  <c r="M471" i="4"/>
  <c r="P483" i="4"/>
  <c r="O483" i="4"/>
  <c r="N483" i="4"/>
  <c r="M483" i="4"/>
  <c r="Q483" i="4"/>
  <c r="N487" i="4"/>
  <c r="J489" i="4"/>
  <c r="L490" i="4"/>
  <c r="J492" i="4"/>
  <c r="L494" i="4"/>
  <c r="Q496" i="4"/>
  <c r="P496" i="4"/>
  <c r="O496" i="4"/>
  <c r="N496" i="4"/>
  <c r="M496" i="4"/>
  <c r="Q503" i="4"/>
  <c r="N503" i="4"/>
  <c r="M503" i="4"/>
  <c r="L503" i="4"/>
  <c r="O503" i="4"/>
  <c r="O504" i="4"/>
  <c r="L507" i="4"/>
  <c r="P511" i="4"/>
  <c r="N511" i="4"/>
  <c r="M515" i="4"/>
  <c r="P515" i="4"/>
  <c r="Q515" i="4"/>
  <c r="L521" i="4"/>
  <c r="N521" i="4"/>
  <c r="P523" i="4"/>
  <c r="Q523" i="4"/>
  <c r="N523" i="4"/>
  <c r="L547" i="4"/>
  <c r="M560" i="4"/>
  <c r="Q570" i="4"/>
  <c r="M578" i="4"/>
  <c r="P578" i="4"/>
  <c r="Q578" i="4"/>
  <c r="Q585" i="4"/>
  <c r="P585" i="4"/>
  <c r="M585" i="4"/>
  <c r="O585" i="4"/>
  <c r="N585" i="4"/>
  <c r="L585" i="4"/>
  <c r="O591" i="4"/>
  <c r="N591" i="4"/>
  <c r="L591" i="4"/>
  <c r="Q591" i="4"/>
  <c r="P591" i="4"/>
  <c r="M591" i="4"/>
  <c r="Q602" i="4"/>
  <c r="P602" i="4"/>
  <c r="N602" i="4"/>
  <c r="P605" i="4"/>
  <c r="O617" i="4"/>
  <c r="L617" i="4"/>
  <c r="Q617" i="4"/>
  <c r="P617" i="4"/>
  <c r="M617" i="4"/>
  <c r="P623" i="4"/>
  <c r="O623" i="4"/>
  <c r="M623" i="4"/>
  <c r="Q623" i="4"/>
  <c r="N623" i="4"/>
  <c r="L623" i="4"/>
  <c r="N642" i="4"/>
  <c r="Q642" i="4"/>
  <c r="P642" i="4"/>
  <c r="Q652" i="4"/>
  <c r="O652" i="4"/>
  <c r="M652" i="4"/>
  <c r="N652" i="4"/>
  <c r="Q662" i="4"/>
  <c r="O662" i="4"/>
  <c r="N662" i="4"/>
  <c r="P662" i="4"/>
  <c r="M662" i="4"/>
  <c r="P770" i="4"/>
  <c r="N770" i="4"/>
  <c r="Q770" i="4"/>
  <c r="O770" i="4"/>
  <c r="M770" i="4"/>
  <c r="P214" i="4"/>
  <c r="L226" i="4"/>
  <c r="M227" i="4"/>
  <c r="Q227" i="4"/>
  <c r="M237" i="4"/>
  <c r="Q237" i="4"/>
  <c r="P286" i="4"/>
  <c r="L306" i="4"/>
  <c r="L308" i="4"/>
  <c r="P314" i="4"/>
  <c r="J316" i="4"/>
  <c r="N328" i="4"/>
  <c r="O329" i="4"/>
  <c r="J331" i="4"/>
  <c r="N331" i="4" s="1"/>
  <c r="M338" i="4"/>
  <c r="O342" i="4"/>
  <c r="L342" i="4"/>
  <c r="P346" i="4"/>
  <c r="O346" i="4"/>
  <c r="M348" i="4"/>
  <c r="P349" i="4"/>
  <c r="O352" i="4"/>
  <c r="M357" i="4"/>
  <c r="Q357" i="4"/>
  <c r="O360" i="4"/>
  <c r="N360" i="4"/>
  <c r="P360" i="4"/>
  <c r="O363" i="4"/>
  <c r="Q365" i="4"/>
  <c r="N365" i="4"/>
  <c r="L369" i="4"/>
  <c r="N370" i="4"/>
  <c r="Q374" i="4"/>
  <c r="L380" i="4"/>
  <c r="L383" i="4"/>
  <c r="Q383" i="4"/>
  <c r="P383" i="4"/>
  <c r="M383" i="4"/>
  <c r="Q394" i="4"/>
  <c r="O394" i="4"/>
  <c r="P403" i="4"/>
  <c r="O403" i="4"/>
  <c r="N403" i="4"/>
  <c r="M403" i="4"/>
  <c r="Q403" i="4"/>
  <c r="P414" i="4"/>
  <c r="N414" i="4"/>
  <c r="Q414" i="4"/>
  <c r="P418" i="4"/>
  <c r="N418" i="4"/>
  <c r="Q418" i="4"/>
  <c r="P422" i="4"/>
  <c r="N422" i="4"/>
  <c r="Q422" i="4"/>
  <c r="P426" i="4"/>
  <c r="O426" i="4"/>
  <c r="M426" i="4"/>
  <c r="Q426" i="4"/>
  <c r="O430" i="4"/>
  <c r="L430" i="4"/>
  <c r="J435" i="4"/>
  <c r="J439" i="4"/>
  <c r="L463" i="4"/>
  <c r="Q463" i="4"/>
  <c r="P463" i="4"/>
  <c r="M463" i="4"/>
  <c r="Q474" i="4"/>
  <c r="P474" i="4"/>
  <c r="O474" i="4"/>
  <c r="Q485" i="4"/>
  <c r="P485" i="4"/>
  <c r="O485" i="4"/>
  <c r="N485" i="4"/>
  <c r="O486" i="4"/>
  <c r="N486" i="4"/>
  <c r="M486" i="4"/>
  <c r="P486" i="4"/>
  <c r="L500" i="4"/>
  <c r="Q517" i="4"/>
  <c r="P517" i="4"/>
  <c r="O517" i="4"/>
  <c r="N520" i="4"/>
  <c r="Q520" i="4"/>
  <c r="P520" i="4"/>
  <c r="O520" i="4"/>
  <c r="Q529" i="4"/>
  <c r="O529" i="4"/>
  <c r="N529" i="4"/>
  <c r="M529" i="4"/>
  <c r="P529" i="4"/>
  <c r="M531" i="4"/>
  <c r="P531" i="4"/>
  <c r="O531" i="4"/>
  <c r="N531" i="4"/>
  <c r="L531" i="4"/>
  <c r="Q531" i="4"/>
  <c r="P535" i="4"/>
  <c r="N535" i="4"/>
  <c r="P539" i="4"/>
  <c r="Q539" i="4"/>
  <c r="P553" i="4"/>
  <c r="Q553" i="4"/>
  <c r="O553" i="4"/>
  <c r="L553" i="4"/>
  <c r="J558" i="4"/>
  <c r="O564" i="4"/>
  <c r="N564" i="4"/>
  <c r="M564" i="4"/>
  <c r="L564" i="4"/>
  <c r="P564" i="4" s="1"/>
  <c r="M571" i="4"/>
  <c r="N571" i="4"/>
  <c r="O571" i="4"/>
  <c r="M573" i="4"/>
  <c r="O621" i="4"/>
  <c r="N621" i="4"/>
  <c r="L621" i="4"/>
  <c r="Q621" i="4"/>
  <c r="P621" i="4"/>
  <c r="Q681" i="4"/>
  <c r="P681" i="4"/>
  <c r="O681" i="4"/>
  <c r="N681" i="4"/>
  <c r="M681" i="4"/>
  <c r="L681" i="4"/>
  <c r="P709" i="4"/>
  <c r="N709" i="4"/>
  <c r="Q709" i="4"/>
  <c r="L709" i="4"/>
  <c r="P713" i="4"/>
  <c r="N713" i="4"/>
  <c r="Q713" i="4"/>
  <c r="L713" i="4"/>
  <c r="P717" i="4"/>
  <c r="N717" i="4"/>
  <c r="Q717" i="4"/>
  <c r="L717" i="4"/>
  <c r="P721" i="4"/>
  <c r="N721" i="4"/>
  <c r="Q721" i="4"/>
  <c r="L721" i="4"/>
  <c r="P725" i="4"/>
  <c r="N725" i="4"/>
  <c r="Q725" i="4"/>
  <c r="L725" i="4"/>
  <c r="P729" i="4"/>
  <c r="N729" i="4"/>
  <c r="Q729" i="4"/>
  <c r="L729" i="4"/>
  <c r="L214" i="4"/>
  <c r="Q215" i="4"/>
  <c r="M215" i="4"/>
  <c r="N224" i="4"/>
  <c r="Q224" i="4"/>
  <c r="L235" i="4"/>
  <c r="Q239" i="4"/>
  <c r="M239" i="4"/>
  <c r="Q251" i="4"/>
  <c r="M251" i="4"/>
  <c r="Q287" i="4"/>
  <c r="M287" i="4"/>
  <c r="P296" i="4"/>
  <c r="N296" i="4"/>
  <c r="N310" i="4"/>
  <c r="P310" i="4"/>
  <c r="Q311" i="4"/>
  <c r="M311" i="4"/>
  <c r="N327" i="4"/>
  <c r="P335" i="4"/>
  <c r="N335" i="4"/>
  <c r="Q345" i="4"/>
  <c r="N345" i="4"/>
  <c r="N351" i="4"/>
  <c r="Q354" i="4"/>
  <c r="P354" i="4"/>
  <c r="L375" i="4"/>
  <c r="P375" i="4" s="1"/>
  <c r="Q375" i="4"/>
  <c r="M375" i="4"/>
  <c r="Q386" i="4"/>
  <c r="P386" i="4"/>
  <c r="O386" i="4"/>
  <c r="O395" i="4"/>
  <c r="N395" i="4"/>
  <c r="M395" i="4"/>
  <c r="Q395" i="4"/>
  <c r="Q402" i="4"/>
  <c r="P402" i="4"/>
  <c r="O402" i="4"/>
  <c r="N409" i="4"/>
  <c r="M409" i="4"/>
  <c r="L409" i="4"/>
  <c r="O409" i="4"/>
  <c r="M412" i="4"/>
  <c r="Q412" i="4"/>
  <c r="N412" i="4"/>
  <c r="O414" i="4"/>
  <c r="L414" i="4"/>
  <c r="O418" i="4"/>
  <c r="L418" i="4"/>
  <c r="O422" i="4"/>
  <c r="L422" i="4"/>
  <c r="N426" i="4"/>
  <c r="L426" i="4"/>
  <c r="Q466" i="4"/>
  <c r="P466" i="4"/>
  <c r="O466" i="4"/>
  <c r="O475" i="4"/>
  <c r="N475" i="4"/>
  <c r="M475" i="4"/>
  <c r="Q475" i="4"/>
  <c r="N481" i="4"/>
  <c r="M481" i="4"/>
  <c r="L481" i="4"/>
  <c r="P481" i="4" s="1"/>
  <c r="O481" i="4"/>
  <c r="M484" i="4"/>
  <c r="Q484" i="4"/>
  <c r="N484" i="4"/>
  <c r="Q488" i="4"/>
  <c r="P488" i="4"/>
  <c r="O488" i="4"/>
  <c r="N488" i="4"/>
  <c r="M488" i="4"/>
  <c r="L495" i="4"/>
  <c r="Q495" i="4"/>
  <c r="P495" i="4"/>
  <c r="M495" i="4"/>
  <c r="Q525" i="4"/>
  <c r="P525" i="4"/>
  <c r="N525" i="4"/>
  <c r="M527" i="4"/>
  <c r="P527" i="4"/>
  <c r="Q527" i="4"/>
  <c r="O527" i="4"/>
  <c r="N527" i="4"/>
  <c r="Q541" i="4"/>
  <c r="P541" i="4"/>
  <c r="N541" i="4"/>
  <c r="N544" i="4"/>
  <c r="Q544" i="4"/>
  <c r="P544" i="4"/>
  <c r="O544" i="4"/>
  <c r="L544" i="4"/>
  <c r="P550" i="4"/>
  <c r="N550" i="4"/>
  <c r="Q550" i="4"/>
  <c r="P561" i="4"/>
  <c r="Q561" i="4"/>
  <c r="O561" i="4"/>
  <c r="N561" i="4"/>
  <c r="M561" i="4"/>
  <c r="M562" i="4"/>
  <c r="Q562" i="4"/>
  <c r="O562" i="4"/>
  <c r="N562" i="4"/>
  <c r="N568" i="4"/>
  <c r="Q568" i="4"/>
  <c r="P568" i="4"/>
  <c r="O568" i="4"/>
  <c r="M568" i="4"/>
  <c r="O569" i="4"/>
  <c r="N569" i="4"/>
  <c r="M569" i="4"/>
  <c r="L569" i="4"/>
  <c r="P569" i="4" s="1"/>
  <c r="Q569" i="4"/>
  <c r="M577" i="4"/>
  <c r="L577" i="4"/>
  <c r="P577" i="4" s="1"/>
  <c r="N577" i="4"/>
  <c r="Q604" i="4"/>
  <c r="P604" i="4"/>
  <c r="N604" i="4"/>
  <c r="M604" i="4"/>
  <c r="O604" i="4"/>
  <c r="L604" i="4"/>
  <c r="Q608" i="4"/>
  <c r="P608" i="4"/>
  <c r="N608" i="4"/>
  <c r="O608" i="4"/>
  <c r="L608" i="4"/>
  <c r="P625" i="4"/>
  <c r="O625" i="4"/>
  <c r="L625" i="4"/>
  <c r="Q625" i="4"/>
  <c r="M625" i="4"/>
  <c r="Q676" i="4"/>
  <c r="P676" i="4"/>
  <c r="O676" i="4"/>
  <c r="N676" i="4"/>
  <c r="M676" i="4"/>
  <c r="P679" i="4"/>
  <c r="O679" i="4"/>
  <c r="N679" i="4"/>
  <c r="M679" i="4"/>
  <c r="L679" i="4"/>
  <c r="Q679" i="4"/>
  <c r="P705" i="4"/>
  <c r="Q705" i="4"/>
  <c r="O705" i="4"/>
  <c r="M705" i="4"/>
  <c r="L705" i="4"/>
  <c r="L711" i="4"/>
  <c r="O711" i="4"/>
  <c r="L715" i="4"/>
  <c r="O715" i="4"/>
  <c r="L719" i="4"/>
  <c r="O719" i="4"/>
  <c r="L723" i="4"/>
  <c r="O723" i="4"/>
  <c r="N723" i="4"/>
  <c r="L727" i="4"/>
  <c r="O727" i="4"/>
  <c r="M755" i="4"/>
  <c r="L755" i="4"/>
  <c r="Q755" i="4"/>
  <c r="P755" i="4"/>
  <c r="N755" i="4"/>
  <c r="O755" i="4"/>
  <c r="J212" i="4"/>
  <c r="L212" i="4" s="1"/>
  <c r="M214" i="4"/>
  <c r="L221" i="4"/>
  <c r="P231" i="4"/>
  <c r="L238" i="4"/>
  <c r="L250" i="4"/>
  <c r="P257" i="4"/>
  <c r="L262" i="4"/>
  <c r="L272" i="4"/>
  <c r="P277" i="4"/>
  <c r="M280" i="4"/>
  <c r="J284" i="4"/>
  <c r="M286" i="4"/>
  <c r="L293" i="4"/>
  <c r="P293" i="4" s="1"/>
  <c r="J298" i="4"/>
  <c r="J300" i="4"/>
  <c r="L300" i="4" s="1"/>
  <c r="P301" i="4"/>
  <c r="N306" i="4"/>
  <c r="L310" i="4"/>
  <c r="J320" i="4"/>
  <c r="L326" i="4"/>
  <c r="L327" i="4"/>
  <c r="M332" i="4"/>
  <c r="P333" i="4"/>
  <c r="Q338" i="4"/>
  <c r="L341" i="4"/>
  <c r="N341" i="4"/>
  <c r="N342" i="4"/>
  <c r="M346" i="4"/>
  <c r="Q348" i="4"/>
  <c r="P350" i="4"/>
  <c r="L351" i="4"/>
  <c r="Q353" i="4"/>
  <c r="N353" i="4"/>
  <c r="O354" i="4"/>
  <c r="L354" i="4"/>
  <c r="L357" i="4"/>
  <c r="Q359" i="4"/>
  <c r="P359" i="4"/>
  <c r="O359" i="4"/>
  <c r="M359" i="4"/>
  <c r="Q362" i="4"/>
  <c r="P362" i="4"/>
  <c r="L365" i="4"/>
  <c r="O369" i="4"/>
  <c r="O372" i="4"/>
  <c r="Q378" i="4"/>
  <c r="P378" i="4"/>
  <c r="O378" i="4"/>
  <c r="P387" i="4"/>
  <c r="O387" i="4"/>
  <c r="N387" i="4"/>
  <c r="M387" i="4"/>
  <c r="Q387" i="4"/>
  <c r="L395" i="4"/>
  <c r="P395" i="4" s="1"/>
  <c r="N399" i="4"/>
  <c r="J401" i="4"/>
  <c r="L402" i="4"/>
  <c r="J404" i="4"/>
  <c r="L404" i="4" s="1"/>
  <c r="O407" i="4"/>
  <c r="M410" i="4"/>
  <c r="J427" i="4"/>
  <c r="J431" i="4"/>
  <c r="Q443" i="4"/>
  <c r="P450" i="4"/>
  <c r="N450" i="4"/>
  <c r="Q450" i="4"/>
  <c r="P455" i="4"/>
  <c r="P459" i="4"/>
  <c r="P467" i="4"/>
  <c r="O467" i="4"/>
  <c r="N467" i="4"/>
  <c r="M467" i="4"/>
  <c r="Q467" i="4"/>
  <c r="L475" i="4"/>
  <c r="P475" i="4" s="1"/>
  <c r="Q477" i="4"/>
  <c r="P477" i="4"/>
  <c r="O477" i="4"/>
  <c r="N477" i="4"/>
  <c r="O479" i="4"/>
  <c r="M482" i="4"/>
  <c r="Q486" i="4"/>
  <c r="L492" i="4"/>
  <c r="M493" i="4"/>
  <c r="Q498" i="4"/>
  <c r="P498" i="4"/>
  <c r="O498" i="4"/>
  <c r="P503" i="4"/>
  <c r="Q505" i="4"/>
  <c r="P505" i="4"/>
  <c r="J510" i="4"/>
  <c r="N510" i="4" s="1"/>
  <c r="O511" i="4"/>
  <c r="O515" i="4"/>
  <c r="L527" i="4"/>
  <c r="J532" i="4"/>
  <c r="N532" i="4" s="1"/>
  <c r="P533" i="4"/>
  <c r="O546" i="4"/>
  <c r="N552" i="4"/>
  <c r="L552" i="4"/>
  <c r="O552" i="4"/>
  <c r="P559" i="4"/>
  <c r="L562" i="4"/>
  <c r="P562" i="4" s="1"/>
  <c r="Q574" i="4"/>
  <c r="P574" i="4"/>
  <c r="O574" i="4"/>
  <c r="N574" i="4"/>
  <c r="N575" i="4"/>
  <c r="Q575" i="4"/>
  <c r="P575" i="4"/>
  <c r="O575" i="4"/>
  <c r="M575" i="4"/>
  <c r="L578" i="4"/>
  <c r="L584" i="4"/>
  <c r="P584" i="4"/>
  <c r="N584" i="4"/>
  <c r="Q584" i="4"/>
  <c r="O584" i="4"/>
  <c r="M584" i="4"/>
  <c r="Q612" i="4"/>
  <c r="P612" i="4"/>
  <c r="N612" i="4"/>
  <c r="M612" i="4"/>
  <c r="O612" i="4"/>
  <c r="L612" i="4"/>
  <c r="Q616" i="4"/>
  <c r="P616" i="4"/>
  <c r="N616" i="4"/>
  <c r="O616" i="4"/>
  <c r="L616" i="4"/>
  <c r="N625" i="4"/>
  <c r="L659" i="4"/>
  <c r="P659" i="4" s="1"/>
  <c r="O659" i="4"/>
  <c r="M659" i="4"/>
  <c r="Q659" i="4"/>
  <c r="N659" i="4"/>
  <c r="Q678" i="4"/>
  <c r="P678" i="4"/>
  <c r="O678" i="4"/>
  <c r="N678" i="4"/>
  <c r="M678" i="4"/>
  <c r="M697" i="4"/>
  <c r="Q697" i="4"/>
  <c r="O697" i="4"/>
  <c r="P697" i="4"/>
  <c r="L702" i="4"/>
  <c r="Q702" i="4"/>
  <c r="P702" i="4"/>
  <c r="O702" i="4"/>
  <c r="M702" i="4"/>
  <c r="N702" i="4"/>
  <c r="N357" i="4"/>
  <c r="L358" i="4"/>
  <c r="N361" i="4"/>
  <c r="L362" i="4"/>
  <c r="L370" i="4"/>
  <c r="M424" i="4"/>
  <c r="M428" i="4"/>
  <c r="M432" i="4"/>
  <c r="M440" i="4"/>
  <c r="M456" i="4"/>
  <c r="M512" i="4"/>
  <c r="M513" i="4"/>
  <c r="L517" i="4"/>
  <c r="J526" i="4"/>
  <c r="M536" i="4"/>
  <c r="L539" i="4"/>
  <c r="N540" i="4"/>
  <c r="J546" i="4"/>
  <c r="J556" i="4"/>
  <c r="J563" i="4"/>
  <c r="N565" i="4"/>
  <c r="L573" i="4"/>
  <c r="L589" i="4"/>
  <c r="J603" i="4"/>
  <c r="O605" i="4"/>
  <c r="P606" i="4"/>
  <c r="P610" i="4"/>
  <c r="N618" i="4"/>
  <c r="N622" i="4"/>
  <c r="J627" i="4"/>
  <c r="N634" i="4"/>
  <c r="L634" i="4"/>
  <c r="P637" i="4"/>
  <c r="O637" i="4"/>
  <c r="N637" i="4"/>
  <c r="L637" i="4"/>
  <c r="Q637" i="4"/>
  <c r="J639" i="4"/>
  <c r="N644" i="4"/>
  <c r="Q649" i="4"/>
  <c r="N649" i="4"/>
  <c r="M649" i="4"/>
  <c r="N653" i="4"/>
  <c r="M653" i="4"/>
  <c r="Q653" i="4"/>
  <c r="O653" i="4"/>
  <c r="Q660" i="4"/>
  <c r="P660" i="4"/>
  <c r="O660" i="4"/>
  <c r="M660" i="4"/>
  <c r="L661" i="4"/>
  <c r="P661" i="4" s="1"/>
  <c r="J666" i="4"/>
  <c r="L677" i="4"/>
  <c r="Q684" i="4"/>
  <c r="P684" i="4"/>
  <c r="O684" i="4"/>
  <c r="N684" i="4"/>
  <c r="M684" i="4"/>
  <c r="M739" i="4"/>
  <c r="Q739" i="4"/>
  <c r="P739" i="4"/>
  <c r="O739" i="4"/>
  <c r="N739" i="4"/>
  <c r="L739" i="4"/>
  <c r="L749" i="4"/>
  <c r="Q751" i="4"/>
  <c r="O751" i="4"/>
  <c r="P751" i="4"/>
  <c r="N751" i="4"/>
  <c r="M751" i="4"/>
  <c r="Q753" i="4"/>
  <c r="O753" i="4"/>
  <c r="N753" i="4"/>
  <c r="M753" i="4"/>
  <c r="L753" i="4"/>
  <c r="P753" i="4" s="1"/>
  <c r="M763" i="4"/>
  <c r="Q763" i="4"/>
  <c r="O763" i="4"/>
  <c r="N763" i="4"/>
  <c r="N764" i="4"/>
  <c r="L764" i="4"/>
  <c r="N768" i="4"/>
  <c r="M768" i="4"/>
  <c r="Q768" i="4"/>
  <c r="O768" i="4"/>
  <c r="P779" i="4"/>
  <c r="Q779" i="4"/>
  <c r="N779" i="4"/>
  <c r="P787" i="4"/>
  <c r="Q787" i="4"/>
  <c r="O787" i="4"/>
  <c r="N787" i="4"/>
  <c r="M787" i="4"/>
  <c r="N373" i="4"/>
  <c r="N381" i="4"/>
  <c r="N389" i="4"/>
  <c r="N397" i="4"/>
  <c r="N405" i="4"/>
  <c r="N413" i="4"/>
  <c r="P416" i="4"/>
  <c r="N417" i="4"/>
  <c r="P420" i="4"/>
  <c r="N421" i="4"/>
  <c r="P424" i="4"/>
  <c r="N425" i="4"/>
  <c r="P428" i="4"/>
  <c r="N429" i="4"/>
  <c r="P432" i="4"/>
  <c r="N433" i="4"/>
  <c r="P436" i="4"/>
  <c r="N437" i="4"/>
  <c r="P440" i="4"/>
  <c r="N441" i="4"/>
  <c r="P444" i="4"/>
  <c r="N445" i="4"/>
  <c r="P448" i="4"/>
  <c r="N449" i="4"/>
  <c r="P452" i="4"/>
  <c r="N453" i="4"/>
  <c r="P456" i="4"/>
  <c r="N457" i="4"/>
  <c r="P460" i="4"/>
  <c r="N461" i="4"/>
  <c r="N469" i="4"/>
  <c r="O506" i="4"/>
  <c r="L509" i="4"/>
  <c r="Q512" i="4"/>
  <c r="P513" i="4"/>
  <c r="P518" i="4"/>
  <c r="O519" i="4"/>
  <c r="L525" i="4"/>
  <c r="O530" i="4"/>
  <c r="Q536" i="4"/>
  <c r="P537" i="4"/>
  <c r="L545" i="4"/>
  <c r="O550" i="4"/>
  <c r="O567" i="4"/>
  <c r="M582" i="4"/>
  <c r="Q590" i="4"/>
  <c r="O590" i="4"/>
  <c r="N590" i="4"/>
  <c r="L592" i="4"/>
  <c r="Q592" i="4"/>
  <c r="P592" i="4"/>
  <c r="N592" i="4"/>
  <c r="L598" i="4"/>
  <c r="O598" i="4"/>
  <c r="N599" i="4"/>
  <c r="Q620" i="4"/>
  <c r="P620" i="4"/>
  <c r="N620" i="4"/>
  <c r="M620" i="4"/>
  <c r="N630" i="4"/>
  <c r="L630" i="4"/>
  <c r="P633" i="4"/>
  <c r="O633" i="4"/>
  <c r="N633" i="4"/>
  <c r="L633" i="4"/>
  <c r="Q633" i="4"/>
  <c r="N638" i="4"/>
  <c r="Q638" i="4"/>
  <c r="L642" i="4"/>
  <c r="O642" i="4"/>
  <c r="M656" i="4"/>
  <c r="L656" i="4"/>
  <c r="Q656" i="4"/>
  <c r="P656" i="4"/>
  <c r="N656" i="4"/>
  <c r="O663" i="4"/>
  <c r="N663" i="4"/>
  <c r="L663" i="4"/>
  <c r="P663" i="4" s="1"/>
  <c r="Q663" i="4"/>
  <c r="Q665" i="4"/>
  <c r="P665" i="4"/>
  <c r="O665" i="4"/>
  <c r="N665" i="4"/>
  <c r="M665" i="4"/>
  <c r="Q670" i="4"/>
  <c r="P670" i="4"/>
  <c r="O670" i="4"/>
  <c r="N670" i="4"/>
  <c r="P671" i="4"/>
  <c r="O671" i="4"/>
  <c r="N671" i="4"/>
  <c r="M671" i="4"/>
  <c r="L671" i="4"/>
  <c r="Q671" i="4"/>
  <c r="L683" i="4"/>
  <c r="Q683" i="4"/>
  <c r="P683" i="4"/>
  <c r="O683" i="4"/>
  <c r="M683" i="4"/>
  <c r="N689" i="4"/>
  <c r="O692" i="4"/>
  <c r="N697" i="4"/>
  <c r="P700" i="4"/>
  <c r="O700" i="4"/>
  <c r="M700" i="4"/>
  <c r="L700" i="4"/>
  <c r="Q700" i="4"/>
  <c r="L707" i="4"/>
  <c r="O707" i="4"/>
  <c r="N707" i="4"/>
  <c r="L731" i="4"/>
  <c r="O731" i="4"/>
  <c r="O733" i="4"/>
  <c r="M733" i="4"/>
  <c r="Q733" i="4"/>
  <c r="N733" i="4"/>
  <c r="L733" i="4"/>
  <c r="P733" i="4" s="1"/>
  <c r="Q745" i="4"/>
  <c r="O745" i="4"/>
  <c r="N745" i="4"/>
  <c r="M745" i="4"/>
  <c r="L745" i="4"/>
  <c r="P745" i="4" s="1"/>
  <c r="N760" i="4"/>
  <c r="P760" i="4"/>
  <c r="O760" i="4"/>
  <c r="M760" i="4"/>
  <c r="Q760" i="4"/>
  <c r="P762" i="4"/>
  <c r="N762" i="4"/>
  <c r="Q762" i="4"/>
  <c r="O762" i="4"/>
  <c r="L821" i="4"/>
  <c r="O821" i="4"/>
  <c r="O854" i="4"/>
  <c r="M854" i="4"/>
  <c r="Q854" i="4"/>
  <c r="N854" i="4"/>
  <c r="N882" i="4"/>
  <c r="P882" i="4"/>
  <c r="Q882" i="4"/>
  <c r="O882" i="4"/>
  <c r="M899" i="4"/>
  <c r="Q899" i="4"/>
  <c r="P899" i="4"/>
  <c r="O899" i="4"/>
  <c r="P939" i="4"/>
  <c r="O939" i="4"/>
  <c r="M939" i="4"/>
  <c r="Q939" i="4"/>
  <c r="N939" i="4"/>
  <c r="L328" i="4"/>
  <c r="L332" i="4"/>
  <c r="L336" i="4"/>
  <c r="L344" i="4"/>
  <c r="L348" i="4"/>
  <c r="L352" i="4"/>
  <c r="L364" i="4"/>
  <c r="O373" i="4"/>
  <c r="O381" i="4"/>
  <c r="O389" i="4"/>
  <c r="O397" i="4"/>
  <c r="O405" i="4"/>
  <c r="O413" i="4"/>
  <c r="O417" i="4"/>
  <c r="O421" i="4"/>
  <c r="O425" i="4"/>
  <c r="O429" i="4"/>
  <c r="O437" i="4"/>
  <c r="O441" i="4"/>
  <c r="O445" i="4"/>
  <c r="O449" i="4"/>
  <c r="O453" i="4"/>
  <c r="O461" i="4"/>
  <c r="O469" i="4"/>
  <c r="P506" i="4"/>
  <c r="J514" i="4"/>
  <c r="L529" i="4"/>
  <c r="L530" i="4"/>
  <c r="J538" i="4"/>
  <c r="L549" i="4"/>
  <c r="L550" i="4"/>
  <c r="L557" i="4"/>
  <c r="P557" i="4" s="1"/>
  <c r="J572" i="4"/>
  <c r="J579" i="4"/>
  <c r="L579" i="4" s="1"/>
  <c r="O582" i="4"/>
  <c r="L602" i="4"/>
  <c r="O602" i="4"/>
  <c r="M610" i="4"/>
  <c r="Q610" i="4"/>
  <c r="O610" i="4"/>
  <c r="M626" i="4"/>
  <c r="Q626" i="4"/>
  <c r="O626" i="4"/>
  <c r="Q644" i="4"/>
  <c r="P644" i="4"/>
  <c r="O644" i="4"/>
  <c r="M644" i="4"/>
  <c r="L645" i="4"/>
  <c r="P645" i="4" s="1"/>
  <c r="L649" i="4"/>
  <c r="P649" i="4" s="1"/>
  <c r="J651" i="4"/>
  <c r="J654" i="4"/>
  <c r="J658" i="4"/>
  <c r="N660" i="4"/>
  <c r="L675" i="4"/>
  <c r="Q675" i="4"/>
  <c r="P675" i="4"/>
  <c r="O675" i="4"/>
  <c r="M675" i="4"/>
  <c r="L676" i="4"/>
  <c r="M680" i="4"/>
  <c r="L680" i="4"/>
  <c r="Q680" i="4"/>
  <c r="P680" i="4"/>
  <c r="N680" i="4"/>
  <c r="N700" i="4"/>
  <c r="Q737" i="4"/>
  <c r="P737" i="4"/>
  <c r="O737" i="4"/>
  <c r="N737" i="4"/>
  <c r="L737" i="4"/>
  <c r="L738" i="4"/>
  <c r="P738" i="4" s="1"/>
  <c r="L743" i="4"/>
  <c r="P743" i="4" s="1"/>
  <c r="M747" i="4"/>
  <c r="O747" i="4"/>
  <c r="N747" i="4"/>
  <c r="L747" i="4"/>
  <c r="P747" i="4" s="1"/>
  <c r="P754" i="4"/>
  <c r="N754" i="4"/>
  <c r="M754" i="4"/>
  <c r="L754" i="4"/>
  <c r="O754" i="4"/>
  <c r="O757" i="4"/>
  <c r="M757" i="4"/>
  <c r="Q757" i="4"/>
  <c r="P757" i="4"/>
  <c r="N757" i="4"/>
  <c r="L763" i="4"/>
  <c r="P763" i="4" s="1"/>
  <c r="O765" i="4"/>
  <c r="M765" i="4"/>
  <c r="Q765" i="4"/>
  <c r="P765" i="4"/>
  <c r="N765" i="4"/>
  <c r="L765" i="4"/>
  <c r="N806" i="4"/>
  <c r="Q806" i="4"/>
  <c r="P806" i="4"/>
  <c r="L806" i="4"/>
  <c r="Q850" i="4"/>
  <c r="M850" i="4"/>
  <c r="P850" i="4"/>
  <c r="O850" i="4"/>
  <c r="N850" i="4"/>
  <c r="L850" i="4"/>
  <c r="P373" i="4"/>
  <c r="P381" i="4"/>
  <c r="P389" i="4"/>
  <c r="P397" i="4"/>
  <c r="P405" i="4"/>
  <c r="P413" i="4"/>
  <c r="P417" i="4"/>
  <c r="P421" i="4"/>
  <c r="P425" i="4"/>
  <c r="P429" i="4"/>
  <c r="P433" i="4"/>
  <c r="P437" i="4"/>
  <c r="P441" i="4"/>
  <c r="P445" i="4"/>
  <c r="P449" i="4"/>
  <c r="P453" i="4"/>
  <c r="P457" i="4"/>
  <c r="P461" i="4"/>
  <c r="P469" i="4"/>
  <c r="L533" i="4"/>
  <c r="L558" i="4"/>
  <c r="J587" i="4"/>
  <c r="J595" i="4"/>
  <c r="O597" i="4"/>
  <c r="L597" i="4"/>
  <c r="Q597" i="4"/>
  <c r="L606" i="4"/>
  <c r="O606" i="4"/>
  <c r="M618" i="4"/>
  <c r="Q618" i="4"/>
  <c r="O618" i="4"/>
  <c r="M622" i="4"/>
  <c r="Q622" i="4"/>
  <c r="O622" i="4"/>
  <c r="L631" i="4"/>
  <c r="P631" i="4"/>
  <c r="O631" i="4"/>
  <c r="M631" i="4"/>
  <c r="L638" i="4"/>
  <c r="O638" i="4"/>
  <c r="L652" i="4"/>
  <c r="P652" i="4" s="1"/>
  <c r="O655" i="4"/>
  <c r="N655" i="4"/>
  <c r="L655" i="4"/>
  <c r="P655" i="4" s="1"/>
  <c r="Q655" i="4"/>
  <c r="L662" i="4"/>
  <c r="L667" i="4"/>
  <c r="P667" i="4" s="1"/>
  <c r="Q667" i="4"/>
  <c r="O667" i="4"/>
  <c r="M667" i="4"/>
  <c r="L668" i="4"/>
  <c r="M672" i="4"/>
  <c r="L672" i="4"/>
  <c r="Q672" i="4"/>
  <c r="P672" i="4"/>
  <c r="N672" i="4"/>
  <c r="L678" i="4"/>
  <c r="N685" i="4"/>
  <c r="M685" i="4"/>
  <c r="Q685" i="4"/>
  <c r="O685" i="4"/>
  <c r="L690" i="4"/>
  <c r="Q690" i="4"/>
  <c r="P690" i="4"/>
  <c r="O690" i="4"/>
  <c r="M693" i="4"/>
  <c r="Q693" i="4"/>
  <c r="O693" i="4"/>
  <c r="L698" i="4"/>
  <c r="Q698" i="4"/>
  <c r="P698" i="4"/>
  <c r="O698" i="4"/>
  <c r="N701" i="4"/>
  <c r="Q701" i="4"/>
  <c r="O724" i="4"/>
  <c r="N724" i="4"/>
  <c r="L724" i="4"/>
  <c r="Q769" i="4"/>
  <c r="P769" i="4"/>
  <c r="O769" i="4"/>
  <c r="N769" i="4"/>
  <c r="L769" i="4"/>
  <c r="L770" i="4"/>
  <c r="L813" i="4"/>
  <c r="N813" i="4"/>
  <c r="O509" i="4"/>
  <c r="N512" i="4"/>
  <c r="O514" i="4"/>
  <c r="J522" i="4"/>
  <c r="O525" i="4"/>
  <c r="N536" i="4"/>
  <c r="J542" i="4"/>
  <c r="J555" i="4"/>
  <c r="L565" i="4"/>
  <c r="P565" i="4" s="1"/>
  <c r="J580" i="4"/>
  <c r="N586" i="4"/>
  <c r="M586" i="4"/>
  <c r="P586" i="4"/>
  <c r="J588" i="4"/>
  <c r="L590" i="4"/>
  <c r="O592" i="4"/>
  <c r="N594" i="4"/>
  <c r="M594" i="4"/>
  <c r="P594" i="4"/>
  <c r="Q596" i="4"/>
  <c r="P596" i="4"/>
  <c r="N596" i="4"/>
  <c r="N597" i="4"/>
  <c r="O601" i="4"/>
  <c r="L601" i="4"/>
  <c r="Q601" i="4"/>
  <c r="L614" i="4"/>
  <c r="O614" i="4"/>
  <c r="O620" i="4"/>
  <c r="N626" i="4"/>
  <c r="L626" i="4"/>
  <c r="P629" i="4"/>
  <c r="O629" i="4"/>
  <c r="L629" i="4"/>
  <c r="Q629" i="4"/>
  <c r="M634" i="4"/>
  <c r="Q634" i="4"/>
  <c r="O634" i="4"/>
  <c r="P641" i="4"/>
  <c r="O641" i="4"/>
  <c r="N641" i="4"/>
  <c r="L641" i="4"/>
  <c r="Q641" i="4"/>
  <c r="J643" i="4"/>
  <c r="J646" i="4"/>
  <c r="O650" i="4"/>
  <c r="N650" i="4"/>
  <c r="M650" i="4"/>
  <c r="P650" i="4"/>
  <c r="Q657" i="4"/>
  <c r="P657" i="4"/>
  <c r="N657" i="4"/>
  <c r="M657" i="4"/>
  <c r="N661" i="4"/>
  <c r="M661" i="4"/>
  <c r="Q661" i="4"/>
  <c r="O661" i="4"/>
  <c r="M664" i="4"/>
  <c r="L664" i="4"/>
  <c r="Q664" i="4"/>
  <c r="P664" i="4"/>
  <c r="N664" i="4"/>
  <c r="L670" i="4"/>
  <c r="N677" i="4"/>
  <c r="M677" i="4"/>
  <c r="Q677" i="4"/>
  <c r="O677" i="4"/>
  <c r="O682" i="4"/>
  <c r="N682" i="4"/>
  <c r="M682" i="4"/>
  <c r="L682" i="4"/>
  <c r="P682" i="4" s="1"/>
  <c r="P688" i="4"/>
  <c r="N688" i="4"/>
  <c r="L688" i="4"/>
  <c r="Q688" i="4"/>
  <c r="P696" i="4"/>
  <c r="N696" i="4"/>
  <c r="L696" i="4"/>
  <c r="Q696" i="4"/>
  <c r="O704" i="4"/>
  <c r="N704" i="4"/>
  <c r="L704" i="4"/>
  <c r="N706" i="4"/>
  <c r="Q706" i="4"/>
  <c r="P706" i="4"/>
  <c r="O706" i="4"/>
  <c r="N708" i="4"/>
  <c r="L708" i="4"/>
  <c r="Q710" i="4"/>
  <c r="P710" i="4"/>
  <c r="O710" i="4"/>
  <c r="M710" i="4"/>
  <c r="N712" i="4"/>
  <c r="L712" i="4"/>
  <c r="Q714" i="4"/>
  <c r="P714" i="4"/>
  <c r="O714" i="4"/>
  <c r="M714" i="4"/>
  <c r="N716" i="4"/>
  <c r="L716" i="4"/>
  <c r="Q718" i="4"/>
  <c r="P718" i="4"/>
  <c r="O718" i="4"/>
  <c r="M718" i="4"/>
  <c r="N720" i="4"/>
  <c r="L720" i="4"/>
  <c r="Q722" i="4"/>
  <c r="P722" i="4"/>
  <c r="O722" i="4"/>
  <c r="M722" i="4"/>
  <c r="Q726" i="4"/>
  <c r="P726" i="4"/>
  <c r="O726" i="4"/>
  <c r="M726" i="4"/>
  <c r="N728" i="4"/>
  <c r="L728" i="4"/>
  <c r="N730" i="4"/>
  <c r="Q730" i="4"/>
  <c r="P730" i="4"/>
  <c r="O730" i="4"/>
  <c r="N744" i="4"/>
  <c r="Q744" i="4"/>
  <c r="O744" i="4"/>
  <c r="O749" i="4"/>
  <c r="M749" i="4"/>
  <c r="Q749" i="4"/>
  <c r="P749" i="4"/>
  <c r="N752" i="4"/>
  <c r="Q752" i="4"/>
  <c r="O752" i="4"/>
  <c r="M752" i="4"/>
  <c r="Q761" i="4"/>
  <c r="M761" i="4"/>
  <c r="L761" i="4"/>
  <c r="P761" i="4"/>
  <c r="N761" i="4"/>
  <c r="L762" i="4"/>
  <c r="N812" i="4"/>
  <c r="Q812" i="4"/>
  <c r="P812" i="4"/>
  <c r="L812" i="4"/>
  <c r="L505" i="4"/>
  <c r="O518" i="4"/>
  <c r="M519" i="4"/>
  <c r="P519" i="4"/>
  <c r="L566" i="4"/>
  <c r="P566" i="4" s="1"/>
  <c r="N567" i="4"/>
  <c r="Q567" i="4"/>
  <c r="Q582" i="4"/>
  <c r="N582" i="4"/>
  <c r="M589" i="4"/>
  <c r="Q589" i="4"/>
  <c r="O589" i="4"/>
  <c r="P599" i="4"/>
  <c r="O599" i="4"/>
  <c r="M599" i="4"/>
  <c r="Q600" i="4"/>
  <c r="P600" i="4"/>
  <c r="N600" i="4"/>
  <c r="N606" i="4"/>
  <c r="O647" i="4"/>
  <c r="N647" i="4"/>
  <c r="L647" i="4"/>
  <c r="P647" i="4" s="1"/>
  <c r="Q647" i="4"/>
  <c r="M655" i="4"/>
  <c r="N669" i="4"/>
  <c r="M669" i="4"/>
  <c r="Q669" i="4"/>
  <c r="O669" i="4"/>
  <c r="J674" i="4"/>
  <c r="L685" i="4"/>
  <c r="O732" i="4"/>
  <c r="N732" i="4"/>
  <c r="L732" i="4"/>
  <c r="N736" i="4"/>
  <c r="M736" i="4"/>
  <c r="Q736" i="4"/>
  <c r="O736" i="4"/>
  <c r="J746" i="4"/>
  <c r="N841" i="4"/>
  <c r="P841" i="4"/>
  <c r="O841" i="4"/>
  <c r="M841" i="4"/>
  <c r="Q841" i="4"/>
  <c r="O701" i="4"/>
  <c r="J734" i="4"/>
  <c r="J740" i="4"/>
  <c r="L744" i="4"/>
  <c r="P744" i="4" s="1"/>
  <c r="M750" i="4"/>
  <c r="J766" i="4"/>
  <c r="J772" i="4"/>
  <c r="P776" i="4"/>
  <c r="N780" i="4"/>
  <c r="L781" i="4"/>
  <c r="M782" i="4"/>
  <c r="N783" i="4"/>
  <c r="N786" i="4"/>
  <c r="Q786" i="4"/>
  <c r="L789" i="4"/>
  <c r="M790" i="4"/>
  <c r="N791" i="4"/>
  <c r="N794" i="4"/>
  <c r="Q794" i="4"/>
  <c r="N796" i="4"/>
  <c r="L797" i="4"/>
  <c r="M798" i="4"/>
  <c r="P800" i="4"/>
  <c r="N802" i="4"/>
  <c r="Q802" i="4"/>
  <c r="L804" i="4"/>
  <c r="L808" i="4"/>
  <c r="P829" i="4"/>
  <c r="Q829" i="4"/>
  <c r="O829" i="4"/>
  <c r="N829" i="4"/>
  <c r="M829" i="4"/>
  <c r="Q833" i="4"/>
  <c r="O833" i="4"/>
  <c r="N833" i="4"/>
  <c r="L834" i="4"/>
  <c r="L838" i="4"/>
  <c r="P838" i="4" s="1"/>
  <c r="M844" i="4"/>
  <c r="O844" i="4"/>
  <c r="L844" i="4"/>
  <c r="P844" i="4" s="1"/>
  <c r="Q844" i="4"/>
  <c r="N844" i="4"/>
  <c r="Q885" i="4"/>
  <c r="M885" i="4"/>
  <c r="P885" i="4"/>
  <c r="O885" i="4"/>
  <c r="N885" i="4"/>
  <c r="L885" i="4"/>
  <c r="O887" i="4"/>
  <c r="L887" i="4"/>
  <c r="Q901" i="4"/>
  <c r="M901" i="4"/>
  <c r="P901" i="4"/>
  <c r="O901" i="4"/>
  <c r="M628" i="4"/>
  <c r="M636" i="4"/>
  <c r="M687" i="4"/>
  <c r="M691" i="4"/>
  <c r="M695" i="4"/>
  <c r="M703" i="4"/>
  <c r="N705" i="4"/>
  <c r="L706" i="4"/>
  <c r="M707" i="4"/>
  <c r="N710" i="4"/>
  <c r="L710" i="4"/>
  <c r="N714" i="4"/>
  <c r="L714" i="4"/>
  <c r="N718" i="4"/>
  <c r="L718" i="4"/>
  <c r="N722" i="4"/>
  <c r="L722" i="4"/>
  <c r="M723" i="4"/>
  <c r="N726" i="4"/>
  <c r="L726" i="4"/>
  <c r="L730" i="4"/>
  <c r="J742" i="4"/>
  <c r="J748" i="4"/>
  <c r="O750" i="4"/>
  <c r="L752" i="4"/>
  <c r="P752" i="4" s="1"/>
  <c r="N756" i="4"/>
  <c r="Q759" i="4"/>
  <c r="O759" i="4"/>
  <c r="J774" i="4"/>
  <c r="L774" i="4" s="1"/>
  <c r="L779" i="4"/>
  <c r="M780" i="4"/>
  <c r="N781" i="4"/>
  <c r="P782" i="4"/>
  <c r="N784" i="4"/>
  <c r="Q784" i="4"/>
  <c r="L787" i="4"/>
  <c r="N789" i="4"/>
  <c r="P790" i="4"/>
  <c r="N792" i="4"/>
  <c r="Q792" i="4"/>
  <c r="L795" i="4"/>
  <c r="M796" i="4"/>
  <c r="N797" i="4"/>
  <c r="P798" i="4"/>
  <c r="L803" i="4"/>
  <c r="L807" i="4"/>
  <c r="J830" i="4"/>
  <c r="L854" i="4"/>
  <c r="P854" i="4" s="1"/>
  <c r="Q856" i="4"/>
  <c r="O856" i="4"/>
  <c r="N856" i="4"/>
  <c r="M856" i="4"/>
  <c r="L856" i="4"/>
  <c r="P856" i="4" s="1"/>
  <c r="M860" i="4"/>
  <c r="O860" i="4"/>
  <c r="P860" i="4"/>
  <c r="N860" i="4"/>
  <c r="L860" i="4"/>
  <c r="Q860" i="4"/>
  <c r="O862" i="4"/>
  <c r="M862" i="4"/>
  <c r="Q862" i="4"/>
  <c r="N862" i="4"/>
  <c r="L862" i="4"/>
  <c r="P862" i="4" s="1"/>
  <c r="N866" i="4"/>
  <c r="P866" i="4"/>
  <c r="Q866" i="4"/>
  <c r="O873" i="4"/>
  <c r="P878" i="4"/>
  <c r="M878" i="4"/>
  <c r="O878" i="4"/>
  <c r="N1030" i="4"/>
  <c r="Q1030" i="4"/>
  <c r="M1030" i="4"/>
  <c r="O1030" i="4"/>
  <c r="N628" i="4"/>
  <c r="N632" i="4"/>
  <c r="N636" i="4"/>
  <c r="N640" i="4"/>
  <c r="N687" i="4"/>
  <c r="N691" i="4"/>
  <c r="N695" i="4"/>
  <c r="N699" i="4"/>
  <c r="N703" i="4"/>
  <c r="M708" i="4"/>
  <c r="N711" i="4"/>
  <c r="M712" i="4"/>
  <c r="N715" i="4"/>
  <c r="M716" i="4"/>
  <c r="N719" i="4"/>
  <c r="M720" i="4"/>
  <c r="N727" i="4"/>
  <c r="M728" i="4"/>
  <c r="N731" i="4"/>
  <c r="L734" i="4"/>
  <c r="L766" i="4"/>
  <c r="J775" i="4"/>
  <c r="O775" i="4" s="1"/>
  <c r="P777" i="4"/>
  <c r="Q777" i="4"/>
  <c r="P785" i="4"/>
  <c r="Q785" i="4"/>
  <c r="P793" i="4"/>
  <c r="Q793" i="4"/>
  <c r="P801" i="4"/>
  <c r="Q801" i="4"/>
  <c r="O812" i="4"/>
  <c r="N814" i="4"/>
  <c r="Q814" i="4"/>
  <c r="P814" i="4"/>
  <c r="L815" i="4"/>
  <c r="N815" i="4"/>
  <c r="O828" i="4"/>
  <c r="Q828" i="4"/>
  <c r="N828" i="4"/>
  <c r="M828" i="4"/>
  <c r="L828" i="4"/>
  <c r="P828" i="4" s="1"/>
  <c r="O886" i="4"/>
  <c r="P886" i="4"/>
  <c r="N886" i="4"/>
  <c r="Q886" i="4"/>
  <c r="M886" i="4"/>
  <c r="L886" i="4"/>
  <c r="L891" i="4"/>
  <c r="P891" i="4"/>
  <c r="N891" i="4"/>
  <c r="M979" i="4"/>
  <c r="Q979" i="4"/>
  <c r="O979" i="4"/>
  <c r="P979" i="4"/>
  <c r="Q1007" i="4"/>
  <c r="M1007" i="4"/>
  <c r="O1007" i="4"/>
  <c r="N1007" i="4"/>
  <c r="L1007" i="4"/>
  <c r="P1007" i="4" s="1"/>
  <c r="Q735" i="4"/>
  <c r="O735" i="4"/>
  <c r="O741" i="4"/>
  <c r="M741" i="4"/>
  <c r="P756" i="4"/>
  <c r="Q756" i="4"/>
  <c r="L760" i="4"/>
  <c r="Q767" i="4"/>
  <c r="O767" i="4"/>
  <c r="O773" i="4"/>
  <c r="M773" i="4"/>
  <c r="O832" i="4"/>
  <c r="L832" i="4"/>
  <c r="Q832" i="4"/>
  <c r="P832" i="4"/>
  <c r="M832" i="4"/>
  <c r="N849" i="4"/>
  <c r="P849" i="4"/>
  <c r="Q849" i="4"/>
  <c r="O849" i="4"/>
  <c r="Q923" i="4"/>
  <c r="O923" i="4"/>
  <c r="N923" i="4"/>
  <c r="M923" i="4"/>
  <c r="P628" i="4"/>
  <c r="P632" i="4"/>
  <c r="P636" i="4"/>
  <c r="P640" i="4"/>
  <c r="P687" i="4"/>
  <c r="L689" i="4"/>
  <c r="P691" i="4"/>
  <c r="L693" i="4"/>
  <c r="P695" i="4"/>
  <c r="L697" i="4"/>
  <c r="P699" i="4"/>
  <c r="P703" i="4"/>
  <c r="P707" i="4"/>
  <c r="O708" i="4"/>
  <c r="P711" i="4"/>
  <c r="O712" i="4"/>
  <c r="P715" i="4"/>
  <c r="O716" i="4"/>
  <c r="P719" i="4"/>
  <c r="O720" i="4"/>
  <c r="P723" i="4"/>
  <c r="P727" i="4"/>
  <c r="O728" i="4"/>
  <c r="P731" i="4"/>
  <c r="L742" i="4"/>
  <c r="M759" i="4"/>
  <c r="L776" i="4"/>
  <c r="O778" i="4"/>
  <c r="O779" i="4"/>
  <c r="P783" i="4"/>
  <c r="Q783" i="4"/>
  <c r="L784" i="4"/>
  <c r="M785" i="4"/>
  <c r="P791" i="4"/>
  <c r="Q791" i="4"/>
  <c r="L792" i="4"/>
  <c r="M793" i="4"/>
  <c r="P799" i="4"/>
  <c r="Q799" i="4"/>
  <c r="L800" i="4"/>
  <c r="M801" i="4"/>
  <c r="Q804" i="4"/>
  <c r="P804" i="4"/>
  <c r="P805" i="4"/>
  <c r="Q805" i="4"/>
  <c r="N808" i="4"/>
  <c r="Q808" i="4"/>
  <c r="P808" i="4"/>
  <c r="L809" i="4"/>
  <c r="N809" i="4"/>
  <c r="O814" i="4"/>
  <c r="N816" i="4"/>
  <c r="Q816" i="4"/>
  <c r="P816" i="4"/>
  <c r="L817" i="4"/>
  <c r="O817" i="4"/>
  <c r="O824" i="4"/>
  <c r="N824" i="4"/>
  <c r="M824" i="4"/>
  <c r="L824" i="4"/>
  <c r="P824" i="4" s="1"/>
  <c r="L830" i="4"/>
  <c r="Q842" i="4"/>
  <c r="M842" i="4"/>
  <c r="N842" i="4"/>
  <c r="L842" i="4"/>
  <c r="P842" i="4" s="1"/>
  <c r="O842" i="4"/>
  <c r="P861" i="4"/>
  <c r="O861" i="4"/>
  <c r="N861" i="4"/>
  <c r="M861" i="4"/>
  <c r="Q861" i="4"/>
  <c r="N863" i="4"/>
  <c r="P863" i="4"/>
  <c r="O863" i="4"/>
  <c r="M863" i="4"/>
  <c r="Q863" i="4"/>
  <c r="O898" i="4"/>
  <c r="P898" i="4"/>
  <c r="N898" i="4"/>
  <c r="L898" i="4"/>
  <c r="Q898" i="4"/>
  <c r="L735" i="4"/>
  <c r="P735" i="4" s="1"/>
  <c r="L736" i="4"/>
  <c r="P736" i="4" s="1"/>
  <c r="L741" i="4"/>
  <c r="P741" i="4" s="1"/>
  <c r="J758" i="4"/>
  <c r="P764" i="4"/>
  <c r="Q764" i="4"/>
  <c r="L767" i="4"/>
  <c r="L768" i="4"/>
  <c r="P768" i="4" s="1"/>
  <c r="L773" i="4"/>
  <c r="P773" i="4" s="1"/>
  <c r="N777" i="4"/>
  <c r="N782" i="4"/>
  <c r="N785" i="4"/>
  <c r="N788" i="4"/>
  <c r="Q788" i="4"/>
  <c r="N790" i="4"/>
  <c r="N793" i="4"/>
  <c r="N798" i="4"/>
  <c r="N801" i="4"/>
  <c r="L805" i="4"/>
  <c r="O805" i="4"/>
  <c r="L814" i="4"/>
  <c r="M822" i="4"/>
  <c r="Q822" i="4"/>
  <c r="P822" i="4"/>
  <c r="O822" i="4"/>
  <c r="N822" i="4"/>
  <c r="N831" i="4"/>
  <c r="O831" i="4"/>
  <c r="M831" i="4"/>
  <c r="P831" i="4"/>
  <c r="Q834" i="4"/>
  <c r="M834" i="4"/>
  <c r="P834" i="4"/>
  <c r="O834" i="4"/>
  <c r="N834" i="4"/>
  <c r="O838" i="4"/>
  <c r="M838" i="4"/>
  <c r="Q838" i="4"/>
  <c r="N838" i="4"/>
  <c r="Q840" i="4"/>
  <c r="O840" i="4"/>
  <c r="N840" i="4"/>
  <c r="M840" i="4"/>
  <c r="L840" i="4"/>
  <c r="P840" i="4" s="1"/>
  <c r="M852" i="4"/>
  <c r="O852" i="4"/>
  <c r="Q852" i="4"/>
  <c r="N852" i="4"/>
  <c r="L852" i="4"/>
  <c r="P852" i="4" s="1"/>
  <c r="L855" i="4"/>
  <c r="N857" i="4"/>
  <c r="P857" i="4"/>
  <c r="Q857" i="4"/>
  <c r="O857" i="4"/>
  <c r="M857" i="4"/>
  <c r="N870" i="4"/>
  <c r="P870" i="4"/>
  <c r="O870" i="4"/>
  <c r="P874" i="4"/>
  <c r="Q874" i="4"/>
  <c r="O874" i="4"/>
  <c r="M874" i="4"/>
  <c r="O890" i="4"/>
  <c r="M890" i="4"/>
  <c r="P890" i="4"/>
  <c r="Q890" i="4"/>
  <c r="N890" i="4"/>
  <c r="L890" i="4"/>
  <c r="Q944" i="4"/>
  <c r="P944" i="4"/>
  <c r="M944" i="4"/>
  <c r="O944" i="4"/>
  <c r="N944" i="4"/>
  <c r="P704" i="4"/>
  <c r="P708" i="4"/>
  <c r="P712" i="4"/>
  <c r="P716" i="4"/>
  <c r="P720" i="4"/>
  <c r="P724" i="4"/>
  <c r="P728" i="4"/>
  <c r="P732" i="4"/>
  <c r="M735" i="4"/>
  <c r="N741" i="4"/>
  <c r="L750" i="4"/>
  <c r="P750" i="4" s="1"/>
  <c r="M767" i="4"/>
  <c r="N773" i="4"/>
  <c r="O776" i="4"/>
  <c r="O777" i="4"/>
  <c r="P781" i="4"/>
  <c r="Q781" i="4"/>
  <c r="L782" i="4"/>
  <c r="O785" i="4"/>
  <c r="P789" i="4"/>
  <c r="Q789" i="4"/>
  <c r="L790" i="4"/>
  <c r="O793" i="4"/>
  <c r="P797" i="4"/>
  <c r="Q797" i="4"/>
  <c r="L798" i="4"/>
  <c r="O800" i="4"/>
  <c r="O801" i="4"/>
  <c r="N810" i="4"/>
  <c r="Q810" i="4"/>
  <c r="P810" i="4"/>
  <c r="L811" i="4"/>
  <c r="O811" i="4"/>
  <c r="L819" i="4"/>
  <c r="O819" i="4"/>
  <c r="N832" i="4"/>
  <c r="M836" i="4"/>
  <c r="O836" i="4"/>
  <c r="Q836" i="4"/>
  <c r="P836" i="4"/>
  <c r="N836" i="4"/>
  <c r="L836" i="4"/>
  <c r="L881" i="4"/>
  <c r="P811" i="4"/>
  <c r="P813" i="4"/>
  <c r="P815" i="4"/>
  <c r="P817" i="4"/>
  <c r="P819" i="4"/>
  <c r="P821" i="4"/>
  <c r="L826" i="4"/>
  <c r="P826" i="4" s="1"/>
  <c r="L833" i="4"/>
  <c r="P833" i="4" s="1"/>
  <c r="J837" i="4"/>
  <c r="L837" i="4" s="1"/>
  <c r="J839" i="4"/>
  <c r="N845" i="4"/>
  <c r="L848" i="4"/>
  <c r="P848" i="4" s="1"/>
  <c r="L849" i="4"/>
  <c r="J859" i="4"/>
  <c r="J865" i="4"/>
  <c r="L867" i="4"/>
  <c r="N867" i="4"/>
  <c r="Q871" i="4"/>
  <c r="J873" i="4"/>
  <c r="L882" i="4"/>
  <c r="O896" i="4"/>
  <c r="Q896" i="4"/>
  <c r="P896" i="4"/>
  <c r="L896" i="4"/>
  <c r="O902" i="4"/>
  <c r="P902" i="4"/>
  <c r="N902" i="4"/>
  <c r="L902" i="4"/>
  <c r="Q909" i="4"/>
  <c r="P909" i="4"/>
  <c r="N909" i="4"/>
  <c r="Q920" i="4"/>
  <c r="M920" i="4"/>
  <c r="P935" i="4"/>
  <c r="Q935" i="4"/>
  <c r="O935" i="4"/>
  <c r="N935" i="4"/>
  <c r="M935" i="4"/>
  <c r="M955" i="4"/>
  <c r="Q955" i="4"/>
  <c r="P955" i="4"/>
  <c r="O955" i="4"/>
  <c r="Q965" i="4"/>
  <c r="P965" i="4"/>
  <c r="N965" i="4"/>
  <c r="L965" i="4"/>
  <c r="P843" i="4"/>
  <c r="N843" i="4"/>
  <c r="Q858" i="4"/>
  <c r="M858" i="4"/>
  <c r="N865" i="4"/>
  <c r="L866" i="4"/>
  <c r="O867" i="4"/>
  <c r="N874" i="4"/>
  <c r="L874" i="4"/>
  <c r="O875" i="4"/>
  <c r="P880" i="4"/>
  <c r="O880" i="4"/>
  <c r="J904" i="4"/>
  <c r="O909" i="4"/>
  <c r="P919" i="4"/>
  <c r="M919" i="4"/>
  <c r="N919" i="4"/>
  <c r="J925" i="4"/>
  <c r="M932" i="4"/>
  <c r="Q932" i="4"/>
  <c r="L932" i="4"/>
  <c r="P932" i="4" s="1"/>
  <c r="N932" i="4"/>
  <c r="L959" i="4"/>
  <c r="O959" i="4"/>
  <c r="L963" i="4"/>
  <c r="O963" i="4"/>
  <c r="N1096" i="4"/>
  <c r="M1096" i="4"/>
  <c r="O1096" i="4"/>
  <c r="Q1096" i="4"/>
  <c r="O1101" i="4"/>
  <c r="M1101" i="4"/>
  <c r="Q1101" i="4"/>
  <c r="N1101" i="4"/>
  <c r="P1128" i="4"/>
  <c r="N1128" i="4"/>
  <c r="Q1128" i="4"/>
  <c r="N1141" i="4"/>
  <c r="Q1141" i="4"/>
  <c r="P1141" i="4"/>
  <c r="O1141" i="4"/>
  <c r="N1161" i="4"/>
  <c r="Q1161" i="4"/>
  <c r="P1161" i="4"/>
  <c r="N811" i="4"/>
  <c r="N817" i="4"/>
  <c r="N819" i="4"/>
  <c r="N821" i="4"/>
  <c r="L829" i="4"/>
  <c r="M835" i="4"/>
  <c r="L839" i="4"/>
  <c r="P845" i="4"/>
  <c r="J847" i="4"/>
  <c r="L847" i="4" s="1"/>
  <c r="N853" i="4"/>
  <c r="L857" i="4"/>
  <c r="L864" i="4"/>
  <c r="L865" i="4"/>
  <c r="P867" i="4"/>
  <c r="Q868" i="4"/>
  <c r="L872" i="4"/>
  <c r="L873" i="4"/>
  <c r="P875" i="4"/>
  <c r="L880" i="4"/>
  <c r="O894" i="4"/>
  <c r="Q894" i="4"/>
  <c r="N899" i="4"/>
  <c r="L909" i="4"/>
  <c r="N913" i="4"/>
  <c r="M913" i="4"/>
  <c r="O913" i="4"/>
  <c r="O914" i="4"/>
  <c r="Q914" i="4"/>
  <c r="L914" i="4"/>
  <c r="P914" i="4" s="1"/>
  <c r="L920" i="4"/>
  <c r="P920" i="4" s="1"/>
  <c r="O930" i="4"/>
  <c r="P930" i="4"/>
  <c r="N930" i="4"/>
  <c r="M930" i="4"/>
  <c r="L930" i="4"/>
  <c r="Q930" i="4"/>
  <c r="P950" i="4"/>
  <c r="N950" i="4"/>
  <c r="P952" i="4"/>
  <c r="O952" i="4"/>
  <c r="Q952" i="4"/>
  <c r="N952" i="4"/>
  <c r="O809" i="4"/>
  <c r="O813" i="4"/>
  <c r="O815" i="4"/>
  <c r="P818" i="4"/>
  <c r="P820" i="4"/>
  <c r="J827" i="4"/>
  <c r="O835" i="4"/>
  <c r="O853" i="4"/>
  <c r="L858" i="4"/>
  <c r="L861" i="4"/>
  <c r="L863" i="4"/>
  <c r="O866" i="4"/>
  <c r="P869" i="4"/>
  <c r="L871" i="4"/>
  <c r="N871" i="4"/>
  <c r="M872" i="4"/>
  <c r="P877" i="4"/>
  <c r="N877" i="4"/>
  <c r="L879" i="4"/>
  <c r="M880" i="4"/>
  <c r="M883" i="4"/>
  <c r="O883" i="4"/>
  <c r="Q884" i="4"/>
  <c r="P884" i="4"/>
  <c r="O892" i="4"/>
  <c r="L892" i="4"/>
  <c r="N892" i="4"/>
  <c r="Q893" i="4"/>
  <c r="M893" i="4"/>
  <c r="P895" i="4"/>
  <c r="L895" i="4"/>
  <c r="L899" i="4"/>
  <c r="O911" i="4"/>
  <c r="N911" i="4"/>
  <c r="M911" i="4"/>
  <c r="Q911" i="4"/>
  <c r="L917" i="4"/>
  <c r="N920" i="4"/>
  <c r="O938" i="4"/>
  <c r="M938" i="4"/>
  <c r="L938" i="4"/>
  <c r="N938" i="4"/>
  <c r="L952" i="4"/>
  <c r="Q989" i="4"/>
  <c r="P989" i="4"/>
  <c r="N989" i="4"/>
  <c r="O994" i="4"/>
  <c r="Q994" i="4"/>
  <c r="P994" i="4"/>
  <c r="N994" i="4"/>
  <c r="L994" i="4"/>
  <c r="P1055" i="4"/>
  <c r="Q1055" i="4"/>
  <c r="O1055" i="4"/>
  <c r="M1055" i="4"/>
  <c r="L1055" i="4"/>
  <c r="Q809" i="4"/>
  <c r="Q811" i="4"/>
  <c r="Q813" i="4"/>
  <c r="Q815" i="4"/>
  <c r="Q817" i="4"/>
  <c r="Q818" i="4"/>
  <c r="Q819" i="4"/>
  <c r="Q820" i="4"/>
  <c r="Q821" i="4"/>
  <c r="L841" i="4"/>
  <c r="P851" i="4"/>
  <c r="N851" i="4"/>
  <c r="N858" i="4"/>
  <c r="N864" i="4"/>
  <c r="M871" i="4"/>
  <c r="N872" i="4"/>
  <c r="N880" i="4"/>
  <c r="Q889" i="4"/>
  <c r="N889" i="4"/>
  <c r="P889" i="4"/>
  <c r="N893" i="4"/>
  <c r="L894" i="4"/>
  <c r="N895" i="4"/>
  <c r="J900" i="4"/>
  <c r="N901" i="4"/>
  <c r="L901" i="4"/>
  <c r="M914" i="4"/>
  <c r="O920" i="4"/>
  <c r="O922" i="4"/>
  <c r="Q922" i="4"/>
  <c r="P922" i="4"/>
  <c r="N922" i="4"/>
  <c r="M922" i="4"/>
  <c r="N931" i="4"/>
  <c r="M931" i="4"/>
  <c r="O931" i="4"/>
  <c r="Q936" i="4"/>
  <c r="M936" i="4"/>
  <c r="P936" i="4"/>
  <c r="O936" i="4"/>
  <c r="N936" i="4"/>
  <c r="P947" i="4"/>
  <c r="O947" i="4"/>
  <c r="N947" i="4"/>
  <c r="Q947" i="4"/>
  <c r="M947" i="4"/>
  <c r="P958" i="4"/>
  <c r="N958" i="4"/>
  <c r="Q958" i="4"/>
  <c r="Q968" i="4"/>
  <c r="P968" i="4"/>
  <c r="O968" i="4"/>
  <c r="N968" i="4"/>
  <c r="O989" i="4"/>
  <c r="M1018" i="4"/>
  <c r="Q1018" i="4"/>
  <c r="N1018" i="4"/>
  <c r="O1018" i="4"/>
  <c r="Q1061" i="4"/>
  <c r="N1061" i="4"/>
  <c r="P1061" i="4"/>
  <c r="O1061" i="4"/>
  <c r="Q1087" i="4"/>
  <c r="O1087" i="4"/>
  <c r="N1087" i="4"/>
  <c r="M1087" i="4"/>
  <c r="L1087" i="4"/>
  <c r="P1087" i="4" s="1"/>
  <c r="L825" i="4"/>
  <c r="P825" i="4" s="1"/>
  <c r="Q826" i="4"/>
  <c r="M826" i="4"/>
  <c r="N835" i="4"/>
  <c r="Q835" i="4"/>
  <c r="L843" i="4"/>
  <c r="O846" i="4"/>
  <c r="M846" i="4"/>
  <c r="Q846" i="4"/>
  <c r="Q848" i="4"/>
  <c r="O848" i="4"/>
  <c r="P853" i="4"/>
  <c r="J855" i="4"/>
  <c r="O858" i="4"/>
  <c r="O864" i="4"/>
  <c r="L870" i="4"/>
  <c r="O871" i="4"/>
  <c r="O872" i="4"/>
  <c r="N875" i="4"/>
  <c r="N878" i="4"/>
  <c r="L878" i="4"/>
  <c r="O879" i="4"/>
  <c r="Q880" i="4"/>
  <c r="L883" i="4"/>
  <c r="L884" i="4"/>
  <c r="Q897" i="4"/>
  <c r="M897" i="4"/>
  <c r="P897" i="4"/>
  <c r="O897" i="4"/>
  <c r="Q903" i="4"/>
  <c r="N903" i="4"/>
  <c r="P903" i="4"/>
  <c r="Q905" i="4"/>
  <c r="N905" i="4"/>
  <c r="Q912" i="4"/>
  <c r="M912" i="4"/>
  <c r="N912" i="4"/>
  <c r="O912" i="4"/>
  <c r="L913" i="4"/>
  <c r="P913" i="4" s="1"/>
  <c r="N914" i="4"/>
  <c r="O918" i="4"/>
  <c r="N918" i="4"/>
  <c r="M918" i="4"/>
  <c r="L918" i="4"/>
  <c r="P918" i="4" s="1"/>
  <c r="O919" i="4"/>
  <c r="Q928" i="4"/>
  <c r="M928" i="4"/>
  <c r="P928" i="4"/>
  <c r="O928" i="4"/>
  <c r="N928" i="4"/>
  <c r="O932" i="4"/>
  <c r="O942" i="4"/>
  <c r="N942" i="4"/>
  <c r="Q942" i="4"/>
  <c r="L942" i="4"/>
  <c r="P942" i="4" s="1"/>
  <c r="Q950" i="4"/>
  <c r="P962" i="4"/>
  <c r="O962" i="4"/>
  <c r="Q962" i="4"/>
  <c r="M962" i="4"/>
  <c r="P966" i="4"/>
  <c r="O966" i="4"/>
  <c r="N966" i="4"/>
  <c r="M966" i="4"/>
  <c r="Q966" i="4"/>
  <c r="N983" i="4"/>
  <c r="L983" i="4"/>
  <c r="P983" i="4"/>
  <c r="Q983" i="4"/>
  <c r="O986" i="4"/>
  <c r="Q986" i="4"/>
  <c r="P986" i="4"/>
  <c r="N986" i="4"/>
  <c r="L986" i="4"/>
  <c r="M986" i="4"/>
  <c r="P1040" i="4"/>
  <c r="Q1040" i="4"/>
  <c r="O1040" i="4"/>
  <c r="M1040" i="4"/>
  <c r="J823" i="4"/>
  <c r="M843" i="4"/>
  <c r="M845" i="4"/>
  <c r="P858" i="4"/>
  <c r="Q864" i="4"/>
  <c r="L868" i="4"/>
  <c r="L869" i="4"/>
  <c r="Q872" i="4"/>
  <c r="L876" i="4"/>
  <c r="P879" i="4"/>
  <c r="J881" i="4"/>
  <c r="N881" i="4" s="1"/>
  <c r="N883" i="4"/>
  <c r="Q887" i="4"/>
  <c r="P887" i="4"/>
  <c r="N887" i="4"/>
  <c r="O888" i="4"/>
  <c r="P888" i="4"/>
  <c r="M888" i="4"/>
  <c r="L888" i="4"/>
  <c r="M891" i="4"/>
  <c r="Q891" i="4"/>
  <c r="O891" i="4"/>
  <c r="O893" i="4"/>
  <c r="N894" i="4"/>
  <c r="L903" i="4"/>
  <c r="O910" i="4"/>
  <c r="Q910" i="4"/>
  <c r="P910" i="4"/>
  <c r="N910" i="4"/>
  <c r="L910" i="4"/>
  <c r="P915" i="4"/>
  <c r="Q915" i="4"/>
  <c r="O915" i="4"/>
  <c r="N915" i="4"/>
  <c r="M916" i="4"/>
  <c r="Q916" i="4"/>
  <c r="P916" i="4"/>
  <c r="O916" i="4"/>
  <c r="N916" i="4"/>
  <c r="Q919" i="4"/>
  <c r="M924" i="4"/>
  <c r="Q924" i="4"/>
  <c r="O924" i="4"/>
  <c r="N924" i="4"/>
  <c r="L924" i="4"/>
  <c r="P924" i="4" s="1"/>
  <c r="P938" i="4"/>
  <c r="M940" i="4"/>
  <c r="Q940" i="4"/>
  <c r="N940" i="4"/>
  <c r="M948" i="4"/>
  <c r="Q948" i="4"/>
  <c r="P948" i="4"/>
  <c r="O948" i="4"/>
  <c r="M951" i="4"/>
  <c r="Q951" i="4"/>
  <c r="P951" i="4"/>
  <c r="O951" i="4"/>
  <c r="L966" i="4"/>
  <c r="Q981" i="4"/>
  <c r="P981" i="4"/>
  <c r="O981" i="4"/>
  <c r="M981" i="4"/>
  <c r="L981" i="4"/>
  <c r="O1010" i="4"/>
  <c r="N1010" i="4"/>
  <c r="M1010" i="4"/>
  <c r="Q1010" i="4"/>
  <c r="P1044" i="4"/>
  <c r="Q1044" i="4"/>
  <c r="M1044" i="4"/>
  <c r="O1044" i="4"/>
  <c r="L907" i="4"/>
  <c r="M926" i="4"/>
  <c r="L927" i="4"/>
  <c r="J937" i="4"/>
  <c r="L943" i="4"/>
  <c r="N953" i="4"/>
  <c r="L956" i="4"/>
  <c r="O957" i="4"/>
  <c r="O961" i="4"/>
  <c r="N971" i="4"/>
  <c r="O973" i="4"/>
  <c r="Q977" i="4"/>
  <c r="P977" i="4"/>
  <c r="O977" i="4"/>
  <c r="M977" i="4"/>
  <c r="L982" i="4"/>
  <c r="O987" i="4"/>
  <c r="Q991" i="4"/>
  <c r="N991" i="4"/>
  <c r="O991" i="4"/>
  <c r="O995" i="4"/>
  <c r="J997" i="4"/>
  <c r="L1011" i="4"/>
  <c r="P1011" i="4" s="1"/>
  <c r="O1013" i="4"/>
  <c r="Q1013" i="4"/>
  <c r="P1013" i="4"/>
  <c r="N1013" i="4"/>
  <c r="L1013" i="4"/>
  <c r="J1023" i="4"/>
  <c r="L1049" i="4"/>
  <c r="N1049" i="4"/>
  <c r="L1062" i="4"/>
  <c r="N1062" i="4"/>
  <c r="N1068" i="4"/>
  <c r="P1068" i="4"/>
  <c r="Q1068" i="4"/>
  <c r="O1068" i="4"/>
  <c r="O1085" i="4"/>
  <c r="M1085" i="4"/>
  <c r="Q1085" i="4"/>
  <c r="N1085" i="4"/>
  <c r="N1107" i="4"/>
  <c r="Q1107" i="4"/>
  <c r="M1107" i="4"/>
  <c r="O1107" i="4"/>
  <c r="P1136" i="4"/>
  <c r="N1136" i="4"/>
  <c r="Q1136" i="4"/>
  <c r="Q906" i="4"/>
  <c r="N908" i="4"/>
  <c r="L923" i="4"/>
  <c r="P923" i="4" s="1"/>
  <c r="Q926" i="4"/>
  <c r="O927" i="4"/>
  <c r="J933" i="4"/>
  <c r="N934" i="4"/>
  <c r="Q941" i="4"/>
  <c r="N941" i="4"/>
  <c r="O943" i="4"/>
  <c r="P945" i="4"/>
  <c r="N955" i="4"/>
  <c r="L955" i="4"/>
  <c r="Q961" i="4"/>
  <c r="P961" i="4"/>
  <c r="N961" i="4"/>
  <c r="P970" i="4"/>
  <c r="N970" i="4"/>
  <c r="Q970" i="4"/>
  <c r="Q972" i="4"/>
  <c r="P972" i="4"/>
  <c r="O972" i="4"/>
  <c r="M972" i="4"/>
  <c r="N979" i="4"/>
  <c r="N981" i="4"/>
  <c r="O983" i="4"/>
  <c r="N998" i="4"/>
  <c r="M998" i="4"/>
  <c r="O998" i="4"/>
  <c r="O1017" i="4"/>
  <c r="N1017" i="4"/>
  <c r="M1017" i="4"/>
  <c r="L1017" i="4"/>
  <c r="P1017" i="4" s="1"/>
  <c r="L1023" i="4"/>
  <c r="N1048" i="4"/>
  <c r="P1048" i="4"/>
  <c r="Q1048" i="4"/>
  <c r="O1048" i="4"/>
  <c r="P1072" i="4"/>
  <c r="Q1072" i="4"/>
  <c r="O1072" i="4"/>
  <c r="M1072" i="4"/>
  <c r="P1084" i="4"/>
  <c r="O1084" i="4"/>
  <c r="Q1084" i="4"/>
  <c r="N1084" i="4"/>
  <c r="M1084" i="4"/>
  <c r="Q1108" i="4"/>
  <c r="N1108" i="4"/>
  <c r="M1108" i="4"/>
  <c r="O1108" i="4"/>
  <c r="P1108" i="4"/>
  <c r="L1108" i="4"/>
  <c r="P1124" i="4"/>
  <c r="N1124" i="4"/>
  <c r="Q1124" i="4"/>
  <c r="M1262" i="4"/>
  <c r="Q1262" i="4"/>
  <c r="P1262" i="4"/>
  <c r="O1262" i="4"/>
  <c r="N1262" i="4"/>
  <c r="L1262" i="4"/>
  <c r="P907" i="4"/>
  <c r="P908" i="4"/>
  <c r="L911" i="4"/>
  <c r="P911" i="4" s="1"/>
  <c r="J921" i="4"/>
  <c r="L921" i="4" s="1"/>
  <c r="P934" i="4"/>
  <c r="N951" i="4"/>
  <c r="L951" i="4"/>
  <c r="Q957" i="4"/>
  <c r="P957" i="4"/>
  <c r="M957" i="4"/>
  <c r="O958" i="4"/>
  <c r="N962" i="4"/>
  <c r="O965" i="4"/>
  <c r="M967" i="4"/>
  <c r="Q967" i="4"/>
  <c r="O967" i="4"/>
  <c r="O970" i="4"/>
  <c r="L972" i="4"/>
  <c r="J990" i="4"/>
  <c r="P991" i="4"/>
  <c r="P1002" i="4"/>
  <c r="Q1002" i="4"/>
  <c r="O1002" i="4"/>
  <c r="N1002" i="4"/>
  <c r="M1002" i="4"/>
  <c r="Q1015" i="4"/>
  <c r="M1015" i="4"/>
  <c r="P1015" i="4"/>
  <c r="O1015" i="4"/>
  <c r="N1015" i="4"/>
  <c r="P1024" i="4"/>
  <c r="N1024" i="4"/>
  <c r="O1024" i="4"/>
  <c r="M1024" i="4"/>
  <c r="Q1024" i="4"/>
  <c r="P1039" i="4"/>
  <c r="N1039" i="4"/>
  <c r="Q1039" i="4"/>
  <c r="O1039" i="4"/>
  <c r="L1039" i="4"/>
  <c r="P1052" i="4"/>
  <c r="Q1052" i="4"/>
  <c r="M1052" i="4"/>
  <c r="N1076" i="4"/>
  <c r="P1076" i="4"/>
  <c r="Q1076" i="4"/>
  <c r="O1076" i="4"/>
  <c r="Q1089" i="4"/>
  <c r="M1089" i="4"/>
  <c r="O1089" i="4"/>
  <c r="N1089" i="4"/>
  <c r="L1089" i="4"/>
  <c r="P1089" i="4" s="1"/>
  <c r="Q1103" i="4"/>
  <c r="O1103" i="4"/>
  <c r="N1103" i="4"/>
  <c r="M1103" i="4"/>
  <c r="L1103" i="4"/>
  <c r="P1103" i="4" s="1"/>
  <c r="P1120" i="4"/>
  <c r="N1120" i="4"/>
  <c r="Q1120" i="4"/>
  <c r="N1236" i="4"/>
  <c r="L1236" i="4"/>
  <c r="Q908" i="4"/>
  <c r="L931" i="4"/>
  <c r="P931" i="4" s="1"/>
  <c r="Q934" i="4"/>
  <c r="N945" i="4"/>
  <c r="M945" i="4"/>
  <c r="Q949" i="4"/>
  <c r="P949" i="4"/>
  <c r="N949" i="4"/>
  <c r="P954" i="4"/>
  <c r="N954" i="4"/>
  <c r="Q969" i="4"/>
  <c r="P969" i="4"/>
  <c r="O969" i="4"/>
  <c r="M969" i="4"/>
  <c r="P974" i="4"/>
  <c r="O974" i="4"/>
  <c r="N974" i="4"/>
  <c r="M974" i="4"/>
  <c r="Q974" i="4"/>
  <c r="Q976" i="4"/>
  <c r="P976" i="4"/>
  <c r="O976" i="4"/>
  <c r="M976" i="4"/>
  <c r="O1001" i="4"/>
  <c r="Q1001" i="4"/>
  <c r="P1001" i="4"/>
  <c r="N1001" i="4"/>
  <c r="M1001" i="4"/>
  <c r="M1011" i="4"/>
  <c r="Q1011" i="4"/>
  <c r="N1011" i="4"/>
  <c r="O1011" i="4"/>
  <c r="L1012" i="4"/>
  <c r="M1019" i="4"/>
  <c r="Q1019" i="4"/>
  <c r="P1019" i="4"/>
  <c r="O1019" i="4"/>
  <c r="L1019" i="4"/>
  <c r="Q1031" i="4"/>
  <c r="M1031" i="4"/>
  <c r="P1031" i="4"/>
  <c r="O1031" i="4"/>
  <c r="L1031" i="4"/>
  <c r="N1056" i="4"/>
  <c r="P1056" i="4"/>
  <c r="Q1056" i="4"/>
  <c r="O1056" i="4"/>
  <c r="O1100" i="4"/>
  <c r="Q1100" i="4"/>
  <c r="N1100" i="4"/>
  <c r="M1100" i="4"/>
  <c r="Q1207" i="4"/>
  <c r="P1207" i="4"/>
  <c r="O1207" i="4"/>
  <c r="N1207" i="4"/>
  <c r="L1207" i="4"/>
  <c r="N1209" i="4"/>
  <c r="L1209" i="4"/>
  <c r="P1209" i="4"/>
  <c r="Q1209" i="4"/>
  <c r="M895" i="4"/>
  <c r="Q895" i="4"/>
  <c r="L919" i="4"/>
  <c r="J929" i="4"/>
  <c r="L929" i="4" s="1"/>
  <c r="J946" i="4"/>
  <c r="Q953" i="4"/>
  <c r="P953" i="4"/>
  <c r="M953" i="4"/>
  <c r="O954" i="4"/>
  <c r="P960" i="4"/>
  <c r="O960" i="4"/>
  <c r="Q964" i="4"/>
  <c r="P964" i="4"/>
  <c r="O964" i="4"/>
  <c r="M971" i="4"/>
  <c r="Q971" i="4"/>
  <c r="O971" i="4"/>
  <c r="Q973" i="4"/>
  <c r="P973" i="4"/>
  <c r="N973" i="4"/>
  <c r="L974" i="4"/>
  <c r="L976" i="4"/>
  <c r="P978" i="4"/>
  <c r="N978" i="4"/>
  <c r="Q978" i="4"/>
  <c r="Q980" i="4"/>
  <c r="P980" i="4"/>
  <c r="O980" i="4"/>
  <c r="M980" i="4"/>
  <c r="Q987" i="4"/>
  <c r="P987" i="4"/>
  <c r="N987" i="4"/>
  <c r="Q995" i="4"/>
  <c r="P995" i="4"/>
  <c r="N995" i="4"/>
  <c r="L996" i="4"/>
  <c r="Q1017" i="4"/>
  <c r="P1022" i="4"/>
  <c r="Q1022" i="4"/>
  <c r="O1022" i="4"/>
  <c r="N1022" i="4"/>
  <c r="M1022" i="4"/>
  <c r="L1067" i="4"/>
  <c r="N1080" i="4"/>
  <c r="P1080" i="4"/>
  <c r="O1080" i="4"/>
  <c r="L1098" i="4"/>
  <c r="Q1180" i="4"/>
  <c r="O1180" i="4"/>
  <c r="N1180" i="4"/>
  <c r="M1180" i="4"/>
  <c r="J917" i="4"/>
  <c r="P927" i="4"/>
  <c r="L939" i="4"/>
  <c r="L940" i="4"/>
  <c r="P940" i="4" s="1"/>
  <c r="P943" i="4"/>
  <c r="O950" i="4"/>
  <c r="L950" i="4"/>
  <c r="P956" i="4"/>
  <c r="O956" i="4"/>
  <c r="N959" i="4"/>
  <c r="Q959" i="4"/>
  <c r="N963" i="4"/>
  <c r="Q963" i="4"/>
  <c r="N969" i="4"/>
  <c r="N975" i="4"/>
  <c r="Q975" i="4"/>
  <c r="O975" i="4"/>
  <c r="N976" i="4"/>
  <c r="O982" i="4"/>
  <c r="Q982" i="4"/>
  <c r="P982" i="4"/>
  <c r="N982" i="4"/>
  <c r="M982" i="4"/>
  <c r="M1003" i="4"/>
  <c r="Q1003" i="4"/>
  <c r="P1003" i="4"/>
  <c r="O1003" i="4"/>
  <c r="N1003" i="4"/>
  <c r="L1003" i="4"/>
  <c r="Q1006" i="4"/>
  <c r="O1006" i="4"/>
  <c r="M1006" i="4"/>
  <c r="O1009" i="4"/>
  <c r="Q1009" i="4"/>
  <c r="N1009" i="4"/>
  <c r="M1009" i="4"/>
  <c r="L1009" i="4"/>
  <c r="P1009" i="4" s="1"/>
  <c r="M1033" i="4"/>
  <c r="O1033" i="4"/>
  <c r="Q1033" i="4"/>
  <c r="P1033" i="4"/>
  <c r="N1033" i="4"/>
  <c r="P1036" i="4"/>
  <c r="Q1036" i="4"/>
  <c r="M1036" i="4"/>
  <c r="P1047" i="4"/>
  <c r="Q1047" i="4"/>
  <c r="O1047" i="4"/>
  <c r="M1047" i="4"/>
  <c r="L1047" i="4"/>
  <c r="P1064" i="4"/>
  <c r="Q1064" i="4"/>
  <c r="M1064" i="4"/>
  <c r="N1088" i="4"/>
  <c r="Q1088" i="4"/>
  <c r="O1088" i="4"/>
  <c r="M1088" i="4"/>
  <c r="O1093" i="4"/>
  <c r="M1093" i="4"/>
  <c r="Q1093" i="4"/>
  <c r="P1140" i="4"/>
  <c r="Q1140" i="4"/>
  <c r="O1140" i="4"/>
  <c r="M1140" i="4"/>
  <c r="J1004" i="4"/>
  <c r="P1014" i="4"/>
  <c r="L1032" i="4"/>
  <c r="O1058" i="4"/>
  <c r="L1058" i="4"/>
  <c r="P1062" i="4"/>
  <c r="O1062" i="4"/>
  <c r="L1068" i="4"/>
  <c r="J1071" i="4"/>
  <c r="L1071" i="4" s="1"/>
  <c r="Q1077" i="4"/>
  <c r="N1077" i="4"/>
  <c r="O1078" i="4"/>
  <c r="L1078" i="4"/>
  <c r="L1093" i="4"/>
  <c r="P1093" i="4" s="1"/>
  <c r="L1105" i="4"/>
  <c r="Q1105" i="4"/>
  <c r="P1105" i="4"/>
  <c r="M1105" i="4"/>
  <c r="M1118" i="4"/>
  <c r="Q1118" i="4"/>
  <c r="P1118" i="4"/>
  <c r="O1118" i="4"/>
  <c r="N1118" i="4"/>
  <c r="Q1121" i="4"/>
  <c r="P1121" i="4"/>
  <c r="O1121" i="4"/>
  <c r="M1121" i="4"/>
  <c r="N1123" i="4"/>
  <c r="L1123" i="4"/>
  <c r="Q1125" i="4"/>
  <c r="P1125" i="4"/>
  <c r="O1125" i="4"/>
  <c r="M1125" i="4"/>
  <c r="Q1129" i="4"/>
  <c r="P1129" i="4"/>
  <c r="O1129" i="4"/>
  <c r="M1129" i="4"/>
  <c r="N1131" i="4"/>
  <c r="L1131" i="4"/>
  <c r="Q1133" i="4"/>
  <c r="P1133" i="4"/>
  <c r="O1133" i="4"/>
  <c r="M1133" i="4"/>
  <c r="Q1137" i="4"/>
  <c r="P1137" i="4"/>
  <c r="O1137" i="4"/>
  <c r="M1137" i="4"/>
  <c r="N1149" i="4"/>
  <c r="Q1149" i="4"/>
  <c r="P1149" i="4"/>
  <c r="O1149" i="4"/>
  <c r="Q1182" i="4"/>
  <c r="P1182" i="4"/>
  <c r="O1182" i="4"/>
  <c r="N1182" i="4"/>
  <c r="M1182" i="4"/>
  <c r="L1182" i="4"/>
  <c r="Q984" i="4"/>
  <c r="O985" i="4"/>
  <c r="L988" i="4"/>
  <c r="Q992" i="4"/>
  <c r="O993" i="4"/>
  <c r="L1002" i="4"/>
  <c r="Q1005" i="4"/>
  <c r="M1008" i="4"/>
  <c r="J1012" i="4"/>
  <c r="M1014" i="4"/>
  <c r="O1020" i="4"/>
  <c r="L1021" i="4"/>
  <c r="P1021" i="4" s="1"/>
  <c r="J1026" i="4"/>
  <c r="J1028" i="4"/>
  <c r="O1032" i="4"/>
  <c r="N1034" i="4"/>
  <c r="O1035" i="4"/>
  <c r="N1042" i="4"/>
  <c r="O1043" i="4"/>
  <c r="N1050" i="4"/>
  <c r="O1051" i="4"/>
  <c r="N1058" i="4"/>
  <c r="M1062" i="4"/>
  <c r="O1063" i="4"/>
  <c r="N1072" i="4"/>
  <c r="O1073" i="4"/>
  <c r="P1075" i="4"/>
  <c r="N1075" i="4"/>
  <c r="L1077" i="4"/>
  <c r="N1078" i="4"/>
  <c r="J1082" i="4"/>
  <c r="M1083" i="4"/>
  <c r="O1083" i="4"/>
  <c r="L1088" i="4"/>
  <c r="P1088" i="4" s="1"/>
  <c r="N1092" i="4"/>
  <c r="J1098" i="4"/>
  <c r="M1099" i="4"/>
  <c r="O1099" i="4"/>
  <c r="L1104" i="4"/>
  <c r="P1104" i="4" s="1"/>
  <c r="N1105" i="4"/>
  <c r="P1144" i="4"/>
  <c r="O1144" i="4"/>
  <c r="N1144" i="4"/>
  <c r="Q1144" i="4"/>
  <c r="L1144" i="4"/>
  <c r="L1161" i="4"/>
  <c r="O1161" i="4"/>
  <c r="Q1169" i="4"/>
  <c r="M1169" i="4"/>
  <c r="N1169" i="4"/>
  <c r="O1169" i="4"/>
  <c r="Q1179" i="4"/>
  <c r="O1179" i="4"/>
  <c r="N1179" i="4"/>
  <c r="M1179" i="4"/>
  <c r="N1237" i="4"/>
  <c r="L1237" i="4"/>
  <c r="P1237" i="4"/>
  <c r="Q1237" i="4"/>
  <c r="N1259" i="4"/>
  <c r="O1259" i="4"/>
  <c r="M1259" i="4"/>
  <c r="L1259" i="4"/>
  <c r="P1259" i="4" s="1"/>
  <c r="Q1259" i="4"/>
  <c r="Q1261" i="4"/>
  <c r="O1261" i="4"/>
  <c r="N1261" i="4"/>
  <c r="M1261" i="4"/>
  <c r="L1261" i="4"/>
  <c r="P1261" i="4" s="1"/>
  <c r="M1344" i="4"/>
  <c r="Q1344" i="4"/>
  <c r="O1344" i="4"/>
  <c r="N1344" i="4"/>
  <c r="O1346" i="4"/>
  <c r="M1346" i="4"/>
  <c r="L1346" i="4"/>
  <c r="P1346" i="4" s="1"/>
  <c r="Q1346" i="4"/>
  <c r="N1346" i="4"/>
  <c r="L954" i="4"/>
  <c r="L958" i="4"/>
  <c r="L962" i="4"/>
  <c r="L970" i="4"/>
  <c r="L978" i="4"/>
  <c r="P985" i="4"/>
  <c r="M988" i="4"/>
  <c r="L989" i="4"/>
  <c r="P993" i="4"/>
  <c r="J1000" i="4"/>
  <c r="L1000" i="4" s="1"/>
  <c r="N1014" i="4"/>
  <c r="P1020" i="4"/>
  <c r="M1021" i="4"/>
  <c r="L1022" i="4"/>
  <c r="J1037" i="4"/>
  <c r="P1038" i="4"/>
  <c r="N1040" i="4"/>
  <c r="L1040" i="4"/>
  <c r="O1042" i="4"/>
  <c r="J1045" i="4"/>
  <c r="P1046" i="4"/>
  <c r="N1047" i="4"/>
  <c r="L1048" i="4"/>
  <c r="O1050" i="4"/>
  <c r="J1053" i="4"/>
  <c r="P1054" i="4"/>
  <c r="N1055" i="4"/>
  <c r="L1056" i="4"/>
  <c r="L1061" i="4"/>
  <c r="O1066" i="4"/>
  <c r="L1066" i="4"/>
  <c r="P1070" i="4"/>
  <c r="O1070" i="4"/>
  <c r="J1094" i="4"/>
  <c r="O1105" i="4"/>
  <c r="Q1114" i="4"/>
  <c r="O1114" i="4"/>
  <c r="N1114" i="4"/>
  <c r="M1114" i="4"/>
  <c r="L1114" i="4"/>
  <c r="P1114" i="4"/>
  <c r="Q1116" i="4"/>
  <c r="L1116" i="4"/>
  <c r="P1116" i="4"/>
  <c r="M1116" i="4"/>
  <c r="O1186" i="4"/>
  <c r="N1186" i="4"/>
  <c r="M1186" i="4"/>
  <c r="L1186" i="4"/>
  <c r="P1186" i="4" s="1"/>
  <c r="Q1186" i="4"/>
  <c r="P1191" i="4"/>
  <c r="O1191" i="4"/>
  <c r="N1191" i="4"/>
  <c r="M1191" i="4"/>
  <c r="L1191" i="4"/>
  <c r="Q1191" i="4"/>
  <c r="Q1193" i="4"/>
  <c r="P1193" i="4"/>
  <c r="O1193" i="4"/>
  <c r="N1193" i="4"/>
  <c r="M1193" i="4"/>
  <c r="O1228" i="4"/>
  <c r="L1228" i="4"/>
  <c r="Q1235" i="4"/>
  <c r="P1235" i="4"/>
  <c r="O1235" i="4"/>
  <c r="N1235" i="4"/>
  <c r="L1235" i="4"/>
  <c r="M1235" i="4"/>
  <c r="O1288" i="4"/>
  <c r="N1288" i="4"/>
  <c r="M1288" i="4"/>
  <c r="Q1288" i="4"/>
  <c r="P1288" i="4"/>
  <c r="N988" i="4"/>
  <c r="L1010" i="4"/>
  <c r="P1010" i="4" s="1"/>
  <c r="O1014" i="4"/>
  <c r="Q1020" i="4"/>
  <c r="N1021" i="4"/>
  <c r="M1025" i="4"/>
  <c r="O1025" i="4"/>
  <c r="P1032" i="4"/>
  <c r="N1032" i="4"/>
  <c r="P1059" i="4"/>
  <c r="M1059" i="4"/>
  <c r="Q1062" i="4"/>
  <c r="Q1069" i="4"/>
  <c r="N1069" i="4"/>
  <c r="L1076" i="4"/>
  <c r="O1077" i="4"/>
  <c r="P1079" i="4"/>
  <c r="N1079" i="4"/>
  <c r="L1084" i="4"/>
  <c r="L1085" i="4"/>
  <c r="P1085" i="4" s="1"/>
  <c r="L1100" i="4"/>
  <c r="P1100" i="4" s="1"/>
  <c r="L1101" i="4"/>
  <c r="P1101" i="4" s="1"/>
  <c r="O1112" i="4"/>
  <c r="M1112" i="4"/>
  <c r="Q1112" i="4"/>
  <c r="N1112" i="4"/>
  <c r="L1118" i="4"/>
  <c r="O1120" i="4"/>
  <c r="O1124" i="4"/>
  <c r="L1126" i="4"/>
  <c r="O1126" i="4"/>
  <c r="O1128" i="4"/>
  <c r="O1132" i="4"/>
  <c r="O1134" i="4"/>
  <c r="O1136" i="4"/>
  <c r="L1142" i="4"/>
  <c r="N1142" i="4"/>
  <c r="P1148" i="4"/>
  <c r="O1148" i="4"/>
  <c r="Q1148" i="4"/>
  <c r="M1148" i="4"/>
  <c r="L1148" i="4"/>
  <c r="P1160" i="4"/>
  <c r="O1160" i="4"/>
  <c r="N1160" i="4"/>
  <c r="Q1160" i="4"/>
  <c r="L1160" i="4"/>
  <c r="O1205" i="4"/>
  <c r="Q1283" i="4"/>
  <c r="N1283" i="4"/>
  <c r="M1283" i="4"/>
  <c r="O1283" i="4"/>
  <c r="P1283" i="4"/>
  <c r="O1290" i="4"/>
  <c r="N1290" i="4"/>
  <c r="L1290" i="4"/>
  <c r="Q1296" i="4"/>
  <c r="N1296" i="4"/>
  <c r="P1296" i="4"/>
  <c r="L967" i="4"/>
  <c r="L971" i="4"/>
  <c r="L979" i="4"/>
  <c r="P988" i="4"/>
  <c r="O992" i="4"/>
  <c r="L998" i="4"/>
  <c r="P998" i="4" s="1"/>
  <c r="Q999" i="4"/>
  <c r="M999" i="4"/>
  <c r="N1008" i="4"/>
  <c r="Q1008" i="4"/>
  <c r="Q1014" i="4"/>
  <c r="L1026" i="4"/>
  <c r="O1027" i="4"/>
  <c r="M1027" i="4"/>
  <c r="Q1027" i="4"/>
  <c r="L1028" i="4"/>
  <c r="Q1029" i="4"/>
  <c r="O1029" i="4"/>
  <c r="P1034" i="4"/>
  <c r="P1035" i="4"/>
  <c r="N1035" i="4"/>
  <c r="L1037" i="4"/>
  <c r="P1043" i="4"/>
  <c r="N1043" i="4"/>
  <c r="L1045" i="4"/>
  <c r="P1051" i="4"/>
  <c r="N1051" i="4"/>
  <c r="L1053" i="4"/>
  <c r="N1060" i="4"/>
  <c r="P1063" i="4"/>
  <c r="N1063" i="4"/>
  <c r="L1065" i="4"/>
  <c r="N1065" i="4"/>
  <c r="P1074" i="4"/>
  <c r="O1074" i="4"/>
  <c r="L1075" i="4"/>
  <c r="P1077" i="4"/>
  <c r="Q1081" i="4"/>
  <c r="M1081" i="4"/>
  <c r="P1092" i="4"/>
  <c r="O1092" i="4"/>
  <c r="Q1095" i="4"/>
  <c r="O1095" i="4"/>
  <c r="N1095" i="4"/>
  <c r="Q1097" i="4"/>
  <c r="M1097" i="4"/>
  <c r="O1106" i="4"/>
  <c r="Q1106" i="4"/>
  <c r="N1106" i="4"/>
  <c r="M1106" i="4"/>
  <c r="M1110" i="4"/>
  <c r="Q1110" i="4"/>
  <c r="L1110" i="4"/>
  <c r="P1110" i="4" s="1"/>
  <c r="L1112" i="4"/>
  <c r="P1112" i="4" s="1"/>
  <c r="M1145" i="4"/>
  <c r="Q1145" i="4"/>
  <c r="P1145" i="4"/>
  <c r="O1155" i="4"/>
  <c r="N1155" i="4"/>
  <c r="L1155" i="4"/>
  <c r="M1168" i="4"/>
  <c r="L1168" i="4"/>
  <c r="P1168" i="4" s="1"/>
  <c r="N1168" i="4"/>
  <c r="O1168" i="4"/>
  <c r="L1169" i="4"/>
  <c r="P1169" i="4" s="1"/>
  <c r="O1202" i="4"/>
  <c r="N1202" i="4"/>
  <c r="M1202" i="4"/>
  <c r="P1202" i="4"/>
  <c r="Q1202" i="4"/>
  <c r="Q1227" i="4"/>
  <c r="P1227" i="4"/>
  <c r="O1227" i="4"/>
  <c r="N1227" i="4"/>
  <c r="L1227" i="4"/>
  <c r="M1227" i="4"/>
  <c r="Q1253" i="4"/>
  <c r="O1253" i="4"/>
  <c r="M1253" i="4"/>
  <c r="N1253" i="4"/>
  <c r="N1275" i="4"/>
  <c r="M1275" i="4"/>
  <c r="Q1275" i="4"/>
  <c r="O1275" i="4"/>
  <c r="O1280" i="4"/>
  <c r="N1280" i="4"/>
  <c r="M1280" i="4"/>
  <c r="Q1280" i="4"/>
  <c r="L1280" i="4"/>
  <c r="P1280" i="4"/>
  <c r="L984" i="4"/>
  <c r="Q988" i="4"/>
  <c r="J996" i="4"/>
  <c r="L1005" i="4"/>
  <c r="P1005" i="4" s="1"/>
  <c r="L1018" i="4"/>
  <c r="P1018" i="4" s="1"/>
  <c r="Q1021" i="4"/>
  <c r="L1025" i="4"/>
  <c r="N1038" i="4"/>
  <c r="N1046" i="4"/>
  <c r="N1054" i="4"/>
  <c r="N1059" i="4"/>
  <c r="M1060" i="4"/>
  <c r="Q1066" i="4"/>
  <c r="L1069" i="4"/>
  <c r="N1070" i="4"/>
  <c r="Q1073" i="4"/>
  <c r="N1073" i="4"/>
  <c r="L1074" i="4"/>
  <c r="L1080" i="4"/>
  <c r="N1083" i="4"/>
  <c r="J1090" i="4"/>
  <c r="L1090" i="4" s="1"/>
  <c r="M1091" i="4"/>
  <c r="O1091" i="4"/>
  <c r="L1094" i="4"/>
  <c r="L1096" i="4"/>
  <c r="P1096" i="4" s="1"/>
  <c r="N1099" i="4"/>
  <c r="N1115" i="4"/>
  <c r="O1115" i="4"/>
  <c r="M1115" i="4"/>
  <c r="P1115" i="4"/>
  <c r="P1152" i="4"/>
  <c r="O1152" i="4"/>
  <c r="N1152" i="4"/>
  <c r="L1152" i="4"/>
  <c r="P1183" i="4"/>
  <c r="O1183" i="4"/>
  <c r="N1183" i="4"/>
  <c r="M1183" i="4"/>
  <c r="L1183" i="4"/>
  <c r="Q1183" i="4"/>
  <c r="L1193" i="4"/>
  <c r="M984" i="4"/>
  <c r="M1005" i="4"/>
  <c r="L1006" i="4"/>
  <c r="P1006" i="4" s="1"/>
  <c r="J1016" i="4"/>
  <c r="L1016" i="4" s="1"/>
  <c r="N1025" i="4"/>
  <c r="L1029" i="4"/>
  <c r="L1030" i="4"/>
  <c r="P1030" i="4" s="1"/>
  <c r="N1036" i="4"/>
  <c r="L1036" i="4"/>
  <c r="O1037" i="4"/>
  <c r="O1038" i="4"/>
  <c r="J1041" i="4"/>
  <c r="O1041" i="4" s="1"/>
  <c r="P1042" i="4"/>
  <c r="N1044" i="4"/>
  <c r="L1044" i="4"/>
  <c r="O1045" i="4"/>
  <c r="O1046" i="4"/>
  <c r="J1049" i="4"/>
  <c r="P1050" i="4"/>
  <c r="N1052" i="4"/>
  <c r="L1052" i="4"/>
  <c r="O1054" i="4"/>
  <c r="J1057" i="4"/>
  <c r="P1058" i="4"/>
  <c r="L1059" i="4"/>
  <c r="O1060" i="4"/>
  <c r="N1064" i="4"/>
  <c r="O1065" i="4"/>
  <c r="J1067" i="4"/>
  <c r="N1067" i="4" s="1"/>
  <c r="Q1070" i="4"/>
  <c r="M1074" i="4"/>
  <c r="P1078" i="4"/>
  <c r="L1081" i="4"/>
  <c r="P1081" i="4" s="1"/>
  <c r="P1083" i="4"/>
  <c r="J1086" i="4"/>
  <c r="L1095" i="4"/>
  <c r="P1095" i="4" s="1"/>
  <c r="L1097" i="4"/>
  <c r="P1097" i="4" s="1"/>
  <c r="P1099" i="4"/>
  <c r="J1102" i="4"/>
  <c r="L1102" i="4" s="1"/>
  <c r="N1116" i="4"/>
  <c r="L1139" i="4"/>
  <c r="N1143" i="4"/>
  <c r="N1145" i="4"/>
  <c r="L1145" i="4"/>
  <c r="J1154" i="4"/>
  <c r="P1156" i="4"/>
  <c r="O1156" i="4"/>
  <c r="N1156" i="4"/>
  <c r="Q1156" i="4"/>
  <c r="Q1159" i="4"/>
  <c r="P1159" i="4"/>
  <c r="M1159" i="4"/>
  <c r="O1159" i="4"/>
  <c r="N1159" i="4"/>
  <c r="L1159" i="4"/>
  <c r="P1164" i="4"/>
  <c r="O1164" i="4"/>
  <c r="N1164" i="4"/>
  <c r="L1164" i="4"/>
  <c r="O1170" i="4"/>
  <c r="N1170" i="4"/>
  <c r="M1170" i="4"/>
  <c r="Q1170" i="4"/>
  <c r="L1170" i="4"/>
  <c r="P1170" i="4" s="1"/>
  <c r="L1173" i="4"/>
  <c r="N1189" i="4"/>
  <c r="M1189" i="4"/>
  <c r="Q1189" i="4"/>
  <c r="P1189" i="4"/>
  <c r="O1189" i="4"/>
  <c r="J1217" i="4"/>
  <c r="N1217" i="4" s="1"/>
  <c r="O1248" i="4"/>
  <c r="L1248" i="4"/>
  <c r="O1272" i="4"/>
  <c r="N1272" i="4"/>
  <c r="Q1272" i="4"/>
  <c r="P1272" i="4"/>
  <c r="L1272" i="4"/>
  <c r="M1272" i="4"/>
  <c r="J1122" i="4"/>
  <c r="L1122" i="4" s="1"/>
  <c r="J1123" i="4"/>
  <c r="J1126" i="4"/>
  <c r="J1127" i="4"/>
  <c r="J1130" i="4"/>
  <c r="J1131" i="4"/>
  <c r="J1134" i="4"/>
  <c r="J1135" i="4"/>
  <c r="N1135" i="4" s="1"/>
  <c r="J1138" i="4"/>
  <c r="L1138" i="4" s="1"/>
  <c r="J1139" i="4"/>
  <c r="O1139" i="4" s="1"/>
  <c r="J1142" i="4"/>
  <c r="J1143" i="4"/>
  <c r="Q1155" i="4"/>
  <c r="P1155" i="4"/>
  <c r="M1155" i="4"/>
  <c r="N1157" i="4"/>
  <c r="L1157" i="4"/>
  <c r="P1158" i="4"/>
  <c r="L1163" i="4"/>
  <c r="J1171" i="4"/>
  <c r="M1176" i="4"/>
  <c r="L1176" i="4"/>
  <c r="Q1176" i="4"/>
  <c r="P1176" i="4"/>
  <c r="Q1188" i="4"/>
  <c r="P1188" i="4"/>
  <c r="O1188" i="4"/>
  <c r="N1188" i="4"/>
  <c r="M1188" i="4"/>
  <c r="Q1190" i="4"/>
  <c r="O1190" i="4"/>
  <c r="N1190" i="4"/>
  <c r="J1194" i="4"/>
  <c r="L1195" i="4"/>
  <c r="J1197" i="4"/>
  <c r="J1205" i="4"/>
  <c r="N1208" i="4"/>
  <c r="L1208" i="4"/>
  <c r="Q1215" i="4"/>
  <c r="P1215" i="4"/>
  <c r="O1215" i="4"/>
  <c r="N1215" i="4"/>
  <c r="L1215" i="4"/>
  <c r="Q1243" i="4"/>
  <c r="P1243" i="4"/>
  <c r="O1243" i="4"/>
  <c r="N1243" i="4"/>
  <c r="L1243" i="4"/>
  <c r="J1245" i="4"/>
  <c r="O1245" i="4" s="1"/>
  <c r="Q1251" i="4"/>
  <c r="O1251" i="4"/>
  <c r="N1251" i="4"/>
  <c r="M1251" i="4"/>
  <c r="P1286" i="4"/>
  <c r="M1286" i="4"/>
  <c r="O1286" i="4"/>
  <c r="N1286" i="4"/>
  <c r="Q1286" i="4"/>
  <c r="Q1292" i="4"/>
  <c r="N1292" i="4"/>
  <c r="P1292" i="4"/>
  <c r="P1295" i="4"/>
  <c r="O1295" i="4"/>
  <c r="M1295" i="4"/>
  <c r="L1295" i="4"/>
  <c r="Q1295" i="4"/>
  <c r="L1107" i="4"/>
  <c r="P1107" i="4" s="1"/>
  <c r="N1111" i="4"/>
  <c r="O1117" i="4"/>
  <c r="N1121" i="4"/>
  <c r="L1121" i="4"/>
  <c r="N1125" i="4"/>
  <c r="L1125" i="4"/>
  <c r="N1129" i="4"/>
  <c r="L1129" i="4"/>
  <c r="N1133" i="4"/>
  <c r="L1133" i="4"/>
  <c r="N1137" i="4"/>
  <c r="L1137" i="4"/>
  <c r="N1140" i="4"/>
  <c r="L1141" i="4"/>
  <c r="Q1147" i="4"/>
  <c r="P1147" i="4"/>
  <c r="M1147" i="4"/>
  <c r="L1149" i="4"/>
  <c r="N1150" i="4"/>
  <c r="Q1172" i="4"/>
  <c r="O1172" i="4"/>
  <c r="M1172" i="4"/>
  <c r="L1180" i="4"/>
  <c r="P1180" i="4" s="1"/>
  <c r="M1187" i="4"/>
  <c r="O1209" i="4"/>
  <c r="O1212" i="4"/>
  <c r="L1212" i="4"/>
  <c r="O1220" i="4"/>
  <c r="L1220" i="4"/>
  <c r="O1229" i="4"/>
  <c r="M1229" i="4"/>
  <c r="L1229" i="4"/>
  <c r="P1229" i="4"/>
  <c r="Q1247" i="4"/>
  <c r="P1247" i="4"/>
  <c r="O1247" i="4"/>
  <c r="N1247" i="4"/>
  <c r="L1247" i="4"/>
  <c r="Q1266" i="4"/>
  <c r="P1266" i="4"/>
  <c r="O1266" i="4"/>
  <c r="N1266" i="4"/>
  <c r="M1266" i="4"/>
  <c r="L1275" i="4"/>
  <c r="P1275" i="4" s="1"/>
  <c r="P1277" i="4"/>
  <c r="O1277" i="4"/>
  <c r="N1277" i="4"/>
  <c r="M1277" i="4"/>
  <c r="L1288" i="4"/>
  <c r="Q1319" i="4"/>
  <c r="P1319" i="4"/>
  <c r="O1319" i="4"/>
  <c r="N1319" i="4"/>
  <c r="L1319" i="4"/>
  <c r="N1332" i="4"/>
  <c r="P1332" i="4"/>
  <c r="O1332" i="4"/>
  <c r="Q1332" i="4"/>
  <c r="O1338" i="4"/>
  <c r="N1338" i="4"/>
  <c r="M1338" i="4"/>
  <c r="L1338" i="4"/>
  <c r="P1338" i="4" s="1"/>
  <c r="Q1338" i="4"/>
  <c r="Q1386" i="4"/>
  <c r="N1386" i="4"/>
  <c r="P1386" i="4"/>
  <c r="P1388" i="4"/>
  <c r="Q1388" i="4"/>
  <c r="O1388" i="4"/>
  <c r="N1388" i="4"/>
  <c r="L1388" i="4"/>
  <c r="L1060" i="4"/>
  <c r="L1064" i="4"/>
  <c r="L1072" i="4"/>
  <c r="O1111" i="4"/>
  <c r="L1120" i="4"/>
  <c r="L1124" i="4"/>
  <c r="L1128" i="4"/>
  <c r="L1132" i="4"/>
  <c r="L1136" i="4"/>
  <c r="L1140" i="4"/>
  <c r="J1146" i="4"/>
  <c r="N1148" i="4"/>
  <c r="P1150" i="4"/>
  <c r="L1172" i="4"/>
  <c r="P1172" i="4" s="1"/>
  <c r="Q1174" i="4"/>
  <c r="P1174" i="4"/>
  <c r="O1174" i="4"/>
  <c r="N1174" i="4"/>
  <c r="N1176" i="4"/>
  <c r="J1178" i="4"/>
  <c r="L1179" i="4"/>
  <c r="P1179" i="4" s="1"/>
  <c r="J1181" i="4"/>
  <c r="L1181" i="4" s="1"/>
  <c r="Q1185" i="4"/>
  <c r="P1185" i="4"/>
  <c r="O1185" i="4"/>
  <c r="N1185" i="4"/>
  <c r="M1185" i="4"/>
  <c r="L1190" i="4"/>
  <c r="P1190" i="4" s="1"/>
  <c r="M1192" i="4"/>
  <c r="L1192" i="4"/>
  <c r="Q1192" i="4"/>
  <c r="P1192" i="4"/>
  <c r="Q1201" i="4"/>
  <c r="P1201" i="4"/>
  <c r="O1201" i="4"/>
  <c r="N1201" i="4"/>
  <c r="M1201" i="4"/>
  <c r="L1202" i="4"/>
  <c r="Q1211" i="4"/>
  <c r="P1211" i="4"/>
  <c r="O1211" i="4"/>
  <c r="N1211" i="4"/>
  <c r="L1211" i="4"/>
  <c r="Q1219" i="4"/>
  <c r="P1219" i="4"/>
  <c r="O1219" i="4"/>
  <c r="N1219" i="4"/>
  <c r="L1219" i="4"/>
  <c r="O1237" i="4"/>
  <c r="N1240" i="4"/>
  <c r="L1240" i="4"/>
  <c r="J1249" i="4"/>
  <c r="O1249" i="4" s="1"/>
  <c r="L1251" i="4"/>
  <c r="P1251" i="4" s="1"/>
  <c r="L1277" i="4"/>
  <c r="M1287" i="4"/>
  <c r="Q1287" i="4"/>
  <c r="P1287" i="4"/>
  <c r="O1287" i="4"/>
  <c r="N1287" i="4"/>
  <c r="M1302" i="4"/>
  <c r="Q1302" i="4"/>
  <c r="P1302" i="4"/>
  <c r="N1302" i="4"/>
  <c r="O1302" i="4"/>
  <c r="L1302" i="4"/>
  <c r="M1310" i="4"/>
  <c r="Q1310" i="4"/>
  <c r="P1310" i="4"/>
  <c r="N1310" i="4"/>
  <c r="O1310" i="4"/>
  <c r="L1310" i="4"/>
  <c r="N1372" i="4"/>
  <c r="Q1372" i="4"/>
  <c r="P1372" i="4"/>
  <c r="O1372" i="4"/>
  <c r="M1372" i="4"/>
  <c r="L1372" i="4"/>
  <c r="Q1111" i="4"/>
  <c r="L1115" i="4"/>
  <c r="Q1150" i="4"/>
  <c r="M1153" i="4"/>
  <c r="Q1153" i="4"/>
  <c r="Q1163" i="4"/>
  <c r="P1163" i="4"/>
  <c r="N1165" i="4"/>
  <c r="Q1165" i="4"/>
  <c r="P1167" i="4"/>
  <c r="O1167" i="4"/>
  <c r="N1167" i="4"/>
  <c r="P1175" i="4"/>
  <c r="O1175" i="4"/>
  <c r="N1175" i="4"/>
  <c r="M1175" i="4"/>
  <c r="L1175" i="4"/>
  <c r="L1189" i="4"/>
  <c r="Q1195" i="4"/>
  <c r="P1195" i="4"/>
  <c r="O1195" i="4"/>
  <c r="Q1198" i="4"/>
  <c r="P1198" i="4"/>
  <c r="O1198" i="4"/>
  <c r="N1198" i="4"/>
  <c r="L1198" i="4"/>
  <c r="P1199" i="4"/>
  <c r="O1199" i="4"/>
  <c r="N1199" i="4"/>
  <c r="M1199" i="4"/>
  <c r="L1199" i="4"/>
  <c r="Q1199" i="4"/>
  <c r="O1213" i="4"/>
  <c r="M1213" i="4"/>
  <c r="L1213" i="4"/>
  <c r="P1213" i="4"/>
  <c r="O1221" i="4"/>
  <c r="M1221" i="4"/>
  <c r="L1221" i="4"/>
  <c r="P1221" i="4"/>
  <c r="N1232" i="4"/>
  <c r="L1232" i="4"/>
  <c r="Q1239" i="4"/>
  <c r="P1239" i="4"/>
  <c r="O1239" i="4"/>
  <c r="N1239" i="4"/>
  <c r="L1239" i="4"/>
  <c r="O1241" i="4"/>
  <c r="M1241" i="4"/>
  <c r="L1241" i="4"/>
  <c r="P1241" i="4"/>
  <c r="L1253" i="4"/>
  <c r="P1253" i="4" s="1"/>
  <c r="M1260" i="4"/>
  <c r="L1260" i="4"/>
  <c r="Q1260" i="4"/>
  <c r="P1260" i="4"/>
  <c r="N1260" i="4"/>
  <c r="Q1328" i="4"/>
  <c r="P1328" i="4"/>
  <c r="O1328" i="4"/>
  <c r="L1328" i="4"/>
  <c r="M1328" i="4"/>
  <c r="N1356" i="4"/>
  <c r="Q1356" i="4"/>
  <c r="O1356" i="4"/>
  <c r="M1356" i="4"/>
  <c r="L1356" i="4"/>
  <c r="P1356" i="4"/>
  <c r="Q1363" i="4"/>
  <c r="N1363" i="4"/>
  <c r="M1363" i="4"/>
  <c r="O1363" i="4"/>
  <c r="P1363" i="4"/>
  <c r="L1146" i="4"/>
  <c r="Q1151" i="4"/>
  <c r="P1151" i="4"/>
  <c r="M1151" i="4"/>
  <c r="N1153" i="4"/>
  <c r="L1153" i="4"/>
  <c r="J1162" i="4"/>
  <c r="L1162" i="4" s="1"/>
  <c r="L1165" i="4"/>
  <c r="J1173" i="4"/>
  <c r="Q1177" i="4"/>
  <c r="P1177" i="4"/>
  <c r="O1177" i="4"/>
  <c r="N1177" i="4"/>
  <c r="M1177" i="4"/>
  <c r="M1184" i="4"/>
  <c r="L1184" i="4"/>
  <c r="Q1184" i="4"/>
  <c r="P1184" i="4"/>
  <c r="Q1203" i="4"/>
  <c r="P1203" i="4"/>
  <c r="O1203" i="4"/>
  <c r="M1203" i="4"/>
  <c r="M1206" i="4"/>
  <c r="L1206" i="4"/>
  <c r="Q1206" i="4"/>
  <c r="P1206" i="4"/>
  <c r="N1206" i="4"/>
  <c r="N1224" i="4"/>
  <c r="L1224" i="4"/>
  <c r="Q1229" i="4"/>
  <c r="Q1231" i="4"/>
  <c r="P1231" i="4"/>
  <c r="O1231" i="4"/>
  <c r="N1231" i="4"/>
  <c r="L1231" i="4"/>
  <c r="J1233" i="4"/>
  <c r="J1252" i="4"/>
  <c r="M1265" i="4"/>
  <c r="Q1265" i="4"/>
  <c r="N1265" i="4"/>
  <c r="Q1273" i="4"/>
  <c r="P1273" i="4"/>
  <c r="O1273" i="4"/>
  <c r="N1273" i="4"/>
  <c r="Q1274" i="4"/>
  <c r="O1274" i="4"/>
  <c r="N1274" i="4"/>
  <c r="M1274" i="4"/>
  <c r="L1274" i="4"/>
  <c r="P1274" i="4" s="1"/>
  <c r="M1278" i="4"/>
  <c r="N1278" i="4"/>
  <c r="Q1278" i="4"/>
  <c r="O1278" i="4"/>
  <c r="N1284" i="4"/>
  <c r="Q1284" i="4"/>
  <c r="O1284" i="4"/>
  <c r="M1284" i="4"/>
  <c r="L1284" i="4"/>
  <c r="P1284" i="4"/>
  <c r="J1113" i="4"/>
  <c r="L1113" i="4" s="1"/>
  <c r="P1117" i="4"/>
  <c r="N1117" i="4"/>
  <c r="J1119" i="4"/>
  <c r="L1119" i="4" s="1"/>
  <c r="M1157" i="4"/>
  <c r="Q1157" i="4"/>
  <c r="Q1187" i="4"/>
  <c r="P1187" i="4"/>
  <c r="O1187" i="4"/>
  <c r="M1200" i="4"/>
  <c r="L1200" i="4"/>
  <c r="Q1200" i="4"/>
  <c r="P1200" i="4"/>
  <c r="N1200" i="4"/>
  <c r="O1216" i="4"/>
  <c r="L1216" i="4"/>
  <c r="Q1223" i="4"/>
  <c r="P1223" i="4"/>
  <c r="O1223" i="4"/>
  <c r="N1223" i="4"/>
  <c r="L1223" i="4"/>
  <c r="N1225" i="4"/>
  <c r="L1225" i="4"/>
  <c r="P1225" i="4"/>
  <c r="N1244" i="4"/>
  <c r="L1244" i="4"/>
  <c r="Q1257" i="4"/>
  <c r="O1257" i="4"/>
  <c r="M1257" i="4"/>
  <c r="M1270" i="4"/>
  <c r="O1270" i="4"/>
  <c r="N1270" i="4"/>
  <c r="P1270" i="4"/>
  <c r="N1308" i="4"/>
  <c r="L1308" i="4"/>
  <c r="P1308" i="4"/>
  <c r="J1263" i="4"/>
  <c r="N1267" i="4"/>
  <c r="M1267" i="4"/>
  <c r="L1273" i="4"/>
  <c r="J1276" i="4"/>
  <c r="P1291" i="4"/>
  <c r="O1291" i="4"/>
  <c r="L1292" i="4"/>
  <c r="O1300" i="4"/>
  <c r="L1300" i="4"/>
  <c r="Q1303" i="4"/>
  <c r="P1303" i="4"/>
  <c r="N1303" i="4"/>
  <c r="L1303" i="4"/>
  <c r="Q1311" i="4"/>
  <c r="P1311" i="4"/>
  <c r="O1311" i="4"/>
  <c r="N1311" i="4"/>
  <c r="L1311" i="4"/>
  <c r="J1313" i="4"/>
  <c r="Q1316" i="4"/>
  <c r="O1316" i="4"/>
  <c r="M1316" i="4"/>
  <c r="J1321" i="4"/>
  <c r="Q1324" i="4"/>
  <c r="N1324" i="4"/>
  <c r="Q1330" i="4"/>
  <c r="P1330" i="4"/>
  <c r="N1330" i="4"/>
  <c r="M1336" i="4"/>
  <c r="Q1336" i="4"/>
  <c r="P1336" i="4"/>
  <c r="O1336" i="4"/>
  <c r="N1336" i="4"/>
  <c r="J1349" i="4"/>
  <c r="Q1378" i="4"/>
  <c r="N1378" i="4"/>
  <c r="P1378" i="4"/>
  <c r="Q1394" i="4"/>
  <c r="P1394" i="4"/>
  <c r="O1394" i="4"/>
  <c r="O1146" i="4"/>
  <c r="P1210" i="4"/>
  <c r="P1214" i="4"/>
  <c r="P1218" i="4"/>
  <c r="P1222" i="4"/>
  <c r="P1226" i="4"/>
  <c r="P1230" i="4"/>
  <c r="P1234" i="4"/>
  <c r="P1238" i="4"/>
  <c r="P1242" i="4"/>
  <c r="P1246" i="4"/>
  <c r="P1250" i="4"/>
  <c r="Q1256" i="4"/>
  <c r="J1271" i="4"/>
  <c r="L1289" i="4"/>
  <c r="L1291" i="4"/>
  <c r="O1292" i="4"/>
  <c r="Q1293" i="4"/>
  <c r="P1300" i="4"/>
  <c r="M1311" i="4"/>
  <c r="L1313" i="4"/>
  <c r="N1316" i="4"/>
  <c r="L1316" i="4"/>
  <c r="M1318" i="4"/>
  <c r="Q1318" i="4"/>
  <c r="P1318" i="4"/>
  <c r="N1318" i="4"/>
  <c r="O1321" i="4"/>
  <c r="O1324" i="4"/>
  <c r="L1324" i="4"/>
  <c r="O1330" i="4"/>
  <c r="L1349" i="4"/>
  <c r="L1378" i="4"/>
  <c r="O1378" i="4"/>
  <c r="O1399" i="4"/>
  <c r="M1399" i="4"/>
  <c r="Q1399" i="4"/>
  <c r="P1399" i="4"/>
  <c r="M1196" i="4"/>
  <c r="M1204" i="4"/>
  <c r="M1208" i="4"/>
  <c r="Q1210" i="4"/>
  <c r="Q1214" i="4"/>
  <c r="Q1218" i="4"/>
  <c r="Q1222" i="4"/>
  <c r="M1224" i="4"/>
  <c r="Q1226" i="4"/>
  <c r="Q1230" i="4"/>
  <c r="M1232" i="4"/>
  <c r="Q1234" i="4"/>
  <c r="M1236" i="4"/>
  <c r="Q1238" i="4"/>
  <c r="M1240" i="4"/>
  <c r="Q1242" i="4"/>
  <c r="M1244" i="4"/>
  <c r="Q1246" i="4"/>
  <c r="Q1250" i="4"/>
  <c r="N1254" i="4"/>
  <c r="M1258" i="4"/>
  <c r="O1267" i="4"/>
  <c r="P1269" i="4"/>
  <c r="O1269" i="4"/>
  <c r="Q1279" i="4"/>
  <c r="P1279" i="4"/>
  <c r="J1281" i="4"/>
  <c r="M1291" i="4"/>
  <c r="Q1294" i="4"/>
  <c r="P1294" i="4"/>
  <c r="O1296" i="4"/>
  <c r="L1296" i="4"/>
  <c r="Q1298" i="4"/>
  <c r="P1298" i="4"/>
  <c r="N1298" i="4"/>
  <c r="Q1299" i="4"/>
  <c r="P1299" i="4"/>
  <c r="O1299" i="4"/>
  <c r="N1299" i="4"/>
  <c r="L1299" i="4"/>
  <c r="J1301" i="4"/>
  <c r="L1301" i="4" s="1"/>
  <c r="Q1304" i="4"/>
  <c r="O1304" i="4"/>
  <c r="M1304" i="4"/>
  <c r="J1309" i="4"/>
  <c r="L1309" i="4" s="1"/>
  <c r="Q1312" i="4"/>
  <c r="N1312" i="4"/>
  <c r="P1316" i="4"/>
  <c r="L1330" i="4"/>
  <c r="L1332" i="4"/>
  <c r="Q1340" i="4"/>
  <c r="O1340" i="4"/>
  <c r="N1340" i="4"/>
  <c r="M1340" i="4"/>
  <c r="N1341" i="4"/>
  <c r="Q1341" i="4"/>
  <c r="O1341" i="4"/>
  <c r="M1341" i="4"/>
  <c r="L1344" i="4"/>
  <c r="P1344" i="4" s="1"/>
  <c r="M1350" i="4"/>
  <c r="L1350" i="4"/>
  <c r="P1350" i="4" s="1"/>
  <c r="Q1350" i="4"/>
  <c r="N1350" i="4"/>
  <c r="O1354" i="4"/>
  <c r="Q1354" i="4"/>
  <c r="P1354" i="4"/>
  <c r="N1354" i="4"/>
  <c r="M1354" i="4"/>
  <c r="Q1406" i="4"/>
  <c r="P1406" i="4"/>
  <c r="N1406" i="4"/>
  <c r="O1408" i="4"/>
  <c r="N1408" i="4"/>
  <c r="L1408" i="4"/>
  <c r="P1408" i="4"/>
  <c r="Q1408" i="4"/>
  <c r="N1196" i="4"/>
  <c r="N1204" i="4"/>
  <c r="L1205" i="4"/>
  <c r="N1212" i="4"/>
  <c r="N1216" i="4"/>
  <c r="N1220" i="4"/>
  <c r="N1228" i="4"/>
  <c r="N1248" i="4"/>
  <c r="O1254" i="4"/>
  <c r="N1258" i="4"/>
  <c r="O1264" i="4"/>
  <c r="N1264" i="4"/>
  <c r="P1267" i="4"/>
  <c r="P1285" i="4"/>
  <c r="O1285" i="4"/>
  <c r="N1285" i="4"/>
  <c r="Q1291" i="4"/>
  <c r="Q1307" i="4"/>
  <c r="P1307" i="4"/>
  <c r="N1307" i="4"/>
  <c r="L1307" i="4"/>
  <c r="Q1320" i="4"/>
  <c r="O1320" i="4"/>
  <c r="M1320" i="4"/>
  <c r="P1324" i="4"/>
  <c r="L1327" i="4"/>
  <c r="O1327" i="4"/>
  <c r="Q1329" i="4"/>
  <c r="P1329" i="4"/>
  <c r="N1329" i="4"/>
  <c r="L1341" i="4"/>
  <c r="P1341" i="4" s="1"/>
  <c r="Q1348" i="4"/>
  <c r="O1348" i="4"/>
  <c r="N1348" i="4"/>
  <c r="M1348" i="4"/>
  <c r="Q1371" i="4"/>
  <c r="N1371" i="4"/>
  <c r="P1371" i="4"/>
  <c r="O1371" i="4"/>
  <c r="M1371" i="4"/>
  <c r="O1391" i="4"/>
  <c r="P1393" i="4"/>
  <c r="N1393" i="4"/>
  <c r="Q1393" i="4"/>
  <c r="O1393" i="4"/>
  <c r="O1196" i="4"/>
  <c r="O1204" i="4"/>
  <c r="O1208" i="4"/>
  <c r="O1224" i="4"/>
  <c r="O1232" i="4"/>
  <c r="O1236" i="4"/>
  <c r="O1240" i="4"/>
  <c r="O1244" i="4"/>
  <c r="P1254" i="4"/>
  <c r="O1258" i="4"/>
  <c r="Q1267" i="4"/>
  <c r="L1270" i="4"/>
  <c r="L1286" i="4"/>
  <c r="N1295" i="4"/>
  <c r="M1299" i="4"/>
  <c r="N1304" i="4"/>
  <c r="L1304" i="4"/>
  <c r="M1306" i="4"/>
  <c r="Q1306" i="4"/>
  <c r="P1306" i="4"/>
  <c r="N1306" i="4"/>
  <c r="O1307" i="4"/>
  <c r="O1312" i="4"/>
  <c r="L1312" i="4"/>
  <c r="Q1314" i="4"/>
  <c r="P1314" i="4"/>
  <c r="N1314" i="4"/>
  <c r="Q1315" i="4"/>
  <c r="P1315" i="4"/>
  <c r="O1315" i="4"/>
  <c r="N1315" i="4"/>
  <c r="L1315" i="4"/>
  <c r="L1318" i="4"/>
  <c r="Q1323" i="4"/>
  <c r="P1323" i="4"/>
  <c r="O1323" i="4"/>
  <c r="N1323" i="4"/>
  <c r="L1323" i="4"/>
  <c r="J1325" i="4"/>
  <c r="O1333" i="4"/>
  <c r="N1333" i="4"/>
  <c r="P1333" i="4"/>
  <c r="J1342" i="4"/>
  <c r="N1357" i="4"/>
  <c r="M1357" i="4"/>
  <c r="L1357" i="4"/>
  <c r="P1357" i="4" s="1"/>
  <c r="Q1357" i="4"/>
  <c r="O1357" i="4"/>
  <c r="P1373" i="4"/>
  <c r="N1373" i="4"/>
  <c r="Q1373" i="4"/>
  <c r="O1373" i="4"/>
  <c r="M1373" i="4"/>
  <c r="L1373" i="4"/>
  <c r="N1375" i="4"/>
  <c r="O1387" i="4"/>
  <c r="Q1387" i="4"/>
  <c r="P1387" i="4"/>
  <c r="N1387" i="4"/>
  <c r="M1387" i="4"/>
  <c r="P1389" i="4"/>
  <c r="Q1389" i="4"/>
  <c r="O1389" i="4"/>
  <c r="M1389" i="4"/>
  <c r="L1389" i="4"/>
  <c r="P1196" i="4"/>
  <c r="P1204" i="4"/>
  <c r="P1208" i="4"/>
  <c r="L1210" i="4"/>
  <c r="P1212" i="4"/>
  <c r="P1216" i="4"/>
  <c r="P1220" i="4"/>
  <c r="L1222" i="4"/>
  <c r="P1224" i="4"/>
  <c r="L1226" i="4"/>
  <c r="P1228" i="4"/>
  <c r="P1232" i="4"/>
  <c r="P1236" i="4"/>
  <c r="L1238" i="4"/>
  <c r="P1240" i="4"/>
  <c r="P1244" i="4"/>
  <c r="L1246" i="4"/>
  <c r="P1248" i="4"/>
  <c r="Q1254" i="4"/>
  <c r="L1256" i="4"/>
  <c r="P1256" i="4" s="1"/>
  <c r="P1258" i="4"/>
  <c r="L1264" i="4"/>
  <c r="P1264" i="4" s="1"/>
  <c r="L1265" i="4"/>
  <c r="P1265" i="4" s="1"/>
  <c r="J1268" i="4"/>
  <c r="M1269" i="4"/>
  <c r="L1278" i="4"/>
  <c r="L1281" i="4"/>
  <c r="Q1282" i="4"/>
  <c r="P1282" i="4"/>
  <c r="O1282" i="4"/>
  <c r="L1283" i="4"/>
  <c r="L1285" i="4"/>
  <c r="L1293" i="4"/>
  <c r="L1294" i="4"/>
  <c r="O1297" i="4"/>
  <c r="M1297" i="4"/>
  <c r="P1297" i="4"/>
  <c r="L1298" i="4"/>
  <c r="Q1300" i="4"/>
  <c r="N1300" i="4"/>
  <c r="P1304" i="4"/>
  <c r="O1317" i="4"/>
  <c r="O1318" i="4"/>
  <c r="N1320" i="4"/>
  <c r="L1320" i="4"/>
  <c r="M1322" i="4"/>
  <c r="Q1322" i="4"/>
  <c r="P1322" i="4"/>
  <c r="N1322" i="4"/>
  <c r="N1327" i="4"/>
  <c r="L1348" i="4"/>
  <c r="P1348" i="4" s="1"/>
  <c r="Q1355" i="4"/>
  <c r="O1355" i="4"/>
  <c r="N1355" i="4"/>
  <c r="M1355" i="4"/>
  <c r="O1362" i="4"/>
  <c r="N1362" i="4"/>
  <c r="M1362" i="4"/>
  <c r="Q1362" i="4"/>
  <c r="P1385" i="4"/>
  <c r="M1385" i="4"/>
  <c r="L1385" i="4"/>
  <c r="O1385" i="4"/>
  <c r="L1393" i="4"/>
  <c r="N1395" i="4"/>
  <c r="J1255" i="4"/>
  <c r="M1256" i="4"/>
  <c r="L1257" i="4"/>
  <c r="P1257" i="4" s="1"/>
  <c r="M1264" i="4"/>
  <c r="N1269" i="4"/>
  <c r="L1282" i="4"/>
  <c r="M1285" i="4"/>
  <c r="J1289" i="4"/>
  <c r="Q1290" i="4"/>
  <c r="P1290" i="4"/>
  <c r="M1293" i="4"/>
  <c r="J1305" i="4"/>
  <c r="Q1308" i="4"/>
  <c r="O1308" i="4"/>
  <c r="M1308" i="4"/>
  <c r="P1312" i="4"/>
  <c r="P1320" i="4"/>
  <c r="L1325" i="4"/>
  <c r="P1331" i="4"/>
  <c r="Q1331" i="4"/>
  <c r="O1331" i="4"/>
  <c r="N1331" i="4"/>
  <c r="M1331" i="4"/>
  <c r="L1340" i="4"/>
  <c r="P1340" i="4" s="1"/>
  <c r="L1345" i="4"/>
  <c r="O1350" i="4"/>
  <c r="Q1370" i="4"/>
  <c r="O1370" i="4"/>
  <c r="P1370" i="4"/>
  <c r="N1370" i="4"/>
  <c r="M1370" i="4"/>
  <c r="Q1374" i="4"/>
  <c r="N1374" i="4"/>
  <c r="P1374" i="4"/>
  <c r="O1374" i="4"/>
  <c r="Q1390" i="4"/>
  <c r="P1390" i="4"/>
  <c r="O1390" i="4"/>
  <c r="M1390" i="4"/>
  <c r="L1329" i="4"/>
  <c r="N1339" i="4"/>
  <c r="L1343" i="4"/>
  <c r="M1347" i="4"/>
  <c r="L1351" i="4"/>
  <c r="P1351" i="4" s="1"/>
  <c r="L1358" i="4"/>
  <c r="P1358" i="4" s="1"/>
  <c r="M1359" i="4"/>
  <c r="P1359" i="4"/>
  <c r="L1365" i="4"/>
  <c r="M1366" i="4"/>
  <c r="L1381" i="4"/>
  <c r="N1394" i="4"/>
  <c r="L1394" i="4"/>
  <c r="O1400" i="4"/>
  <c r="M1400" i="4"/>
  <c r="P1400" i="4"/>
  <c r="N1411" i="4"/>
  <c r="L1411" i="4"/>
  <c r="O1416" i="4"/>
  <c r="O1420" i="4"/>
  <c r="N1420" i="4"/>
  <c r="M1420" i="4"/>
  <c r="L1420" i="4"/>
  <c r="P1420" i="4"/>
  <c r="Q1434" i="4"/>
  <c r="M1434" i="4"/>
  <c r="P1434" i="4"/>
  <c r="O1434" i="4"/>
  <c r="N1434" i="4"/>
  <c r="P1443" i="4"/>
  <c r="Q1479" i="4"/>
  <c r="P1479" i="4"/>
  <c r="M1479" i="4"/>
  <c r="O1479" i="4"/>
  <c r="O1489" i="4"/>
  <c r="L1489" i="4"/>
  <c r="L1415" i="4"/>
  <c r="Q1415" i="4"/>
  <c r="P1415" i="4"/>
  <c r="O1418" i="4"/>
  <c r="L1418" i="4"/>
  <c r="Q1429" i="4"/>
  <c r="O1429" i="4"/>
  <c r="N1429" i="4"/>
  <c r="P1446" i="4"/>
  <c r="N1446" i="4"/>
  <c r="M1446" i="4"/>
  <c r="Q1446" i="4"/>
  <c r="Q1326" i="4"/>
  <c r="Q1334" i="4"/>
  <c r="O1335" i="4"/>
  <c r="P1339" i="4"/>
  <c r="N1343" i="4"/>
  <c r="O1347" i="4"/>
  <c r="O1351" i="4"/>
  <c r="L1354" i="4"/>
  <c r="N1358" i="4"/>
  <c r="O1365" i="4"/>
  <c r="L1366" i="4"/>
  <c r="P1366" i="4" s="1"/>
  <c r="M1369" i="4"/>
  <c r="L1370" i="4"/>
  <c r="L1371" i="4"/>
  <c r="L1377" i="4"/>
  <c r="O1380" i="4"/>
  <c r="O1381" i="4"/>
  <c r="N1392" i="4"/>
  <c r="Q1397" i="4"/>
  <c r="L1400" i="4"/>
  <c r="Q1403" i="4"/>
  <c r="P1403" i="4"/>
  <c r="O1403" i="4"/>
  <c r="M1403" i="4"/>
  <c r="Q1410" i="4"/>
  <c r="P1410" i="4"/>
  <c r="N1410" i="4"/>
  <c r="M1422" i="4"/>
  <c r="Q1422" i="4"/>
  <c r="O1422" i="4"/>
  <c r="O1441" i="4"/>
  <c r="Q1441" i="4"/>
  <c r="N1441" i="4"/>
  <c r="M1441" i="4"/>
  <c r="P1454" i="4"/>
  <c r="N1454" i="4"/>
  <c r="M1454" i="4"/>
  <c r="Q1454" i="4"/>
  <c r="O1454" i="4"/>
  <c r="N1459" i="4"/>
  <c r="P1459" i="4"/>
  <c r="Q1459" i="4"/>
  <c r="O1459" i="4"/>
  <c r="P1498" i="4"/>
  <c r="N1498" i="4"/>
  <c r="Q1498" i="4"/>
  <c r="L1498" i="4"/>
  <c r="O1329" i="4"/>
  <c r="M1337" i="4"/>
  <c r="Q1339" i="4"/>
  <c r="O1343" i="4"/>
  <c r="L1355" i="4"/>
  <c r="P1355" i="4" s="1"/>
  <c r="O1358" i="4"/>
  <c r="N1359" i="4"/>
  <c r="N1360" i="4"/>
  <c r="P1365" i="4"/>
  <c r="N1366" i="4"/>
  <c r="N1367" i="4"/>
  <c r="N1368" i="4"/>
  <c r="N1369" i="4"/>
  <c r="L1374" i="4"/>
  <c r="N1376" i="4"/>
  <c r="M1377" i="4"/>
  <c r="Q1381" i="4"/>
  <c r="O1383" i="4"/>
  <c r="L1387" i="4"/>
  <c r="N1389" i="4"/>
  <c r="N1390" i="4"/>
  <c r="L1390" i="4"/>
  <c r="L1399" i="4"/>
  <c r="N1400" i="4"/>
  <c r="O1406" i="4"/>
  <c r="P1412" i="4"/>
  <c r="O1412" i="4"/>
  <c r="N1412" i="4"/>
  <c r="L1412" i="4"/>
  <c r="Q1412" i="4"/>
  <c r="O1417" i="4"/>
  <c r="Q1417" i="4"/>
  <c r="P1417" i="4"/>
  <c r="N1417" i="4"/>
  <c r="Q1420" i="4"/>
  <c r="N1436" i="4"/>
  <c r="O1436" i="4"/>
  <c r="Q1436" i="4"/>
  <c r="M1436" i="4"/>
  <c r="L1436" i="4"/>
  <c r="P1436" i="4" s="1"/>
  <c r="P1486" i="4"/>
  <c r="O1486" i="4"/>
  <c r="N1486" i="4"/>
  <c r="Q1486" i="4"/>
  <c r="L1486" i="4"/>
  <c r="P1494" i="4"/>
  <c r="M1494" i="4"/>
  <c r="Q1494" i="4"/>
  <c r="O1494" i="4"/>
  <c r="L1494" i="4"/>
  <c r="N1494" i="4"/>
  <c r="M1523" i="4"/>
  <c r="O1523" i="4"/>
  <c r="N1523" i="4"/>
  <c r="Q1523" i="4"/>
  <c r="Q1540" i="4"/>
  <c r="N1540" i="4"/>
  <c r="P1540" i="4"/>
  <c r="L1317" i="4"/>
  <c r="L1321" i="4"/>
  <c r="L1333" i="4"/>
  <c r="N1337" i="4"/>
  <c r="J1352" i="4"/>
  <c r="O1359" i="4"/>
  <c r="O1360" i="4"/>
  <c r="L1362" i="4"/>
  <c r="P1362" i="4" s="1"/>
  <c r="Q1365" i="4"/>
  <c r="O1366" i="4"/>
  <c r="O1367" i="4"/>
  <c r="P1368" i="4"/>
  <c r="P1369" i="4"/>
  <c r="O1377" i="4"/>
  <c r="J1395" i="4"/>
  <c r="P1396" i="4"/>
  <c r="N1399" i="4"/>
  <c r="Q1400" i="4"/>
  <c r="O1410" i="4"/>
  <c r="M1421" i="4"/>
  <c r="Q1421" i="4"/>
  <c r="N1421" i="4"/>
  <c r="L1422" i="4"/>
  <c r="P1422" i="4" s="1"/>
  <c r="O1424" i="4"/>
  <c r="Q1424" i="4"/>
  <c r="N1424" i="4"/>
  <c r="M1424" i="4"/>
  <c r="L1424" i="4"/>
  <c r="P1424" i="4" s="1"/>
  <c r="Q1426" i="4"/>
  <c r="M1426" i="4"/>
  <c r="O1426" i="4"/>
  <c r="N1426" i="4"/>
  <c r="P1426" i="4"/>
  <c r="P1438" i="4"/>
  <c r="M1438" i="4"/>
  <c r="Q1438" i="4"/>
  <c r="O1438" i="4"/>
  <c r="N1438" i="4"/>
  <c r="Q1442" i="4"/>
  <c r="M1442" i="4"/>
  <c r="O1442" i="4"/>
  <c r="N1442" i="4"/>
  <c r="P1327" i="4"/>
  <c r="P1335" i="4"/>
  <c r="O1337" i="4"/>
  <c r="J1353" i="4"/>
  <c r="Q1359" i="4"/>
  <c r="P1360" i="4"/>
  <c r="L1363" i="4"/>
  <c r="N1364" i="4"/>
  <c r="Q1364" i="4"/>
  <c r="Q1366" i="4"/>
  <c r="Q1377" i="4"/>
  <c r="J1379" i="4"/>
  <c r="P1380" i="4"/>
  <c r="N1385" i="4"/>
  <c r="L1386" i="4"/>
  <c r="Q1398" i="4"/>
  <c r="N1398" i="4"/>
  <c r="Q1407" i="4"/>
  <c r="P1407" i="4"/>
  <c r="O1407" i="4"/>
  <c r="M1407" i="4"/>
  <c r="N1415" i="4"/>
  <c r="O1428" i="4"/>
  <c r="L1428" i="4"/>
  <c r="P1428" i="4" s="1"/>
  <c r="Q1428" i="4"/>
  <c r="M1428" i="4"/>
  <c r="M1429" i="4"/>
  <c r="P1431" i="4"/>
  <c r="L1431" i="4"/>
  <c r="O1446" i="4"/>
  <c r="N1504" i="4"/>
  <c r="M1504" i="4"/>
  <c r="O1504" i="4"/>
  <c r="Q1504" i="4"/>
  <c r="P1504" i="4"/>
  <c r="L1504" i="4"/>
  <c r="P1337" i="4"/>
  <c r="P1343" i="4"/>
  <c r="M1351" i="4"/>
  <c r="Q1360" i="4"/>
  <c r="M1367" i="4"/>
  <c r="P1367" i="4"/>
  <c r="O1368" i="4"/>
  <c r="M1368" i="4"/>
  <c r="O1369" i="4"/>
  <c r="Q1382" i="4"/>
  <c r="N1382" i="4"/>
  <c r="L1395" i="4"/>
  <c r="O1398" i="4"/>
  <c r="L1398" i="4"/>
  <c r="Q1402" i="4"/>
  <c r="O1402" i="4"/>
  <c r="O1411" i="4"/>
  <c r="Q1411" i="4"/>
  <c r="P1411" i="4"/>
  <c r="M1411" i="4"/>
  <c r="O1413" i="4"/>
  <c r="N1413" i="4"/>
  <c r="L1413" i="4"/>
  <c r="P1413" i="4"/>
  <c r="Q1416" i="4"/>
  <c r="P1416" i="4"/>
  <c r="N1416" i="4"/>
  <c r="M1430" i="4"/>
  <c r="Q1430" i="4"/>
  <c r="P1430" i="4"/>
  <c r="O1430" i="4"/>
  <c r="N1430" i="4"/>
  <c r="O1433" i="4"/>
  <c r="Q1433" i="4"/>
  <c r="N1433" i="4"/>
  <c r="M1433" i="4"/>
  <c r="N1328" i="4"/>
  <c r="J1345" i="4"/>
  <c r="L1347" i="4"/>
  <c r="P1347" i="4" s="1"/>
  <c r="J1361" i="4"/>
  <c r="J1375" i="4"/>
  <c r="L1375" i="4" s="1"/>
  <c r="P1376" i="4"/>
  <c r="N1381" i="4"/>
  <c r="L1382" i="4"/>
  <c r="N1383" i="4"/>
  <c r="N1384" i="4"/>
  <c r="O1386" i="4"/>
  <c r="J1391" i="4"/>
  <c r="M1392" i="4"/>
  <c r="P1392" i="4"/>
  <c r="L1397" i="4"/>
  <c r="Q1401" i="4"/>
  <c r="P1401" i="4"/>
  <c r="N1401" i="4"/>
  <c r="N1402" i="4"/>
  <c r="O1404" i="4"/>
  <c r="N1404" i="4"/>
  <c r="P1404" i="4"/>
  <c r="N1407" i="4"/>
  <c r="L1407" i="4"/>
  <c r="Q1418" i="4"/>
  <c r="P1418" i="4"/>
  <c r="N1418" i="4"/>
  <c r="J1425" i="4"/>
  <c r="N1427" i="4"/>
  <c r="O1427" i="4"/>
  <c r="M1427" i="4"/>
  <c r="P1427" i="4"/>
  <c r="L1402" i="4"/>
  <c r="L1406" i="4"/>
  <c r="L1410" i="4"/>
  <c r="N1414" i="4"/>
  <c r="L1416" i="4"/>
  <c r="L1429" i="4"/>
  <c r="P1429" i="4" s="1"/>
  <c r="J1439" i="4"/>
  <c r="J1440" i="4"/>
  <c r="Q1445" i="4"/>
  <c r="P1445" i="4"/>
  <c r="O1445" i="4"/>
  <c r="L1446" i="4"/>
  <c r="L1463" i="4"/>
  <c r="L1471" i="4"/>
  <c r="P1481" i="4"/>
  <c r="N1481" i="4"/>
  <c r="L1481" i="4"/>
  <c r="N1482" i="4"/>
  <c r="L1482" i="4"/>
  <c r="J1484" i="4"/>
  <c r="N1487" i="4"/>
  <c r="Q1496" i="4"/>
  <c r="P1496" i="4"/>
  <c r="N1496" i="4"/>
  <c r="J1502" i="4"/>
  <c r="L1506" i="4"/>
  <c r="P1506" i="4" s="1"/>
  <c r="L1518" i="4"/>
  <c r="P1518" i="4" s="1"/>
  <c r="Q1518" i="4"/>
  <c r="O1518" i="4"/>
  <c r="N1518" i="4"/>
  <c r="P1405" i="4"/>
  <c r="P1409" i="4"/>
  <c r="P1414" i="4"/>
  <c r="O1423" i="4"/>
  <c r="L1432" i="4"/>
  <c r="M1444" i="4"/>
  <c r="J1447" i="4"/>
  <c r="J1448" i="4"/>
  <c r="L1450" i="4"/>
  <c r="M1456" i="4"/>
  <c r="L1459" i="4"/>
  <c r="N1461" i="4"/>
  <c r="L1461" i="4"/>
  <c r="O1461" i="4"/>
  <c r="L1479" i="4"/>
  <c r="O1498" i="4"/>
  <c r="L1510" i="4"/>
  <c r="M1510" i="4"/>
  <c r="P1510" i="4"/>
  <c r="N1510" i="4"/>
  <c r="Q1510" i="4"/>
  <c r="L1516" i="4"/>
  <c r="P1516" i="4" s="1"/>
  <c r="L1527" i="4"/>
  <c r="N1527" i="4"/>
  <c r="P1527" i="4"/>
  <c r="O1527" i="4"/>
  <c r="Q1527" i="4"/>
  <c r="Q1620" i="4"/>
  <c r="P1620" i="4"/>
  <c r="O1620" i="4"/>
  <c r="N1620" i="4"/>
  <c r="L1620" i="4"/>
  <c r="Q1622" i="4"/>
  <c r="N1622" i="4"/>
  <c r="P1622" i="4"/>
  <c r="Q1405" i="4"/>
  <c r="Q1409" i="4"/>
  <c r="P1423" i="4"/>
  <c r="L1425" i="4"/>
  <c r="O1431" i="4"/>
  <c r="M1432" i="4"/>
  <c r="L1433" i="4"/>
  <c r="P1433" i="4" s="1"/>
  <c r="L1434" i="4"/>
  <c r="L1435" i="4"/>
  <c r="P1435" i="4" s="1"/>
  <c r="P1437" i="4"/>
  <c r="L1441" i="4"/>
  <c r="P1441" i="4" s="1"/>
  <c r="L1442" i="4"/>
  <c r="P1442" i="4" s="1"/>
  <c r="O1443" i="4"/>
  <c r="O1449" i="4"/>
  <c r="M1449" i="4"/>
  <c r="P1449" i="4"/>
  <c r="L1455" i="4"/>
  <c r="L1462" i="4"/>
  <c r="N1462" i="4"/>
  <c r="J1464" i="4"/>
  <c r="N1467" i="4"/>
  <c r="P1467" i="4"/>
  <c r="Q1467" i="4"/>
  <c r="N1469" i="4"/>
  <c r="L1469" i="4"/>
  <c r="P1469" i="4"/>
  <c r="O1469" i="4"/>
  <c r="L1470" i="4"/>
  <c r="N1470" i="4"/>
  <c r="J1472" i="4"/>
  <c r="P1475" i="4"/>
  <c r="M1475" i="4"/>
  <c r="Q1475" i="4"/>
  <c r="N1477" i="4"/>
  <c r="L1477" i="4"/>
  <c r="P1477" i="4"/>
  <c r="O1477" i="4"/>
  <c r="L1478" i="4"/>
  <c r="N1478" i="4"/>
  <c r="N1491" i="4"/>
  <c r="Q1491" i="4"/>
  <c r="P1491" i="4"/>
  <c r="L1491" i="4"/>
  <c r="L1523" i="4"/>
  <c r="P1523" i="4" s="1"/>
  <c r="L1557" i="4"/>
  <c r="N1557" i="4"/>
  <c r="Q1557" i="4"/>
  <c r="O1577" i="4"/>
  <c r="Q1577" i="4"/>
  <c r="P1577" i="4"/>
  <c r="L1577" i="4"/>
  <c r="Q1423" i="4"/>
  <c r="N1452" i="4"/>
  <c r="L1452" i="4"/>
  <c r="P1452" i="4" s="1"/>
  <c r="O1452" i="4"/>
  <c r="P1457" i="4"/>
  <c r="N1457" i="4"/>
  <c r="P1458" i="4"/>
  <c r="Q1458" i="4"/>
  <c r="M1458" i="4"/>
  <c r="Q1480" i="4"/>
  <c r="P1480" i="4"/>
  <c r="O1480" i="4"/>
  <c r="M1480" i="4"/>
  <c r="N1483" i="4"/>
  <c r="P1483" i="4"/>
  <c r="Q1483" i="4"/>
  <c r="O1485" i="4"/>
  <c r="N1485" i="4"/>
  <c r="L1485" i="4"/>
  <c r="Q1485" i="4"/>
  <c r="P1485" i="4"/>
  <c r="Q1488" i="4"/>
  <c r="P1488" i="4"/>
  <c r="N1488" i="4"/>
  <c r="M1488" i="4"/>
  <c r="N1495" i="4"/>
  <c r="Q1495" i="4"/>
  <c r="P1495" i="4"/>
  <c r="O1495" i="4"/>
  <c r="L1495" i="4"/>
  <c r="Q1497" i="4"/>
  <c r="P1497" i="4"/>
  <c r="N1497" i="4"/>
  <c r="L1497" i="4"/>
  <c r="Q1503" i="4"/>
  <c r="P1503" i="4"/>
  <c r="N1503" i="4"/>
  <c r="O1503" i="4"/>
  <c r="N1512" i="4"/>
  <c r="M1512" i="4"/>
  <c r="P1512" i="4"/>
  <c r="Q1512" i="4"/>
  <c r="L1512" i="4"/>
  <c r="L1525" i="4"/>
  <c r="N1525" i="4"/>
  <c r="Q1551" i="4"/>
  <c r="O1551" i="4"/>
  <c r="M1551" i="4"/>
  <c r="L1551" i="4"/>
  <c r="N1551" i="4"/>
  <c r="P1551" i="4"/>
  <c r="P1432" i="4"/>
  <c r="M1437" i="4"/>
  <c r="L1438" i="4"/>
  <c r="N1449" i="4"/>
  <c r="J1451" i="4"/>
  <c r="Q1453" i="4"/>
  <c r="P1453" i="4"/>
  <c r="O1453" i="4"/>
  <c r="L1454" i="4"/>
  <c r="N1458" i="4"/>
  <c r="L1458" i="4"/>
  <c r="J1460" i="4"/>
  <c r="L1460" i="4" s="1"/>
  <c r="O1475" i="4"/>
  <c r="O1478" i="4"/>
  <c r="L1483" i="4"/>
  <c r="M1507" i="4"/>
  <c r="Q1507" i="4"/>
  <c r="N1507" i="4"/>
  <c r="O1507" i="4"/>
  <c r="O1509" i="4"/>
  <c r="N1509" i="4"/>
  <c r="M1509" i="4"/>
  <c r="Q1509" i="4"/>
  <c r="L1509" i="4"/>
  <c r="P1509" i="4" s="1"/>
  <c r="O1510" i="4"/>
  <c r="Q1519" i="4"/>
  <c r="P1519" i="4"/>
  <c r="M1519" i="4"/>
  <c r="O1519" i="4"/>
  <c r="N1519" i="4"/>
  <c r="O1541" i="4"/>
  <c r="M1541" i="4"/>
  <c r="P1541" i="4"/>
  <c r="N1541" i="4"/>
  <c r="L1541" i="4"/>
  <c r="Q1541" i="4"/>
  <c r="Q1543" i="4"/>
  <c r="O1543" i="4"/>
  <c r="M1543" i="4"/>
  <c r="L1543" i="4"/>
  <c r="N1543" i="4"/>
  <c r="P1543" i="4"/>
  <c r="L1405" i="4"/>
  <c r="L1409" i="4"/>
  <c r="L1414" i="4"/>
  <c r="O1415" i="4"/>
  <c r="L1421" i="4"/>
  <c r="P1421" i="4" s="1"/>
  <c r="M1431" i="4"/>
  <c r="N1431" i="4"/>
  <c r="Q1443" i="4"/>
  <c r="N1443" i="4"/>
  <c r="M1443" i="4"/>
  <c r="N1444" i="4"/>
  <c r="O1444" i="4"/>
  <c r="O1457" i="4"/>
  <c r="O1458" i="4"/>
  <c r="O1467" i="4"/>
  <c r="J1476" i="4"/>
  <c r="M1477" i="4"/>
  <c r="L1487" i="4"/>
  <c r="Q1487" i="4"/>
  <c r="O1487" i="4"/>
  <c r="M1487" i="4"/>
  <c r="O1488" i="4"/>
  <c r="P1490" i="4"/>
  <c r="M1490" i="4"/>
  <c r="Q1490" i="4"/>
  <c r="N1490" i="4"/>
  <c r="O1491" i="4"/>
  <c r="Q1500" i="4"/>
  <c r="P1500" i="4"/>
  <c r="N1500" i="4"/>
  <c r="N1526" i="4"/>
  <c r="O1526" i="4"/>
  <c r="M1526" i="4"/>
  <c r="Q1526" i="4"/>
  <c r="O1537" i="4"/>
  <c r="M1537" i="4"/>
  <c r="Q1537" i="4"/>
  <c r="P1537" i="4"/>
  <c r="N1537" i="4"/>
  <c r="L1537" i="4"/>
  <c r="J1419" i="4"/>
  <c r="Q1435" i="4"/>
  <c r="N1435" i="4"/>
  <c r="Q1450" i="4"/>
  <c r="P1450" i="4"/>
  <c r="M1450" i="4"/>
  <c r="M1452" i="4"/>
  <c r="M1455" i="4"/>
  <c r="Q1455" i="4"/>
  <c r="N1455" i="4"/>
  <c r="Q1456" i="4"/>
  <c r="P1456" i="4"/>
  <c r="O1456" i="4"/>
  <c r="L1457" i="4"/>
  <c r="N1463" i="4"/>
  <c r="Q1463" i="4"/>
  <c r="P1463" i="4"/>
  <c r="P1465" i="4"/>
  <c r="N1465" i="4"/>
  <c r="L1465" i="4"/>
  <c r="N1466" i="4"/>
  <c r="L1466" i="4"/>
  <c r="O1468" i="4"/>
  <c r="M1468" i="4"/>
  <c r="Q1468" i="4"/>
  <c r="P1468" i="4"/>
  <c r="Q1469" i="4"/>
  <c r="N1471" i="4"/>
  <c r="Q1471" i="4"/>
  <c r="P1471" i="4"/>
  <c r="P1473" i="4"/>
  <c r="N1473" i="4"/>
  <c r="L1473" i="4"/>
  <c r="N1474" i="4"/>
  <c r="L1474" i="4"/>
  <c r="Q1477" i="4"/>
  <c r="N1480" i="4"/>
  <c r="O1483" i="4"/>
  <c r="M1485" i="4"/>
  <c r="Q1492" i="4"/>
  <c r="P1492" i="4"/>
  <c r="O1492" i="4"/>
  <c r="M1492" i="4"/>
  <c r="O1506" i="4"/>
  <c r="M1506" i="4"/>
  <c r="N1506" i="4"/>
  <c r="Q1508" i="4"/>
  <c r="O1508" i="4"/>
  <c r="N1508" i="4"/>
  <c r="O1512" i="4"/>
  <c r="P1514" i="4"/>
  <c r="O1514" i="4"/>
  <c r="N1514" i="4"/>
  <c r="Q1514" i="4"/>
  <c r="L1514" i="4"/>
  <c r="Q1552" i="4"/>
  <c r="L1552" i="4"/>
  <c r="N1552" i="4"/>
  <c r="P1552" i="4"/>
  <c r="Q1554" i="4"/>
  <c r="L1554" i="4"/>
  <c r="N1554" i="4"/>
  <c r="P1554" i="4"/>
  <c r="P1557" i="4"/>
  <c r="Q1576" i="4"/>
  <c r="P1576" i="4"/>
  <c r="N1576" i="4"/>
  <c r="N1577" i="4"/>
  <c r="L1456" i="4"/>
  <c r="M1462" i="4"/>
  <c r="M1470" i="4"/>
  <c r="L1472" i="4"/>
  <c r="L1480" i="4"/>
  <c r="L1492" i="4"/>
  <c r="O1497" i="4"/>
  <c r="J1501" i="4"/>
  <c r="L1501" i="4" s="1"/>
  <c r="J1513" i="4"/>
  <c r="J1515" i="4"/>
  <c r="L1522" i="4"/>
  <c r="P1522" i="4" s="1"/>
  <c r="J1524" i="4"/>
  <c r="L1524" i="4" s="1"/>
  <c r="Q1535" i="4"/>
  <c r="O1535" i="4"/>
  <c r="P1535" i="4"/>
  <c r="N1535" i="4"/>
  <c r="M1535" i="4"/>
  <c r="Q1544" i="4"/>
  <c r="L1544" i="4"/>
  <c r="N1544" i="4"/>
  <c r="P1544" i="4"/>
  <c r="Q1548" i="4"/>
  <c r="O1548" i="4"/>
  <c r="M1548" i="4"/>
  <c r="N1548" i="4"/>
  <c r="L1548" i="4"/>
  <c r="P1548" i="4"/>
  <c r="P1466" i="4"/>
  <c r="P1474" i="4"/>
  <c r="P1482" i="4"/>
  <c r="L1496" i="4"/>
  <c r="Q1511" i="4"/>
  <c r="O1511" i="4"/>
  <c r="O1517" i="4"/>
  <c r="N1517" i="4"/>
  <c r="L1517" i="4"/>
  <c r="N1520" i="4"/>
  <c r="M1520" i="4"/>
  <c r="Q1520" i="4"/>
  <c r="L1526" i="4"/>
  <c r="P1526" i="4" s="1"/>
  <c r="M1529" i="4"/>
  <c r="Q1529" i="4"/>
  <c r="P1529" i="4"/>
  <c r="N1529" i="4"/>
  <c r="L1529" i="4"/>
  <c r="J1573" i="4"/>
  <c r="Q1590" i="4"/>
  <c r="O1590" i="4"/>
  <c r="M1590" i="4"/>
  <c r="L1590" i="4"/>
  <c r="N1590" i="4"/>
  <c r="N1475" i="4"/>
  <c r="L1499" i="4"/>
  <c r="L1500" i="4"/>
  <c r="L1515" i="4"/>
  <c r="M1517" i="4"/>
  <c r="O1520" i="4"/>
  <c r="P1528" i="4"/>
  <c r="N1528" i="4"/>
  <c r="M1528" i="4"/>
  <c r="L1528" i="4"/>
  <c r="O1529" i="4"/>
  <c r="O1545" i="4"/>
  <c r="M1545" i="4"/>
  <c r="N1545" i="4"/>
  <c r="L1545" i="4"/>
  <c r="P1545" i="4"/>
  <c r="O1549" i="4"/>
  <c r="M1549" i="4"/>
  <c r="P1549" i="4"/>
  <c r="N1549" i="4"/>
  <c r="L1549" i="4"/>
  <c r="Q1549" i="4"/>
  <c r="Q1559" i="4"/>
  <c r="O1559" i="4"/>
  <c r="L1559" i="4"/>
  <c r="Q1562" i="4"/>
  <c r="L1562" i="4"/>
  <c r="N1562" i="4"/>
  <c r="O1565" i="4"/>
  <c r="M1565" i="4"/>
  <c r="L1565" i="4"/>
  <c r="N1565" i="4"/>
  <c r="Q1568" i="4"/>
  <c r="L1568" i="4"/>
  <c r="P1568" i="4"/>
  <c r="Q1609" i="4"/>
  <c r="P1609" i="4"/>
  <c r="O1609" i="4"/>
  <c r="M1609" i="4"/>
  <c r="N1609" i="4"/>
  <c r="L1609" i="4"/>
  <c r="M1466" i="4"/>
  <c r="L1468" i="4"/>
  <c r="M1474" i="4"/>
  <c r="L1475" i="4"/>
  <c r="L1476" i="4"/>
  <c r="M1482" i="4"/>
  <c r="L1484" i="4"/>
  <c r="J1489" i="4"/>
  <c r="O1496" i="4"/>
  <c r="L1502" i="4"/>
  <c r="P1517" i="4"/>
  <c r="P1520" i="4"/>
  <c r="O1553" i="4"/>
  <c r="M1553" i="4"/>
  <c r="N1553" i="4"/>
  <c r="L1553" i="4"/>
  <c r="P1553" i="4"/>
  <c r="Q1553" i="4"/>
  <c r="N1585" i="4"/>
  <c r="Q1585" i="4"/>
  <c r="O1585" i="4"/>
  <c r="M1585" i="4"/>
  <c r="P1590" i="4"/>
  <c r="P1462" i="4"/>
  <c r="P1470" i="4"/>
  <c r="P1478" i="4"/>
  <c r="J1493" i="4"/>
  <c r="O1499" i="4"/>
  <c r="L1503" i="4"/>
  <c r="L1508" i="4"/>
  <c r="P1508" i="4" s="1"/>
  <c r="L1511" i="4"/>
  <c r="P1511" i="4" s="1"/>
  <c r="Q1517" i="4"/>
  <c r="O1528" i="4"/>
  <c r="Q1542" i="4"/>
  <c r="N1542" i="4"/>
  <c r="L1542" i="4"/>
  <c r="O1542" i="4"/>
  <c r="Q1547" i="4"/>
  <c r="O1547" i="4"/>
  <c r="L1547" i="4"/>
  <c r="N1547" i="4"/>
  <c r="P1547" i="4"/>
  <c r="M1570" i="4"/>
  <c r="Q1570" i="4"/>
  <c r="P1570" i="4"/>
  <c r="L1570" i="4"/>
  <c r="N1570" i="4"/>
  <c r="N1591" i="4"/>
  <c r="O1591" i="4"/>
  <c r="M1591" i="4"/>
  <c r="B39" i="7"/>
  <c r="Q1466" i="4"/>
  <c r="Q1474" i="4"/>
  <c r="N1479" i="4"/>
  <c r="Q1482" i="4"/>
  <c r="L1488" i="4"/>
  <c r="Q1499" i="4"/>
  <c r="L1507" i="4"/>
  <c r="P1507" i="4" s="1"/>
  <c r="N1511" i="4"/>
  <c r="Q1516" i="4"/>
  <c r="N1516" i="4"/>
  <c r="M1516" i="4"/>
  <c r="M1546" i="4"/>
  <c r="Q1546" i="4"/>
  <c r="N1546" i="4"/>
  <c r="L1546" i="4"/>
  <c r="O1546" i="4"/>
  <c r="Q1556" i="4"/>
  <c r="O1556" i="4"/>
  <c r="M1556" i="4"/>
  <c r="L1556" i="4"/>
  <c r="N1556" i="4"/>
  <c r="P1556" i="4"/>
  <c r="N1559" i="4"/>
  <c r="O1561" i="4"/>
  <c r="M1561" i="4"/>
  <c r="N1561" i="4"/>
  <c r="L1561" i="4"/>
  <c r="P1561" i="4"/>
  <c r="Q1561" i="4"/>
  <c r="P1562" i="4"/>
  <c r="Q1565" i="4"/>
  <c r="N1568" i="4"/>
  <c r="L1608" i="4"/>
  <c r="Q1613" i="4"/>
  <c r="O1613" i="4"/>
  <c r="M1613" i="4"/>
  <c r="P1613" i="4"/>
  <c r="L1613" i="4"/>
  <c r="Q1648" i="4"/>
  <c r="P1648" i="4"/>
  <c r="O1648" i="4"/>
  <c r="M1648" i="4"/>
  <c r="N1648" i="4"/>
  <c r="L1648" i="4"/>
  <c r="J1505" i="4"/>
  <c r="O1522" i="4"/>
  <c r="O1531" i="4"/>
  <c r="M1531" i="4"/>
  <c r="Q1531" i="4"/>
  <c r="P1531" i="4"/>
  <c r="O1540" i="4"/>
  <c r="L1540" i="4"/>
  <c r="Q1555" i="4"/>
  <c r="O1555" i="4"/>
  <c r="L1555" i="4"/>
  <c r="M1555" i="4"/>
  <c r="M1558" i="4"/>
  <c r="Q1558" i="4"/>
  <c r="L1558" i="4"/>
  <c r="N1558" i="4"/>
  <c r="Q1564" i="4"/>
  <c r="L1564" i="4"/>
  <c r="Q1567" i="4"/>
  <c r="O1567" i="4"/>
  <c r="L1567" i="4"/>
  <c r="N1589" i="4"/>
  <c r="M1589" i="4"/>
  <c r="O1589" i="4"/>
  <c r="Q1592" i="4"/>
  <c r="O1592" i="4"/>
  <c r="L1592" i="4"/>
  <c r="P1592" i="4" s="1"/>
  <c r="M1592" i="4"/>
  <c r="Q1637" i="4"/>
  <c r="N1637" i="4"/>
  <c r="L1637" i="4"/>
  <c r="P1637" i="4"/>
  <c r="M45" i="7"/>
  <c r="F45" i="7" s="1"/>
  <c r="B45" i="7"/>
  <c r="M1522" i="4"/>
  <c r="N1531" i="4"/>
  <c r="Q1539" i="4"/>
  <c r="O1539" i="4"/>
  <c r="N1539" i="4"/>
  <c r="M1539" i="4"/>
  <c r="L1539" i="4"/>
  <c r="P1539" i="4"/>
  <c r="N1555" i="4"/>
  <c r="O1558" i="4"/>
  <c r="Q1560" i="4"/>
  <c r="O1560" i="4"/>
  <c r="M1560" i="4"/>
  <c r="L1560" i="4"/>
  <c r="N1560" i="4"/>
  <c r="Q1563" i="4"/>
  <c r="O1563" i="4"/>
  <c r="L1563" i="4"/>
  <c r="M1563" i="4"/>
  <c r="M1566" i="4"/>
  <c r="Q1566" i="4"/>
  <c r="L1566" i="4"/>
  <c r="N1566" i="4"/>
  <c r="L1576" i="4"/>
  <c r="O1580" i="4"/>
  <c r="M1580" i="4"/>
  <c r="Q1580" i="4"/>
  <c r="N1580" i="4"/>
  <c r="L1580" i="4"/>
  <c r="P1580" i="4" s="1"/>
  <c r="N1592" i="4"/>
  <c r="M1594" i="4"/>
  <c r="Q1594" i="4"/>
  <c r="L1594" i="4"/>
  <c r="P1594" i="4" s="1"/>
  <c r="O1634" i="4"/>
  <c r="M1634" i="4"/>
  <c r="Q1634" i="4"/>
  <c r="P1634" i="4"/>
  <c r="N1634" i="4"/>
  <c r="J1521" i="4"/>
  <c r="Q1533" i="4"/>
  <c r="O1533" i="4"/>
  <c r="M1533" i="4"/>
  <c r="P1533" i="4"/>
  <c r="N1533" i="4"/>
  <c r="Q1536" i="4"/>
  <c r="P1536" i="4"/>
  <c r="N1536" i="4"/>
  <c r="Q1550" i="4"/>
  <c r="N1550" i="4"/>
  <c r="L1550" i="4"/>
  <c r="O1550" i="4"/>
  <c r="J1569" i="4"/>
  <c r="Q1572" i="4"/>
  <c r="O1572" i="4"/>
  <c r="M1572" i="4"/>
  <c r="Q1575" i="4"/>
  <c r="P1575" i="4"/>
  <c r="L1575" i="4"/>
  <c r="Q1582" i="4"/>
  <c r="O1582" i="4"/>
  <c r="M1582" i="4"/>
  <c r="P1582" i="4"/>
  <c r="N1582" i="4"/>
  <c r="L1582" i="4"/>
  <c r="M1586" i="4"/>
  <c r="Q1586" i="4"/>
  <c r="O1586" i="4"/>
  <c r="N1586" i="4"/>
  <c r="L1586" i="4"/>
  <c r="P1586" i="4" s="1"/>
  <c r="O1588" i="4"/>
  <c r="M1588" i="4"/>
  <c r="N1588" i="4"/>
  <c r="L1588" i="4"/>
  <c r="P1588" i="4" s="1"/>
  <c r="M1603" i="4"/>
  <c r="Q1603" i="4"/>
  <c r="P1603" i="4"/>
  <c r="N1603" i="4"/>
  <c r="O1603" i="4"/>
  <c r="L1603" i="4"/>
  <c r="Q1617" i="4"/>
  <c r="O1617" i="4"/>
  <c r="M1617" i="4"/>
  <c r="P1617" i="4"/>
  <c r="L1617" i="4"/>
  <c r="O1642" i="4"/>
  <c r="M1642" i="4"/>
  <c r="Q1642" i="4"/>
  <c r="P1642" i="4"/>
  <c r="N1642" i="4"/>
  <c r="Q1653" i="4"/>
  <c r="O1653" i="4"/>
  <c r="M1653" i="4"/>
  <c r="P1653" i="4"/>
  <c r="L1653" i="4"/>
  <c r="Q1584" i="4"/>
  <c r="O1584" i="4"/>
  <c r="N1584" i="4"/>
  <c r="M1584" i="4"/>
  <c r="L1584" i="4"/>
  <c r="P1584" i="4" s="1"/>
  <c r="N1593" i="4"/>
  <c r="M1593" i="4"/>
  <c r="Q1630" i="4"/>
  <c r="N1630" i="4"/>
  <c r="P1630" i="4"/>
  <c r="B43" i="7"/>
  <c r="Q1538" i="4"/>
  <c r="O1538" i="4"/>
  <c r="N1538" i="4"/>
  <c r="P1538" i="4"/>
  <c r="Q1571" i="4"/>
  <c r="O1571" i="4"/>
  <c r="P1571" i="4"/>
  <c r="L1571" i="4"/>
  <c r="M1574" i="4"/>
  <c r="Q1574" i="4"/>
  <c r="P1574" i="4"/>
  <c r="L1574" i="4"/>
  <c r="P1587" i="4"/>
  <c r="N1587" i="4"/>
  <c r="O1587" i="4"/>
  <c r="M1587" i="4"/>
  <c r="Q1587" i="4"/>
  <c r="Q1626" i="4"/>
  <c r="N1626" i="4"/>
  <c r="P1626" i="4"/>
  <c r="Q1645" i="4"/>
  <c r="N1645" i="4"/>
  <c r="P1645" i="4"/>
  <c r="L1645" i="4"/>
  <c r="Q1598" i="4"/>
  <c r="O1605" i="4"/>
  <c r="M1605" i="4"/>
  <c r="L1605" i="4"/>
  <c r="P1605" i="4" s="1"/>
  <c r="P1610" i="4"/>
  <c r="N1610" i="4"/>
  <c r="M1610" i="4"/>
  <c r="Q1610" i="4"/>
  <c r="Q1614" i="4"/>
  <c r="N1614" i="4"/>
  <c r="N1621" i="4"/>
  <c r="Q1625" i="4"/>
  <c r="O1625" i="4"/>
  <c r="M1625" i="4"/>
  <c r="P1625" i="4"/>
  <c r="Q1629" i="4"/>
  <c r="O1629" i="4"/>
  <c r="M1629" i="4"/>
  <c r="P1629" i="4"/>
  <c r="Q1635" i="4"/>
  <c r="O1635" i="4"/>
  <c r="N1635" i="4"/>
  <c r="L1635" i="4"/>
  <c r="Q1651" i="4"/>
  <c r="O1651" i="4"/>
  <c r="P1651" i="4"/>
  <c r="Q1652" i="4"/>
  <c r="P1652" i="4"/>
  <c r="O1652" i="4"/>
  <c r="M1652" i="4"/>
  <c r="N1652" i="4"/>
  <c r="O1536" i="4"/>
  <c r="N1600" i="4"/>
  <c r="Q1600" i="4"/>
  <c r="Q1601" i="4"/>
  <c r="O1601" i="4"/>
  <c r="N1601" i="4"/>
  <c r="M1611" i="4"/>
  <c r="Q1611" i="4"/>
  <c r="O1611" i="4"/>
  <c r="M1619" i="4"/>
  <c r="Q1619" i="4"/>
  <c r="O1619" i="4"/>
  <c r="N1619" i="4"/>
  <c r="Q1641" i="4"/>
  <c r="N1641" i="4"/>
  <c r="P1641" i="4"/>
  <c r="L1641" i="4"/>
  <c r="Q1644" i="4"/>
  <c r="P1644" i="4"/>
  <c r="O1644" i="4"/>
  <c r="M1644" i="4"/>
  <c r="L1585" i="4"/>
  <c r="P1585" i="4" s="1"/>
  <c r="P1595" i="4"/>
  <c r="N1595" i="4"/>
  <c r="P1602" i="4"/>
  <c r="N1602" i="4"/>
  <c r="O1602" i="4"/>
  <c r="Q1607" i="4"/>
  <c r="O1607" i="4"/>
  <c r="N1607" i="4"/>
  <c r="M1607" i="4"/>
  <c r="M1643" i="4"/>
  <c r="Q1643" i="4"/>
  <c r="O1643" i="4"/>
  <c r="P1643" i="4"/>
  <c r="O1650" i="4"/>
  <c r="M1650" i="4"/>
  <c r="Q1650" i="4"/>
  <c r="N1650" i="4"/>
  <c r="O1525" i="4"/>
  <c r="O1544" i="4"/>
  <c r="O1552" i="4"/>
  <c r="O1557" i="4"/>
  <c r="P1578" i="4"/>
  <c r="L1589" i="4"/>
  <c r="P1589" i="4" s="1"/>
  <c r="L1591" i="4"/>
  <c r="P1591" i="4" s="1"/>
  <c r="Q1599" i="4"/>
  <c r="O1599" i="4"/>
  <c r="M1599" i="4"/>
  <c r="P1599" i="4"/>
  <c r="L1602" i="4"/>
  <c r="L1607" i="4"/>
  <c r="O1637" i="4"/>
  <c r="O1641" i="4"/>
  <c r="L1644" i="4"/>
  <c r="N1651" i="4"/>
  <c r="P1525" i="4"/>
  <c r="J1530" i="4"/>
  <c r="L1530" i="4" s="1"/>
  <c r="O1564" i="4"/>
  <c r="O1568" i="4"/>
  <c r="O1569" i="4"/>
  <c r="J1579" i="4"/>
  <c r="L1579" i="4" s="1"/>
  <c r="L1601" i="4"/>
  <c r="M1602" i="4"/>
  <c r="P1607" i="4"/>
  <c r="L1619" i="4"/>
  <c r="O1626" i="4"/>
  <c r="N1644" i="4"/>
  <c r="O1646" i="4"/>
  <c r="M1646" i="4"/>
  <c r="Q1646" i="4"/>
  <c r="N1646" i="4"/>
  <c r="L1650" i="4"/>
  <c r="N1653" i="4"/>
  <c r="J1532" i="4"/>
  <c r="L1532" i="4" s="1"/>
  <c r="J1534" i="4"/>
  <c r="O1575" i="4"/>
  <c r="O1576" i="4"/>
  <c r="J1581" i="4"/>
  <c r="L1581" i="4" s="1"/>
  <c r="J1583" i="4"/>
  <c r="L1593" i="4"/>
  <c r="P1593" i="4" s="1"/>
  <c r="N1596" i="4"/>
  <c r="P1596" i="4"/>
  <c r="M1596" i="4"/>
  <c r="O1597" i="4"/>
  <c r="M1597" i="4"/>
  <c r="M1600" i="4"/>
  <c r="M1601" i="4"/>
  <c r="Q1602" i="4"/>
  <c r="J1604" i="4"/>
  <c r="L1604" i="4" s="1"/>
  <c r="L1606" i="4"/>
  <c r="L1611" i="4"/>
  <c r="Q1618" i="4"/>
  <c r="N1618" i="4"/>
  <c r="P1619" i="4"/>
  <c r="Q1621" i="4"/>
  <c r="O1621" i="4"/>
  <c r="M1621" i="4"/>
  <c r="P1621" i="4"/>
  <c r="Q1636" i="4"/>
  <c r="P1636" i="4"/>
  <c r="O1636" i="4"/>
  <c r="N1636" i="4"/>
  <c r="L1636" i="4"/>
  <c r="Q1639" i="4"/>
  <c r="O1639" i="4"/>
  <c r="L1639" i="4"/>
  <c r="L1643" i="4"/>
  <c r="Q1649" i="4"/>
  <c r="N1649" i="4"/>
  <c r="P1650" i="4"/>
  <c r="O1614" i="4"/>
  <c r="M1623" i="4"/>
  <c r="Q1623" i="4"/>
  <c r="O1623" i="4"/>
  <c r="Q1624" i="4"/>
  <c r="P1624" i="4"/>
  <c r="O1624" i="4"/>
  <c r="N1625" i="4"/>
  <c r="O1630" i="4"/>
  <c r="P1638" i="4"/>
  <c r="L1642" i="4"/>
  <c r="M49" i="7"/>
  <c r="F49" i="7" s="1"/>
  <c r="B49" i="7"/>
  <c r="J1608" i="4"/>
  <c r="Q1612" i="4"/>
  <c r="P1612" i="4"/>
  <c r="O1612" i="4"/>
  <c r="N1613" i="4"/>
  <c r="O1618" i="4"/>
  <c r="M1627" i="4"/>
  <c r="Q1627" i="4"/>
  <c r="O1627" i="4"/>
  <c r="Q1628" i="4"/>
  <c r="P1628" i="4"/>
  <c r="O1628" i="4"/>
  <c r="N1629" i="4"/>
  <c r="Q1633" i="4"/>
  <c r="N1633" i="4"/>
  <c r="L1634" i="4"/>
  <c r="Q1640" i="4"/>
  <c r="P1640" i="4"/>
  <c r="O1640" i="4"/>
  <c r="M1640" i="4"/>
  <c r="O1645" i="4"/>
  <c r="L1598" i="4"/>
  <c r="P1598" i="4" s="1"/>
  <c r="L1600" i="4"/>
  <c r="J1606" i="4"/>
  <c r="M1615" i="4"/>
  <c r="Q1615" i="4"/>
  <c r="O1615" i="4"/>
  <c r="Q1616" i="4"/>
  <c r="P1616" i="4"/>
  <c r="O1616" i="4"/>
  <c r="N1617" i="4"/>
  <c r="O1622" i="4"/>
  <c r="M1631" i="4"/>
  <c r="Q1631" i="4"/>
  <c r="O1631" i="4"/>
  <c r="Q1632" i="4"/>
  <c r="P1632" i="4"/>
  <c r="O1632" i="4"/>
  <c r="M1632" i="4"/>
  <c r="Q1647" i="4"/>
  <c r="O1647" i="4"/>
  <c r="O1649" i="4"/>
  <c r="M53" i="7"/>
  <c r="F53" i="7" s="1"/>
  <c r="B53" i="7"/>
  <c r="K40" i="7"/>
  <c r="K44" i="7"/>
  <c r="K48" i="7"/>
  <c r="K52" i="7"/>
  <c r="K56" i="7"/>
  <c r="E8" i="7"/>
  <c r="D12" i="7"/>
  <c r="L40" i="7"/>
  <c r="L44" i="7"/>
  <c r="L48" i="7"/>
  <c r="L52" i="7"/>
  <c r="L56" i="7"/>
  <c r="L41" i="7"/>
  <c r="L45" i="7"/>
  <c r="L49" i="7"/>
  <c r="L53" i="7"/>
  <c r="L1614" i="4"/>
  <c r="L1618" i="4"/>
  <c r="L1622" i="4"/>
  <c r="L1626" i="4"/>
  <c r="L1630" i="4"/>
  <c r="L1638" i="4"/>
  <c r="K38" i="7"/>
  <c r="K42" i="7"/>
  <c r="K46" i="7"/>
  <c r="K50" i="7"/>
  <c r="K54" i="7"/>
  <c r="L38" i="7"/>
  <c r="L42" i="7"/>
  <c r="L46" i="7"/>
  <c r="L50" i="7"/>
  <c r="L54" i="7"/>
  <c r="K55" i="7"/>
  <c r="L39" i="7"/>
  <c r="L43" i="7"/>
  <c r="L47" i="7"/>
  <c r="L51" i="7"/>
  <c r="L55" i="7"/>
  <c r="B47" i="7" l="1"/>
  <c r="B41" i="7"/>
  <c r="I47" i="7"/>
  <c r="I41" i="7"/>
  <c r="B51" i="7"/>
  <c r="I53" i="7"/>
  <c r="B50" i="7"/>
  <c r="M50" i="7"/>
  <c r="F50" i="7" s="1"/>
  <c r="B56" i="7"/>
  <c r="M56" i="7"/>
  <c r="F56" i="7" s="1"/>
  <c r="B55" i="7"/>
  <c r="M55" i="7"/>
  <c r="F55" i="7" s="1"/>
  <c r="N45" i="7"/>
  <c r="G45" i="7" s="1"/>
  <c r="V45" i="7" s="1"/>
  <c r="C45" i="7"/>
  <c r="N54" i="7"/>
  <c r="G54" i="7" s="1"/>
  <c r="V54" i="7" s="1"/>
  <c r="C54" i="7"/>
  <c r="N41" i="7"/>
  <c r="G41" i="7" s="1"/>
  <c r="V41" i="7" s="1"/>
  <c r="C41" i="7"/>
  <c r="D41" i="7" s="1"/>
  <c r="I49" i="7"/>
  <c r="M1505" i="4"/>
  <c r="O1505" i="4"/>
  <c r="N1505" i="4"/>
  <c r="Q1505" i="4"/>
  <c r="L1505" i="4"/>
  <c r="P1505" i="4" s="1"/>
  <c r="Q1493" i="4"/>
  <c r="P1493" i="4"/>
  <c r="N1493" i="4"/>
  <c r="I39" i="7"/>
  <c r="B48" i="7"/>
  <c r="M48" i="7"/>
  <c r="F48" i="7" s="1"/>
  <c r="N43" i="7"/>
  <c r="C43" i="7"/>
  <c r="D43" i="7" s="1"/>
  <c r="N50" i="7"/>
  <c r="C50" i="7"/>
  <c r="M54" i="7"/>
  <c r="F54" i="7" s="1"/>
  <c r="B54" i="7"/>
  <c r="B38" i="7"/>
  <c r="M38" i="7"/>
  <c r="F38" i="7" s="1"/>
  <c r="N53" i="7"/>
  <c r="C53" i="7"/>
  <c r="D53" i="7" s="1"/>
  <c r="N56" i="7"/>
  <c r="G56" i="7" s="1"/>
  <c r="C56" i="7"/>
  <c r="N40" i="7"/>
  <c r="C40" i="7"/>
  <c r="I45" i="7"/>
  <c r="Q1606" i="4"/>
  <c r="P1606" i="4"/>
  <c r="O1606" i="4"/>
  <c r="M1606" i="4"/>
  <c r="N1606" i="4"/>
  <c r="N1583" i="4"/>
  <c r="Q1583" i="4"/>
  <c r="O1583" i="4"/>
  <c r="M1583" i="4"/>
  <c r="L1583" i="4"/>
  <c r="P1583" i="4" s="1"/>
  <c r="O1440" i="4"/>
  <c r="N1440" i="4"/>
  <c r="Q1440" i="4"/>
  <c r="M1440" i="4"/>
  <c r="L1440" i="4"/>
  <c r="P1440" i="4" s="1"/>
  <c r="P1345" i="4"/>
  <c r="O1345" i="4"/>
  <c r="N1345" i="4"/>
  <c r="M1345" i="4"/>
  <c r="Q1345" i="4"/>
  <c r="O1325" i="4"/>
  <c r="M1325" i="4"/>
  <c r="P1325" i="4"/>
  <c r="N1325" i="4"/>
  <c r="Q1325" i="4"/>
  <c r="P1321" i="4"/>
  <c r="Q1321" i="4"/>
  <c r="N1321" i="4"/>
  <c r="N1146" i="4"/>
  <c r="Q1146" i="4"/>
  <c r="P1146" i="4"/>
  <c r="Q1134" i="4"/>
  <c r="P1134" i="4"/>
  <c r="N1134" i="4"/>
  <c r="Q1049" i="4"/>
  <c r="P1049" i="4"/>
  <c r="O1049" i="4"/>
  <c r="M1049" i="4"/>
  <c r="N996" i="4"/>
  <c r="Q996" i="4"/>
  <c r="P996" i="4"/>
  <c r="O996" i="4"/>
  <c r="M996" i="4"/>
  <c r="L1134" i="4"/>
  <c r="O1122" i="4"/>
  <c r="N1012" i="4"/>
  <c r="M1012" i="4"/>
  <c r="Q1012" i="4"/>
  <c r="O1012" i="4"/>
  <c r="P1012" i="4"/>
  <c r="L1135" i="4"/>
  <c r="O990" i="4"/>
  <c r="P990" i="4"/>
  <c r="N990" i="4"/>
  <c r="L990" i="4"/>
  <c r="Q990" i="4"/>
  <c r="Q1023" i="4"/>
  <c r="M1023" i="4"/>
  <c r="O1023" i="4"/>
  <c r="N1023" i="4"/>
  <c r="P1023" i="4"/>
  <c r="P865" i="4"/>
  <c r="Q865" i="4"/>
  <c r="O865" i="4"/>
  <c r="M865" i="4"/>
  <c r="P740" i="4"/>
  <c r="O740" i="4"/>
  <c r="N740" i="4"/>
  <c r="M740" i="4"/>
  <c r="L740" i="4"/>
  <c r="Q740" i="4"/>
  <c r="P746" i="4"/>
  <c r="N746" i="4"/>
  <c r="Q746" i="4"/>
  <c r="O746" i="4"/>
  <c r="M746" i="4"/>
  <c r="L746" i="4"/>
  <c r="M555" i="4"/>
  <c r="Q555" i="4"/>
  <c r="O555" i="4"/>
  <c r="N555" i="4"/>
  <c r="P595" i="4"/>
  <c r="O595" i="4"/>
  <c r="M595" i="4"/>
  <c r="Q595" i="4"/>
  <c r="N595" i="4"/>
  <c r="L595" i="4"/>
  <c r="O572" i="4"/>
  <c r="L572" i="4"/>
  <c r="P572" i="4" s="1"/>
  <c r="Q572" i="4"/>
  <c r="M572" i="4"/>
  <c r="N572" i="4"/>
  <c r="L514" i="4"/>
  <c r="Q514" i="4"/>
  <c r="P514" i="4"/>
  <c r="N514" i="4"/>
  <c r="O666" i="4"/>
  <c r="N666" i="4"/>
  <c r="M666" i="4"/>
  <c r="L666" i="4"/>
  <c r="P666" i="4"/>
  <c r="Q666" i="4"/>
  <c r="O526" i="4"/>
  <c r="Q526" i="4"/>
  <c r="P526" i="4"/>
  <c r="M526" i="4"/>
  <c r="N427" i="4"/>
  <c r="L427" i="4"/>
  <c r="O427" i="4"/>
  <c r="Q427" i="4"/>
  <c r="P427" i="4"/>
  <c r="P298" i="4"/>
  <c r="Q298" i="4"/>
  <c r="O298" i="4"/>
  <c r="N298" i="4"/>
  <c r="M298" i="4"/>
  <c r="P351" i="4"/>
  <c r="O351" i="4"/>
  <c r="M351" i="4"/>
  <c r="Q351" i="4"/>
  <c r="N393" i="4"/>
  <c r="M393" i="4"/>
  <c r="L393" i="4"/>
  <c r="O393" i="4"/>
  <c r="Q393" i="4"/>
  <c r="P393" i="4"/>
  <c r="P322" i="4"/>
  <c r="Q322" i="4"/>
  <c r="O322" i="4"/>
  <c r="N322" i="4"/>
  <c r="M322" i="4"/>
  <c r="O188" i="4"/>
  <c r="N188" i="4"/>
  <c r="M188" i="4"/>
  <c r="Q188" i="4"/>
  <c r="P188" i="4"/>
  <c r="L188" i="4"/>
  <c r="O124" i="4"/>
  <c r="Q124" i="4"/>
  <c r="N124" i="4"/>
  <c r="M124" i="4"/>
  <c r="O108" i="4"/>
  <c r="M108" i="4"/>
  <c r="Q108" i="4"/>
  <c r="N108" i="4"/>
  <c r="N39" i="7"/>
  <c r="G39" i="7" s="1"/>
  <c r="V39" i="7" s="1"/>
  <c r="C39" i="7"/>
  <c r="D39" i="7" s="1"/>
  <c r="B40" i="7"/>
  <c r="M40" i="7"/>
  <c r="F40" i="7" s="1"/>
  <c r="B46" i="7"/>
  <c r="M46" i="7"/>
  <c r="F46" i="7" s="1"/>
  <c r="N47" i="7"/>
  <c r="G47" i="7" s="1"/>
  <c r="V47" i="7" s="1"/>
  <c r="C47" i="7"/>
  <c r="D47" i="7" s="1"/>
  <c r="B42" i="7"/>
  <c r="M42" i="7"/>
  <c r="F42" i="7" s="1"/>
  <c r="I51" i="7"/>
  <c r="B44" i="7"/>
  <c r="M44" i="7"/>
  <c r="F44" i="7" s="1"/>
  <c r="N1608" i="4"/>
  <c r="P1608" i="4"/>
  <c r="Q1608" i="4"/>
  <c r="O1608" i="4"/>
  <c r="M1608" i="4"/>
  <c r="P1581" i="4"/>
  <c r="Q1581" i="4"/>
  <c r="O1581" i="4"/>
  <c r="N1581" i="4"/>
  <c r="M1581" i="4"/>
  <c r="O1521" i="4"/>
  <c r="L1521" i="4"/>
  <c r="P1521" i="4" s="1"/>
  <c r="Q1521" i="4"/>
  <c r="M1521" i="4"/>
  <c r="N1521" i="4"/>
  <c r="U41" i="7"/>
  <c r="Q1464" i="4"/>
  <c r="P1464" i="4"/>
  <c r="O1464" i="4"/>
  <c r="M1464" i="4"/>
  <c r="N1464" i="4"/>
  <c r="O1448" i="4"/>
  <c r="N1448" i="4"/>
  <c r="Q1448" i="4"/>
  <c r="M1448" i="4"/>
  <c r="L1448" i="4"/>
  <c r="P1448" i="4" s="1"/>
  <c r="M1439" i="4"/>
  <c r="Q1439" i="4"/>
  <c r="N1439" i="4"/>
  <c r="P1439" i="4"/>
  <c r="O1439" i="4"/>
  <c r="L1439" i="4"/>
  <c r="O1255" i="4"/>
  <c r="N1255" i="4"/>
  <c r="M1255" i="4"/>
  <c r="L1255" i="4"/>
  <c r="P1255" i="4" s="1"/>
  <c r="Q1255" i="4"/>
  <c r="N1233" i="4"/>
  <c r="L1233" i="4"/>
  <c r="P1233" i="4"/>
  <c r="Q1233" i="4"/>
  <c r="O1233" i="4"/>
  <c r="N1205" i="4"/>
  <c r="P1205" i="4"/>
  <c r="Q1205" i="4"/>
  <c r="P1131" i="4"/>
  <c r="Q1131" i="4"/>
  <c r="O1131" i="4"/>
  <c r="M1131" i="4"/>
  <c r="Q1094" i="4"/>
  <c r="N1094" i="4"/>
  <c r="M1094" i="4"/>
  <c r="O1094" i="4"/>
  <c r="P1094" i="4"/>
  <c r="N1000" i="4"/>
  <c r="Q1000" i="4"/>
  <c r="P1000" i="4"/>
  <c r="M1000" i="4"/>
  <c r="O1000" i="4"/>
  <c r="N937" i="4"/>
  <c r="O937" i="4"/>
  <c r="M937" i="4"/>
  <c r="Q937" i="4"/>
  <c r="L937" i="4"/>
  <c r="P937" i="4" s="1"/>
  <c r="P859" i="4"/>
  <c r="N859" i="4"/>
  <c r="Q859" i="4"/>
  <c r="O859" i="4"/>
  <c r="M859" i="4"/>
  <c r="L859" i="4"/>
  <c r="P734" i="4"/>
  <c r="O734" i="4"/>
  <c r="N734" i="4"/>
  <c r="M734" i="4"/>
  <c r="Q734" i="4"/>
  <c r="O674" i="4"/>
  <c r="N674" i="4"/>
  <c r="M674" i="4"/>
  <c r="L674" i="4"/>
  <c r="P674" i="4"/>
  <c r="Q674" i="4"/>
  <c r="O542" i="4"/>
  <c r="Q542" i="4"/>
  <c r="P542" i="4"/>
  <c r="N542" i="4"/>
  <c r="M542" i="4"/>
  <c r="L542" i="4"/>
  <c r="O587" i="4"/>
  <c r="M587" i="4"/>
  <c r="Q587" i="4"/>
  <c r="P587" i="4"/>
  <c r="L587" i="4"/>
  <c r="N587" i="4"/>
  <c r="L510" i="4"/>
  <c r="N316" i="4"/>
  <c r="Q316" i="4"/>
  <c r="P316" i="4"/>
  <c r="O316" i="4"/>
  <c r="M316" i="4"/>
  <c r="N489" i="4"/>
  <c r="M489" i="4"/>
  <c r="L489" i="4"/>
  <c r="O489" i="4"/>
  <c r="P489" i="4"/>
  <c r="Q489" i="4"/>
  <c r="P355" i="4"/>
  <c r="O355" i="4"/>
  <c r="M355" i="4"/>
  <c r="Q355" i="4"/>
  <c r="L355" i="4"/>
  <c r="L298" i="4"/>
  <c r="N423" i="4"/>
  <c r="L423" i="4"/>
  <c r="O423" i="4"/>
  <c r="Q423" i="4"/>
  <c r="P423" i="4"/>
  <c r="P339" i="4"/>
  <c r="M339" i="4"/>
  <c r="Q339" i="4"/>
  <c r="O339" i="4"/>
  <c r="L339" i="4"/>
  <c r="L316" i="4"/>
  <c r="N184" i="4"/>
  <c r="Q184" i="4"/>
  <c r="P184" i="4"/>
  <c r="L184" i="4"/>
  <c r="M131" i="4"/>
  <c r="Q131" i="4"/>
  <c r="P131" i="4"/>
  <c r="O131" i="4"/>
  <c r="N131" i="4"/>
  <c r="L131" i="4"/>
  <c r="M99" i="4"/>
  <c r="Q99" i="4"/>
  <c r="O99" i="4"/>
  <c r="N99" i="4"/>
  <c r="L99" i="4"/>
  <c r="P99" i="4" s="1"/>
  <c r="N92" i="4"/>
  <c r="P92" i="4"/>
  <c r="L92" i="4"/>
  <c r="Q92" i="4"/>
  <c r="O92" i="4"/>
  <c r="N162" i="4"/>
  <c r="O162" i="4"/>
  <c r="Q162" i="4"/>
  <c r="P162" i="4"/>
  <c r="L162" i="4"/>
  <c r="N46" i="7"/>
  <c r="G46" i="7" s="1"/>
  <c r="V46" i="7" s="1"/>
  <c r="C46" i="7"/>
  <c r="P1579" i="4"/>
  <c r="N1579" i="4"/>
  <c r="Q1579" i="4"/>
  <c r="O1579" i="4"/>
  <c r="M1579" i="4"/>
  <c r="U43" i="7"/>
  <c r="D45" i="7"/>
  <c r="M1524" i="4"/>
  <c r="P1524" i="4"/>
  <c r="O1524" i="4"/>
  <c r="Q1524" i="4"/>
  <c r="N1524" i="4"/>
  <c r="M1447" i="4"/>
  <c r="Q1447" i="4"/>
  <c r="N1447" i="4"/>
  <c r="O1447" i="4"/>
  <c r="L1447" i="4"/>
  <c r="P1447" i="4"/>
  <c r="O1379" i="4"/>
  <c r="Q1379" i="4"/>
  <c r="P1379" i="4"/>
  <c r="M1379" i="4"/>
  <c r="N1379" i="4"/>
  <c r="O1353" i="4"/>
  <c r="Q1353" i="4"/>
  <c r="P1353" i="4"/>
  <c r="N1353" i="4"/>
  <c r="M1353" i="4"/>
  <c r="L1353" i="4"/>
  <c r="O1289" i="4"/>
  <c r="Q1289" i="4"/>
  <c r="P1289" i="4"/>
  <c r="N1289" i="4"/>
  <c r="M1289" i="4"/>
  <c r="O1309" i="4"/>
  <c r="P1309" i="4"/>
  <c r="N1309" i="4"/>
  <c r="Q1309" i="4"/>
  <c r="N1197" i="4"/>
  <c r="M1197" i="4"/>
  <c r="Q1197" i="4"/>
  <c r="O1197" i="4"/>
  <c r="P1197" i="4"/>
  <c r="O1171" i="4"/>
  <c r="Q1171" i="4"/>
  <c r="N1171" i="4"/>
  <c r="M1171" i="4"/>
  <c r="Q1130" i="4"/>
  <c r="P1130" i="4"/>
  <c r="N1130" i="4"/>
  <c r="Q1154" i="4"/>
  <c r="P1154" i="4"/>
  <c r="N1154" i="4"/>
  <c r="Q1102" i="4"/>
  <c r="N1102" i="4"/>
  <c r="P1102" i="4"/>
  <c r="O1102" i="4"/>
  <c r="M1102" i="4"/>
  <c r="Q1057" i="4"/>
  <c r="P1057" i="4"/>
  <c r="O1057" i="4"/>
  <c r="M1057" i="4"/>
  <c r="O1130" i="4"/>
  <c r="N1053" i="4"/>
  <c r="P1053" i="4"/>
  <c r="Q1053" i="4"/>
  <c r="N1082" i="4"/>
  <c r="M1082" i="4"/>
  <c r="O1082" i="4"/>
  <c r="Q1082" i="4"/>
  <c r="O900" i="4"/>
  <c r="Q900" i="4"/>
  <c r="P900" i="4"/>
  <c r="N900" i="4"/>
  <c r="L900" i="4"/>
  <c r="O588" i="4"/>
  <c r="Q588" i="4"/>
  <c r="N588" i="4"/>
  <c r="M588" i="4"/>
  <c r="M563" i="4"/>
  <c r="P563" i="4"/>
  <c r="O563" i="4"/>
  <c r="N563" i="4"/>
  <c r="Q563" i="4"/>
  <c r="Q558" i="4"/>
  <c r="N558" i="4"/>
  <c r="M558" i="4"/>
  <c r="O558" i="4"/>
  <c r="P558" i="4"/>
  <c r="N288" i="4"/>
  <c r="Q288" i="4"/>
  <c r="O288" i="4"/>
  <c r="L288" i="4"/>
  <c r="P288" i="4" s="1"/>
  <c r="M288" i="4"/>
  <c r="L563" i="4"/>
  <c r="M500" i="4"/>
  <c r="Q500" i="4"/>
  <c r="N500" i="4"/>
  <c r="P500" i="4"/>
  <c r="O500" i="4"/>
  <c r="M380" i="4"/>
  <c r="Q380" i="4"/>
  <c r="N380" i="4"/>
  <c r="P380" i="4"/>
  <c r="O380" i="4"/>
  <c r="N308" i="4"/>
  <c r="O308" i="4"/>
  <c r="M308" i="4"/>
  <c r="P308" i="4"/>
  <c r="Q308" i="4"/>
  <c r="P530" i="4"/>
  <c r="N530" i="4"/>
  <c r="Q530" i="4"/>
  <c r="M476" i="4"/>
  <c r="Q476" i="4"/>
  <c r="N476" i="4"/>
  <c r="P476" i="4"/>
  <c r="O476" i="4"/>
  <c r="N419" i="4"/>
  <c r="M419" i="4"/>
  <c r="L419" i="4"/>
  <c r="O419" i="4"/>
  <c r="Q419" i="4"/>
  <c r="P419" i="4"/>
  <c r="N156" i="4"/>
  <c r="Q156" i="4"/>
  <c r="P156" i="4"/>
  <c r="L156" i="4"/>
  <c r="C55" i="7"/>
  <c r="N55" i="7"/>
  <c r="G55" i="7" s="1"/>
  <c r="V55" i="7" s="1"/>
  <c r="U49" i="7"/>
  <c r="U45" i="7"/>
  <c r="L1493" i="4"/>
  <c r="L1379" i="4"/>
  <c r="O1276" i="4"/>
  <c r="N1276" i="4"/>
  <c r="M1276" i="4"/>
  <c r="L1276" i="4"/>
  <c r="P1276" i="4"/>
  <c r="Q1276" i="4"/>
  <c r="P1119" i="4"/>
  <c r="Q1119" i="4"/>
  <c r="O1119" i="4"/>
  <c r="N1119" i="4"/>
  <c r="M1119" i="4"/>
  <c r="L1171" i="4"/>
  <c r="P1171" i="4" s="1"/>
  <c r="N1245" i="4"/>
  <c r="L1245" i="4"/>
  <c r="P1245" i="4"/>
  <c r="Q1245" i="4"/>
  <c r="P1143" i="4"/>
  <c r="M1143" i="4"/>
  <c r="Q1143" i="4"/>
  <c r="O1143" i="4"/>
  <c r="P1127" i="4"/>
  <c r="Q1127" i="4"/>
  <c r="O1127" i="4"/>
  <c r="M1127" i="4"/>
  <c r="L1130" i="4"/>
  <c r="N1028" i="4"/>
  <c r="O1028" i="4"/>
  <c r="M1028" i="4"/>
  <c r="P1028" i="4"/>
  <c r="Q1028" i="4"/>
  <c r="L1082" i="4"/>
  <c r="P1082" i="4" s="1"/>
  <c r="O904" i="4"/>
  <c r="N904" i="4"/>
  <c r="M904" i="4"/>
  <c r="L904" i="4"/>
  <c r="P904" i="4"/>
  <c r="Q904" i="4"/>
  <c r="Q758" i="4"/>
  <c r="O758" i="4"/>
  <c r="N758" i="4"/>
  <c r="M758" i="4"/>
  <c r="Q646" i="4"/>
  <c r="O646" i="4"/>
  <c r="N646" i="4"/>
  <c r="M646" i="4"/>
  <c r="O556" i="4"/>
  <c r="Q556" i="4"/>
  <c r="N556" i="4"/>
  <c r="M556" i="4"/>
  <c r="O510" i="4"/>
  <c r="M510" i="4"/>
  <c r="P510" i="4"/>
  <c r="Q510" i="4"/>
  <c r="M404" i="4"/>
  <c r="Q404" i="4"/>
  <c r="N404" i="4"/>
  <c r="P404" i="4"/>
  <c r="O404" i="4"/>
  <c r="P320" i="4"/>
  <c r="N320" i="4"/>
  <c r="Q320" i="4"/>
  <c r="O320" i="4"/>
  <c r="M320" i="4"/>
  <c r="L320" i="4"/>
  <c r="N284" i="4"/>
  <c r="Q284" i="4"/>
  <c r="O284" i="4"/>
  <c r="M284" i="4"/>
  <c r="L284" i="4"/>
  <c r="P284" i="4" s="1"/>
  <c r="N497" i="4"/>
  <c r="M497" i="4"/>
  <c r="L497" i="4"/>
  <c r="O497" i="4"/>
  <c r="Q497" i="4"/>
  <c r="P497" i="4"/>
  <c r="N377" i="4"/>
  <c r="M377" i="4"/>
  <c r="L377" i="4"/>
  <c r="O377" i="4"/>
  <c r="Q377" i="4"/>
  <c r="P377" i="4"/>
  <c r="N415" i="4"/>
  <c r="M415" i="4"/>
  <c r="L415" i="4"/>
  <c r="O415" i="4"/>
  <c r="Q415" i="4"/>
  <c r="P415" i="4"/>
  <c r="Q60" i="4"/>
  <c r="P60" i="4"/>
  <c r="N60" i="4"/>
  <c r="O116" i="4"/>
  <c r="Q116" i="4"/>
  <c r="M116" i="4"/>
  <c r="N116" i="4"/>
  <c r="L116" i="4"/>
  <c r="P116" i="4" s="1"/>
  <c r="O140" i="4"/>
  <c r="M140" i="4"/>
  <c r="Q140" i="4"/>
  <c r="P140" i="4"/>
  <c r="N140" i="4"/>
  <c r="O100" i="4"/>
  <c r="N100" i="4"/>
  <c r="M100" i="4"/>
  <c r="Q100" i="4"/>
  <c r="O60" i="4"/>
  <c r="L124" i="4"/>
  <c r="P124" i="4" s="1"/>
  <c r="U39" i="7"/>
  <c r="Q1489" i="4"/>
  <c r="N1489" i="4"/>
  <c r="P1489" i="4"/>
  <c r="M1515" i="4"/>
  <c r="O1515" i="4"/>
  <c r="P1515" i="4"/>
  <c r="N1515" i="4"/>
  <c r="Q1515" i="4"/>
  <c r="L1464" i="4"/>
  <c r="N1419" i="4"/>
  <c r="Q1419" i="4"/>
  <c r="O1419" i="4"/>
  <c r="M1419" i="4"/>
  <c r="L1419" i="4"/>
  <c r="P1419" i="4" s="1"/>
  <c r="O1484" i="4"/>
  <c r="M1484" i="4"/>
  <c r="Q1484" i="4"/>
  <c r="P1484" i="4"/>
  <c r="N1484" i="4"/>
  <c r="O1395" i="4"/>
  <c r="M1395" i="4"/>
  <c r="Q1395" i="4"/>
  <c r="P1395" i="4"/>
  <c r="N1342" i="4"/>
  <c r="M1342" i="4"/>
  <c r="L1342" i="4"/>
  <c r="P1342" i="4" s="1"/>
  <c r="Q1342" i="4"/>
  <c r="O1342" i="4"/>
  <c r="O1281" i="4"/>
  <c r="M1281" i="4"/>
  <c r="Q1281" i="4"/>
  <c r="N1281" i="4"/>
  <c r="P1281" i="4"/>
  <c r="O1162" i="4"/>
  <c r="O1313" i="4"/>
  <c r="M1313" i="4"/>
  <c r="P1313" i="4"/>
  <c r="Q1313" i="4"/>
  <c r="N1313" i="4"/>
  <c r="N1173" i="4"/>
  <c r="M1173" i="4"/>
  <c r="Q1173" i="4"/>
  <c r="P1173" i="4"/>
  <c r="O1173" i="4"/>
  <c r="L1197" i="4"/>
  <c r="L1154" i="4"/>
  <c r="O1194" i="4"/>
  <c r="N1194" i="4"/>
  <c r="M1194" i="4"/>
  <c r="L1194" i="4"/>
  <c r="Q1194" i="4"/>
  <c r="P1194" i="4"/>
  <c r="Q1142" i="4"/>
  <c r="P1142" i="4"/>
  <c r="O1142" i="4"/>
  <c r="M1142" i="4"/>
  <c r="Q1126" i="4"/>
  <c r="P1126" i="4"/>
  <c r="N1126" i="4"/>
  <c r="P1067" i="4"/>
  <c r="M1067" i="4"/>
  <c r="Q1067" i="4"/>
  <c r="O1067" i="4"/>
  <c r="O1053" i="4"/>
  <c r="N1138" i="4"/>
  <c r="N1037" i="4"/>
  <c r="P1037" i="4"/>
  <c r="Q1037" i="4"/>
  <c r="P1098" i="4"/>
  <c r="N1098" i="4"/>
  <c r="M1098" i="4"/>
  <c r="O1098" i="4"/>
  <c r="Q1098" i="4"/>
  <c r="P1026" i="4"/>
  <c r="N1026" i="4"/>
  <c r="M1026" i="4"/>
  <c r="O1026" i="4"/>
  <c r="Q1026" i="4"/>
  <c r="L1127" i="4"/>
  <c r="N917" i="4"/>
  <c r="Q917" i="4"/>
  <c r="P917" i="4"/>
  <c r="O917" i="4"/>
  <c r="M917" i="4"/>
  <c r="N855" i="4"/>
  <c r="Q855" i="4"/>
  <c r="P855" i="4"/>
  <c r="O855" i="4"/>
  <c r="M855" i="4"/>
  <c r="N1057" i="4"/>
  <c r="P873" i="4"/>
  <c r="N873" i="4"/>
  <c r="Q873" i="4"/>
  <c r="M830" i="4"/>
  <c r="Q830" i="4"/>
  <c r="O830" i="4"/>
  <c r="N830" i="4"/>
  <c r="P830" i="4"/>
  <c r="M748" i="4"/>
  <c r="L748" i="4"/>
  <c r="P748" i="4" s="1"/>
  <c r="Q748" i="4"/>
  <c r="N748" i="4"/>
  <c r="O748" i="4"/>
  <c r="P772" i="4"/>
  <c r="O772" i="4"/>
  <c r="N772" i="4"/>
  <c r="M772" i="4"/>
  <c r="L772" i="4"/>
  <c r="Q772" i="4"/>
  <c r="L643" i="4"/>
  <c r="P643" i="4"/>
  <c r="O643" i="4"/>
  <c r="Q643" i="4"/>
  <c r="N643" i="4"/>
  <c r="O522" i="4"/>
  <c r="Q522" i="4"/>
  <c r="P522" i="4"/>
  <c r="N522" i="4"/>
  <c r="M522" i="4"/>
  <c r="L522" i="4"/>
  <c r="O538" i="4"/>
  <c r="L538" i="4"/>
  <c r="Q538" i="4"/>
  <c r="M538" i="4"/>
  <c r="P538" i="4"/>
  <c r="N538" i="4"/>
  <c r="Q546" i="4"/>
  <c r="P546" i="4"/>
  <c r="N546" i="4"/>
  <c r="L546" i="4"/>
  <c r="P327" i="4"/>
  <c r="M327" i="4"/>
  <c r="O327" i="4"/>
  <c r="Q327" i="4"/>
  <c r="L526" i="4"/>
  <c r="P347" i="4"/>
  <c r="N347" i="4"/>
  <c r="O347" i="4"/>
  <c r="L347" i="4"/>
  <c r="Q347" i="4"/>
  <c r="N473" i="4"/>
  <c r="M473" i="4"/>
  <c r="L473" i="4"/>
  <c r="P473" i="4" s="1"/>
  <c r="O473" i="4"/>
  <c r="Q473" i="4"/>
  <c r="O148" i="4"/>
  <c r="Q148" i="4"/>
  <c r="P148" i="4"/>
  <c r="N148" i="4"/>
  <c r="M148" i="4"/>
  <c r="L148" i="4"/>
  <c r="Q191" i="4"/>
  <c r="N191" i="4"/>
  <c r="M191" i="4"/>
  <c r="P191" i="4"/>
  <c r="O191" i="4"/>
  <c r="N52" i="7"/>
  <c r="G52" i="7" s="1"/>
  <c r="V52" i="7" s="1"/>
  <c r="C52" i="7"/>
  <c r="N42" i="7"/>
  <c r="G42" i="7" s="1"/>
  <c r="V42" i="7" s="1"/>
  <c r="C42" i="7"/>
  <c r="N1534" i="4"/>
  <c r="Q1534" i="4"/>
  <c r="P1534" i="4"/>
  <c r="M1534" i="4"/>
  <c r="O1534" i="4"/>
  <c r="L1569" i="4"/>
  <c r="Q1569" i="4"/>
  <c r="N1569" i="4"/>
  <c r="P1569" i="4"/>
  <c r="I43" i="7"/>
  <c r="B52" i="7"/>
  <c r="M52" i="7"/>
  <c r="F52" i="7" s="1"/>
  <c r="U53" i="7"/>
  <c r="P1532" i="4"/>
  <c r="Q1532" i="4"/>
  <c r="O1532" i="4"/>
  <c r="M1532" i="4"/>
  <c r="N1532" i="4"/>
  <c r="Q1513" i="4"/>
  <c r="N1513" i="4"/>
  <c r="M1513" i="4"/>
  <c r="L1513" i="4"/>
  <c r="P1513" i="4" s="1"/>
  <c r="O1513" i="4"/>
  <c r="P1425" i="4"/>
  <c r="Q1425" i="4"/>
  <c r="O1425" i="4"/>
  <c r="N1425" i="4"/>
  <c r="M1425" i="4"/>
  <c r="Q1391" i="4"/>
  <c r="P1391" i="4"/>
  <c r="N1391" i="4"/>
  <c r="O1375" i="4"/>
  <c r="Q1375" i="4"/>
  <c r="P1375" i="4"/>
  <c r="M1375" i="4"/>
  <c r="Q1268" i="4"/>
  <c r="O1268" i="4"/>
  <c r="N1268" i="4"/>
  <c r="M1268" i="4"/>
  <c r="L1268" i="4"/>
  <c r="P1268" i="4" s="1"/>
  <c r="L1391" i="4"/>
  <c r="O1154" i="4"/>
  <c r="N1349" i="4"/>
  <c r="P1349" i="4"/>
  <c r="O1349" i="4"/>
  <c r="M1349" i="4"/>
  <c r="Q1349" i="4"/>
  <c r="N1181" i="4"/>
  <c r="M1181" i="4"/>
  <c r="Q1181" i="4"/>
  <c r="O1181" i="4"/>
  <c r="P1181" i="4"/>
  <c r="P1139" i="4"/>
  <c r="Q1139" i="4"/>
  <c r="N1139" i="4"/>
  <c r="P1123" i="4"/>
  <c r="Q1123" i="4"/>
  <c r="O1123" i="4"/>
  <c r="M1123" i="4"/>
  <c r="L1143" i="4"/>
  <c r="N1127" i="4"/>
  <c r="N933" i="4"/>
  <c r="L933" i="4"/>
  <c r="Q933" i="4"/>
  <c r="M933" i="4"/>
  <c r="P933" i="4"/>
  <c r="O933" i="4"/>
  <c r="P881" i="4"/>
  <c r="M881" i="4"/>
  <c r="Q881" i="4"/>
  <c r="O881" i="4"/>
  <c r="L1057" i="4"/>
  <c r="N839" i="4"/>
  <c r="Q839" i="4"/>
  <c r="P839" i="4"/>
  <c r="O839" i="4"/>
  <c r="M839" i="4"/>
  <c r="N742" i="4"/>
  <c r="M742" i="4"/>
  <c r="Q742" i="4"/>
  <c r="O742" i="4"/>
  <c r="P742" i="4"/>
  <c r="P766" i="4"/>
  <c r="O766" i="4"/>
  <c r="N766" i="4"/>
  <c r="M766" i="4"/>
  <c r="Q766" i="4"/>
  <c r="O658" i="4"/>
  <c r="N658" i="4"/>
  <c r="M658" i="4"/>
  <c r="L658" i="4"/>
  <c r="P658" i="4" s="1"/>
  <c r="Q658" i="4"/>
  <c r="P603" i="4"/>
  <c r="O603" i="4"/>
  <c r="Q603" i="4"/>
  <c r="N603" i="4"/>
  <c r="L603" i="4"/>
  <c r="N401" i="4"/>
  <c r="M401" i="4"/>
  <c r="L401" i="4"/>
  <c r="P401" i="4" s="1"/>
  <c r="O401" i="4"/>
  <c r="Q401" i="4"/>
  <c r="N439" i="4"/>
  <c r="M439" i="4"/>
  <c r="L439" i="4"/>
  <c r="O439" i="4"/>
  <c r="P439" i="4"/>
  <c r="Q439" i="4"/>
  <c r="N526" i="4"/>
  <c r="N228" i="4"/>
  <c r="Q228" i="4"/>
  <c r="P228" i="4"/>
  <c r="M228" i="4"/>
  <c r="O228" i="4"/>
  <c r="L646" i="4"/>
  <c r="P646" i="4" s="1"/>
  <c r="O166" i="4"/>
  <c r="P166" i="4"/>
  <c r="M166" i="4"/>
  <c r="L166" i="4"/>
  <c r="Q166" i="4"/>
  <c r="N49" i="7"/>
  <c r="G49" i="7" s="1"/>
  <c r="V49" i="7" s="1"/>
  <c r="C49" i="7"/>
  <c r="D49" i="7" s="1"/>
  <c r="N51" i="7"/>
  <c r="G51" i="7" s="1"/>
  <c r="V51" i="7" s="1"/>
  <c r="C51" i="7"/>
  <c r="D51" i="7" s="1"/>
  <c r="N44" i="7"/>
  <c r="G44" i="7" s="1"/>
  <c r="V44" i="7" s="1"/>
  <c r="C44" i="7"/>
  <c r="P1604" i="4"/>
  <c r="N1604" i="4"/>
  <c r="Q1604" i="4"/>
  <c r="M1604" i="4"/>
  <c r="O1604" i="4"/>
  <c r="P1530" i="4"/>
  <c r="N1530" i="4"/>
  <c r="Q1530" i="4"/>
  <c r="O1530" i="4"/>
  <c r="M1530" i="4"/>
  <c r="O1493" i="4"/>
  <c r="Q1501" i="4"/>
  <c r="N1501" i="4"/>
  <c r="P1501" i="4"/>
  <c r="Q1451" i="4"/>
  <c r="O1451" i="4"/>
  <c r="N1451" i="4"/>
  <c r="M1451" i="4"/>
  <c r="P1451" i="4"/>
  <c r="L1451" i="4"/>
  <c r="O1501" i="4"/>
  <c r="O1361" i="4"/>
  <c r="Q1361" i="4"/>
  <c r="P1361" i="4"/>
  <c r="N1361" i="4"/>
  <c r="M1361" i="4"/>
  <c r="L1361" i="4"/>
  <c r="M1352" i="4"/>
  <c r="Q1352" i="4"/>
  <c r="O1352" i="4"/>
  <c r="L1352" i="4"/>
  <c r="P1352" i="4" s="1"/>
  <c r="N1352" i="4"/>
  <c r="O1305" i="4"/>
  <c r="P1305" i="4"/>
  <c r="Q1305" i="4"/>
  <c r="N1305" i="4"/>
  <c r="O1301" i="4"/>
  <c r="P1301" i="4"/>
  <c r="N1301" i="4"/>
  <c r="Q1301" i="4"/>
  <c r="Q1113" i="4"/>
  <c r="P1113" i="4"/>
  <c r="O1113" i="4"/>
  <c r="N1113" i="4"/>
  <c r="M1113" i="4"/>
  <c r="Q1162" i="4"/>
  <c r="P1162" i="4"/>
  <c r="N1162" i="4"/>
  <c r="Q1138" i="4"/>
  <c r="P1138" i="4"/>
  <c r="O1138" i="4"/>
  <c r="M1138" i="4"/>
  <c r="Q1122" i="4"/>
  <c r="P1122" i="4"/>
  <c r="N1122" i="4"/>
  <c r="Q1086" i="4"/>
  <c r="N1086" i="4"/>
  <c r="O1086" i="4"/>
  <c r="M1086" i="4"/>
  <c r="N1041" i="4"/>
  <c r="Q1041" i="4"/>
  <c r="P1041" i="4"/>
  <c r="N1016" i="4"/>
  <c r="Q1016" i="4"/>
  <c r="P1016" i="4"/>
  <c r="O1016" i="4"/>
  <c r="M1016" i="4"/>
  <c r="P1090" i="4"/>
  <c r="N1090" i="4"/>
  <c r="M1090" i="4"/>
  <c r="Q1090" i="4"/>
  <c r="O1090" i="4"/>
  <c r="O946" i="4"/>
  <c r="Q946" i="4"/>
  <c r="P946" i="4"/>
  <c r="N946" i="4"/>
  <c r="L946" i="4"/>
  <c r="M946" i="4"/>
  <c r="L1041" i="4"/>
  <c r="N925" i="4"/>
  <c r="O925" i="4"/>
  <c r="M925" i="4"/>
  <c r="L925" i="4"/>
  <c r="P925" i="4" s="1"/>
  <c r="Q925" i="4"/>
  <c r="P837" i="4"/>
  <c r="Q837" i="4"/>
  <c r="O837" i="4"/>
  <c r="N837" i="4"/>
  <c r="M837" i="4"/>
  <c r="Q775" i="4"/>
  <c r="N775" i="4"/>
  <c r="P775" i="4"/>
  <c r="N774" i="4"/>
  <c r="M774" i="4"/>
  <c r="Q774" i="4"/>
  <c r="O774" i="4"/>
  <c r="P774" i="4"/>
  <c r="O580" i="4"/>
  <c r="Q580" i="4"/>
  <c r="P580" i="4"/>
  <c r="N580" i="4"/>
  <c r="M580" i="4"/>
  <c r="L580" i="4"/>
  <c r="Q654" i="4"/>
  <c r="O654" i="4"/>
  <c r="N654" i="4"/>
  <c r="M654" i="4"/>
  <c r="N212" i="4"/>
  <c r="Q212" i="4"/>
  <c r="P212" i="4"/>
  <c r="O212" i="4"/>
  <c r="M212" i="4"/>
  <c r="N435" i="4"/>
  <c r="M435" i="4"/>
  <c r="L435" i="4"/>
  <c r="O435" i="4"/>
  <c r="P435" i="4"/>
  <c r="Q435" i="4"/>
  <c r="P331" i="4"/>
  <c r="M331" i="4"/>
  <c r="Q331" i="4"/>
  <c r="L331" i="4"/>
  <c r="O331" i="4"/>
  <c r="N312" i="4"/>
  <c r="Q312" i="4"/>
  <c r="O312" i="4"/>
  <c r="L312" i="4"/>
  <c r="P312" i="4" s="1"/>
  <c r="M312" i="4"/>
  <c r="N451" i="4"/>
  <c r="L451" i="4"/>
  <c r="O451" i="4"/>
  <c r="Q451" i="4"/>
  <c r="P451" i="4"/>
  <c r="M396" i="4"/>
  <c r="Q396" i="4"/>
  <c r="N396" i="4"/>
  <c r="P396" i="4"/>
  <c r="O396" i="4"/>
  <c r="M27" i="4"/>
  <c r="Q27" i="4"/>
  <c r="O27" i="4"/>
  <c r="N27" i="4"/>
  <c r="L27" i="4"/>
  <c r="P27" i="4" s="1"/>
  <c r="Q52" i="4"/>
  <c r="P52" i="4"/>
  <c r="O52" i="4"/>
  <c r="N52" i="4"/>
  <c r="M68" i="4"/>
  <c r="O68" i="4"/>
  <c r="N68" i="4"/>
  <c r="L68" i="4"/>
  <c r="Q68" i="4"/>
  <c r="P68" i="4"/>
  <c r="O132" i="4"/>
  <c r="P132" i="4"/>
  <c r="N132" i="4"/>
  <c r="M132" i="4"/>
  <c r="Q132" i="4"/>
  <c r="L52" i="4"/>
  <c r="L108" i="4"/>
  <c r="P108" i="4" s="1"/>
  <c r="L100" i="4"/>
  <c r="P100" i="4" s="1"/>
  <c r="B92" i="1"/>
  <c r="B84" i="1"/>
  <c r="B76" i="1"/>
  <c r="B83" i="1"/>
  <c r="B75" i="1"/>
  <c r="B90" i="1"/>
  <c r="B74" i="1"/>
  <c r="B91" i="1"/>
  <c r="B93" i="1"/>
  <c r="B85" i="1"/>
  <c r="B77" i="1"/>
  <c r="B82" i="1"/>
  <c r="B97" i="1"/>
  <c r="B89" i="1"/>
  <c r="B81" i="1"/>
  <c r="B73" i="1"/>
  <c r="B96" i="1"/>
  <c r="B80" i="1"/>
  <c r="B95" i="1"/>
  <c r="B88" i="1"/>
  <c r="B79" i="1"/>
  <c r="B87" i="1"/>
  <c r="B94" i="1"/>
  <c r="B86" i="1"/>
  <c r="B78" i="1"/>
  <c r="U51" i="7"/>
  <c r="N48" i="7"/>
  <c r="G48" i="7" s="1"/>
  <c r="V48" i="7" s="1"/>
  <c r="C48" i="7"/>
  <c r="N38" i="7"/>
  <c r="G38" i="7" s="1"/>
  <c r="V38" i="7" s="1"/>
  <c r="C38" i="7"/>
  <c r="U47" i="7"/>
  <c r="L1534" i="4"/>
  <c r="O1573" i="4"/>
  <c r="L1573" i="4"/>
  <c r="Q1573" i="4"/>
  <c r="N1573" i="4"/>
  <c r="P1573" i="4"/>
  <c r="O1476" i="4"/>
  <c r="Q1476" i="4"/>
  <c r="P1476" i="4"/>
  <c r="N1476" i="4"/>
  <c r="O1460" i="4"/>
  <c r="M1460" i="4"/>
  <c r="P1460" i="4"/>
  <c r="N1460" i="4"/>
  <c r="Q1460" i="4"/>
  <c r="Q1472" i="4"/>
  <c r="P1472" i="4"/>
  <c r="O1472" i="4"/>
  <c r="M1472" i="4"/>
  <c r="N1472" i="4"/>
  <c r="O1502" i="4"/>
  <c r="P1502" i="4"/>
  <c r="M1502" i="4"/>
  <c r="Q1502" i="4"/>
  <c r="N1502" i="4"/>
  <c r="Q1271" i="4"/>
  <c r="M1271" i="4"/>
  <c r="L1271" i="4"/>
  <c r="P1271" i="4"/>
  <c r="N1271" i="4"/>
  <c r="O1271" i="4"/>
  <c r="Q1263" i="4"/>
  <c r="O1263" i="4"/>
  <c r="N1263" i="4"/>
  <c r="M1263" i="4"/>
  <c r="L1263" i="4"/>
  <c r="P1263" i="4" s="1"/>
  <c r="O1252" i="4"/>
  <c r="N1252" i="4"/>
  <c r="M1252" i="4"/>
  <c r="L1252" i="4"/>
  <c r="P1252" i="4" s="1"/>
  <c r="Q1252" i="4"/>
  <c r="N1249" i="4"/>
  <c r="L1249" i="4"/>
  <c r="P1249" i="4"/>
  <c r="Q1249" i="4"/>
  <c r="O1178" i="4"/>
  <c r="N1178" i="4"/>
  <c r="M1178" i="4"/>
  <c r="L1178" i="4"/>
  <c r="P1178" i="4"/>
  <c r="Q1178" i="4"/>
  <c r="P1135" i="4"/>
  <c r="Q1135" i="4"/>
  <c r="O1135" i="4"/>
  <c r="M1135" i="4"/>
  <c r="O1217" i="4"/>
  <c r="M1217" i="4"/>
  <c r="L1217" i="4"/>
  <c r="P1217" i="4"/>
  <c r="Q1217" i="4"/>
  <c r="L1305" i="4"/>
  <c r="N1045" i="4"/>
  <c r="P1045" i="4"/>
  <c r="Q1045" i="4"/>
  <c r="L1086" i="4"/>
  <c r="P1086" i="4" s="1"/>
  <c r="P1071" i="4"/>
  <c r="N1071" i="4"/>
  <c r="Q1071" i="4"/>
  <c r="O1071" i="4"/>
  <c r="N1004" i="4"/>
  <c r="O1004" i="4"/>
  <c r="M1004" i="4"/>
  <c r="L1004" i="4"/>
  <c r="P1004" i="4" s="1"/>
  <c r="Q1004" i="4"/>
  <c r="N929" i="4"/>
  <c r="Q929" i="4"/>
  <c r="P929" i="4"/>
  <c r="O929" i="4"/>
  <c r="M929" i="4"/>
  <c r="N921" i="4"/>
  <c r="Q921" i="4"/>
  <c r="P921" i="4"/>
  <c r="O921" i="4"/>
  <c r="M921" i="4"/>
  <c r="O997" i="4"/>
  <c r="N997" i="4"/>
  <c r="M997" i="4"/>
  <c r="L997" i="4"/>
  <c r="P997" i="4" s="1"/>
  <c r="Q997" i="4"/>
  <c r="N823" i="4"/>
  <c r="Q823" i="4"/>
  <c r="P823" i="4"/>
  <c r="O823" i="4"/>
  <c r="M823" i="4"/>
  <c r="N827" i="4"/>
  <c r="Q827" i="4"/>
  <c r="P827" i="4"/>
  <c r="O827" i="4"/>
  <c r="L827" i="4"/>
  <c r="M827" i="4"/>
  <c r="N847" i="4"/>
  <c r="M847" i="4"/>
  <c r="Q847" i="4"/>
  <c r="O847" i="4"/>
  <c r="P847" i="4"/>
  <c r="L775" i="4"/>
  <c r="L823" i="4"/>
  <c r="L654" i="4"/>
  <c r="P654" i="4" s="1"/>
  <c r="L651" i="4"/>
  <c r="P651" i="4" s="1"/>
  <c r="O651" i="4"/>
  <c r="M651" i="4"/>
  <c r="N651" i="4"/>
  <c r="Q651" i="4"/>
  <c r="M579" i="4"/>
  <c r="Q579" i="4"/>
  <c r="P579" i="4"/>
  <c r="O579" i="4"/>
  <c r="N579" i="4"/>
  <c r="L639" i="4"/>
  <c r="P639" i="4"/>
  <c r="O639" i="4"/>
  <c r="M639" i="4"/>
  <c r="Q639" i="4"/>
  <c r="N639" i="4"/>
  <c r="L627" i="4"/>
  <c r="P627" i="4"/>
  <c r="O627" i="4"/>
  <c r="Q627" i="4"/>
  <c r="N627" i="4"/>
  <c r="L588" i="4"/>
  <c r="P588" i="4" s="1"/>
  <c r="O532" i="4"/>
  <c r="M532" i="4"/>
  <c r="L532" i="4"/>
  <c r="P532" i="4"/>
  <c r="Q532" i="4"/>
  <c r="N431" i="4"/>
  <c r="M431" i="4"/>
  <c r="L431" i="4"/>
  <c r="O431" i="4"/>
  <c r="Q431" i="4"/>
  <c r="P431" i="4"/>
  <c r="N300" i="4"/>
  <c r="Q300" i="4"/>
  <c r="P300" i="4"/>
  <c r="O300" i="4"/>
  <c r="M300" i="4"/>
  <c r="L758" i="4"/>
  <c r="P758" i="4" s="1"/>
  <c r="M492" i="4"/>
  <c r="Q492" i="4"/>
  <c r="N492" i="4"/>
  <c r="O492" i="4"/>
  <c r="P492" i="4"/>
  <c r="N216" i="4"/>
  <c r="Q216" i="4"/>
  <c r="P216" i="4"/>
  <c r="O216" i="4"/>
  <c r="L216" i="4"/>
  <c r="M216" i="4"/>
  <c r="N447" i="4"/>
  <c r="M447" i="4"/>
  <c r="L447" i="4"/>
  <c r="O447" i="4"/>
  <c r="Q447" i="4"/>
  <c r="P447" i="4"/>
  <c r="L556" i="4"/>
  <c r="P556" i="4" s="1"/>
  <c r="P323" i="4"/>
  <c r="N323" i="4"/>
  <c r="Q323" i="4"/>
  <c r="L323" i="4"/>
  <c r="L555" i="4"/>
  <c r="P555" i="4" s="1"/>
  <c r="O20" i="4"/>
  <c r="Q20" i="4"/>
  <c r="P20" i="4"/>
  <c r="N20" i="4"/>
  <c r="M20" i="4"/>
  <c r="N96" i="4"/>
  <c r="Q96" i="4"/>
  <c r="P96" i="4"/>
  <c r="O96" i="4"/>
  <c r="O12" i="4"/>
  <c r="M12" i="4"/>
  <c r="Q12" i="4"/>
  <c r="P12" i="4"/>
  <c r="N12" i="4"/>
  <c r="L12" i="4"/>
  <c r="L60" i="4"/>
  <c r="N168" i="4"/>
  <c r="Q168" i="4"/>
  <c r="P168" i="4"/>
  <c r="L168" i="4"/>
  <c r="M84" i="4"/>
  <c r="Q84" i="4"/>
  <c r="P84" i="4"/>
  <c r="O84" i="4"/>
  <c r="L84" i="4"/>
  <c r="N84" i="4"/>
  <c r="I46" i="7" l="1"/>
  <c r="D54" i="7"/>
  <c r="J56" i="7"/>
  <c r="I56" i="7"/>
  <c r="I52" i="7"/>
  <c r="J54" i="7"/>
  <c r="I42" i="7"/>
  <c r="I40" i="7"/>
  <c r="H45" i="7"/>
  <c r="D40" i="7"/>
  <c r="E40" i="7" s="1"/>
  <c r="H47" i="7"/>
  <c r="J45" i="7"/>
  <c r="J52" i="7"/>
  <c r="H41" i="7"/>
  <c r="J39" i="7"/>
  <c r="J55" i="7"/>
  <c r="I48" i="7"/>
  <c r="I55" i="7"/>
  <c r="D46" i="7"/>
  <c r="T46" i="7" s="1"/>
  <c r="T51" i="7"/>
  <c r="E51" i="7"/>
  <c r="T49" i="7"/>
  <c r="E49" i="7"/>
  <c r="T47" i="7"/>
  <c r="E47" i="7"/>
  <c r="T41" i="7"/>
  <c r="E41" i="7"/>
  <c r="H51" i="7"/>
  <c r="I44" i="7"/>
  <c r="H42" i="7"/>
  <c r="U42" i="7"/>
  <c r="U40" i="7"/>
  <c r="G40" i="7"/>
  <c r="V40" i="7" s="1"/>
  <c r="J40" i="7"/>
  <c r="I54" i="7"/>
  <c r="H48" i="7"/>
  <c r="U48" i="7"/>
  <c r="I50" i="7"/>
  <c r="H44" i="7"/>
  <c r="U44" i="7"/>
  <c r="D42" i="7"/>
  <c r="T40" i="7"/>
  <c r="E54" i="7"/>
  <c r="T54" i="7"/>
  <c r="D48" i="7"/>
  <c r="U50" i="7"/>
  <c r="T43" i="7"/>
  <c r="E43" i="7"/>
  <c r="D44" i="7"/>
  <c r="V56" i="7"/>
  <c r="H10" i="7"/>
  <c r="H54" i="7"/>
  <c r="U54" i="7"/>
  <c r="J41" i="7"/>
  <c r="D50" i="7"/>
  <c r="T39" i="7"/>
  <c r="E39" i="7"/>
  <c r="J48" i="7"/>
  <c r="T53" i="7"/>
  <c r="E53" i="7"/>
  <c r="H52" i="7"/>
  <c r="U52" i="7"/>
  <c r="H39" i="7"/>
  <c r="H49" i="7"/>
  <c r="T45" i="7"/>
  <c r="E45" i="7"/>
  <c r="J47" i="7"/>
  <c r="G53" i="7"/>
  <c r="J53" i="7"/>
  <c r="G50" i="7"/>
  <c r="V50" i="7" s="1"/>
  <c r="J50" i="7"/>
  <c r="U55" i="7"/>
  <c r="H55" i="7"/>
  <c r="J49" i="7"/>
  <c r="D52" i="7"/>
  <c r="H46" i="7"/>
  <c r="U46" i="7"/>
  <c r="I38" i="7"/>
  <c r="D55" i="7"/>
  <c r="J44" i="7"/>
  <c r="H38" i="7"/>
  <c r="U38" i="7"/>
  <c r="G43" i="7"/>
  <c r="J43" i="7"/>
  <c r="U56" i="7"/>
  <c r="H56" i="7"/>
  <c r="E10" i="7"/>
  <c r="J38" i="7"/>
  <c r="J42" i="7"/>
  <c r="J46" i="7"/>
  <c r="D38" i="7"/>
  <c r="D56" i="7"/>
  <c r="J51" i="7"/>
  <c r="E46" i="7" l="1"/>
  <c r="T52" i="7"/>
  <c r="E52" i="7"/>
  <c r="T44" i="7"/>
  <c r="E44" i="7"/>
  <c r="T55" i="7"/>
  <c r="E55" i="7"/>
  <c r="T50" i="7"/>
  <c r="E50" i="7"/>
  <c r="T42" i="7"/>
  <c r="E42" i="7"/>
  <c r="V43" i="7"/>
  <c r="H43" i="7"/>
  <c r="H50" i="7"/>
  <c r="H40" i="7"/>
  <c r="T56" i="7"/>
  <c r="E56" i="7"/>
  <c r="L8" i="7" s="1"/>
  <c r="H8" i="7"/>
  <c r="T38" i="7"/>
  <c r="E38" i="7"/>
  <c r="V53" i="7"/>
  <c r="H53" i="7"/>
  <c r="T48" i="7"/>
  <c r="E48" i="7"/>
</calcChain>
</file>

<file path=xl/sharedStrings.xml><?xml version="1.0" encoding="utf-8"?>
<sst xmlns="http://schemas.openxmlformats.org/spreadsheetml/2006/main" count="9793" uniqueCount="1208">
  <si>
    <t>Galicia options: what the data says</t>
  </si>
  <si>
    <t>21 Aug–16 Sep 2026. October expiry. ARS per share unless stated. Historical estimates, not executable quotes.</t>
  </si>
  <si>
    <t>Latest date</t>
  </si>
  <si>
    <t>GGAL spot</t>
  </si>
  <si>
    <t>ATM strike</t>
  </si>
  <si>
    <t>ATM IV</t>
  </si>
  <si>
    <t>20-day RV</t>
  </si>
  <si>
    <t>IV / RV20</t>
  </si>
  <si>
    <t>Coverage</t>
  </si>
  <si>
    <t>920 observations, 50 series, 19 dates. Calls and puts share one expiry.</t>
  </si>
  <si>
    <t>Closing-price problem</t>
  </si>
  <si>
    <t>The added Closing price column refers to next-row openingPrice. It is excluded.</t>
  </si>
  <si>
    <t>Data screening</t>
  </si>
  <si>
    <t>658 IV estimates retained. Zero-volume and inconsistent-range rows are excluded.</t>
  </si>
  <si>
    <t>Model uncertainty</t>
  </si>
  <si>
    <t>30% continuous rate and zero dividends are assumptions. Daily table includes 20% / 40% rate checks.</t>
  </si>
  <si>
    <t>Put/call ratio</t>
  </si>
  <si>
    <t>Raw-volume ratio measures this file only. Volume units and market-wide coverage are unverified.</t>
  </si>
  <si>
    <t>Strategy use</t>
  </si>
  <si>
    <t>Compare historical costs and payoff shapes. Negative butterfly costs are data flags, not proven arbitrage.</t>
  </si>
  <si>
    <t>Missing context</t>
  </si>
  <si>
    <t>No bid/ask, OI or second expiry. Nineteen dates cannot support a 1-year IV rank.</t>
  </si>
  <si>
    <t>Date</t>
  </si>
  <si>
    <t>Quality check</t>
  </si>
  <si>
    <t>Count</t>
  </si>
  <si>
    <t>Zero reported volume</t>
  </si>
  <si>
    <t>Price outside range</t>
  </si>
  <si>
    <t>Below intrinsic</t>
  </si>
  <si>
    <t>Model-bound failure</t>
  </si>
  <si>
    <t>Duplicate date / ticker</t>
  </si>
  <si>
    <t>Quality counts overlap. Screened prices can still be stale or asynchronous.</t>
  </si>
  <si>
    <t>How to read the measures</t>
  </si>
  <si>
    <t>IV vs. RV</t>
  </si>
  <si>
    <t>IV describes model-implied future uncertainty; RV measures past share-price variability.</t>
  </si>
  <si>
    <t>Butterfly</t>
  </si>
  <si>
    <t>Buy the two wings and sell two middle-strike options. Peak expiration P&amp;L is at the middle strike.</t>
  </si>
  <si>
    <t>1x2 ratio</t>
  </si>
  <si>
    <t>Buy one option and sell two further out-of-the-money options. Premium income adds tail exposure.</t>
  </si>
  <si>
    <t>Example: 6,600 / 6,800 / 7,000 call butterfly</t>
  </si>
  <si>
    <t>16 Sep prices. Buy 1 call at 6,600, sell 2 at 6,800, buy 1 at 7,000. All expiration outcomes exclude costs.</t>
  </si>
  <si>
    <t>Debit / share</t>
  </si>
  <si>
    <t>Max profit / share</t>
  </si>
  <si>
    <t>Max loss / share</t>
  </si>
  <si>
    <t>Lower breakeven</t>
  </si>
  <si>
    <t>Upper breakeven</t>
  </si>
  <si>
    <t>Debit / 100 shares</t>
  </si>
  <si>
    <t>GGAL at expiry</t>
  </si>
  <si>
    <t>P&amp;L / share</t>
  </si>
  <si>
    <t>Daily volatility and market ratios</t>
  </si>
  <si>
    <t>P/C volume uses the raw API field. IV uses the same October expiry each day, not a constant-maturity series.</t>
  </si>
  <si>
    <t>Call IV</t>
  </si>
  <si>
    <t>Put IV</t>
  </si>
  <si>
    <t>ATM IV avg</t>
  </si>
  <si>
    <t>RV 10d</t>
  </si>
  <si>
    <t>RV 20d</t>
  </si>
  <si>
    <t>RV 60d</t>
  </si>
  <si>
    <t>IV − RV20</t>
  </si>
  <si>
    <t>P/C IV</t>
  </si>
  <si>
    <t>Call raw volume</t>
  </si>
  <si>
    <t>Put raw volume</t>
  </si>
  <si>
    <t>P/C raw volume</t>
  </si>
  <si>
    <t>25d call IV</t>
  </si>
  <si>
    <t>25d put IV</t>
  </si>
  <si>
    <t>25d skew</t>
  </si>
  <si>
    <t>Vol butterfly</t>
  </si>
  <si>
    <t>IV at 20% rate</t>
  </si>
  <si>
    <t>IV at 40% rate</t>
  </si>
  <si>
    <t>Valid IV rows</t>
  </si>
  <si>
    <t>Historical implied volatility estimates</t>
  </si>
  <si>
    <t>Model snapshot: 30% rate, zero dividends. Conditional on ticker strikes and PPI prices. See Model inputs.</t>
  </si>
  <si>
    <t>Ticker</t>
  </si>
  <si>
    <t>Type</t>
  </si>
  <si>
    <t>Strike</t>
  </si>
  <si>
    <t>PPI price</t>
  </si>
  <si>
    <t>Days to expiry</t>
  </si>
  <si>
    <t>Intrinsic</t>
  </si>
  <si>
    <t>Time value</t>
  </si>
  <si>
    <t>K / spot</t>
  </si>
  <si>
    <t>IV estimate</t>
  </si>
  <si>
    <t>BS delta</t>
  </si>
  <si>
    <t>BS vega / 1pp</t>
  </si>
  <si>
    <t>Raw volume</t>
  </si>
  <si>
    <t>Low</t>
  </si>
  <si>
    <t>High</t>
  </si>
  <si>
    <t>Data status</t>
  </si>
  <si>
    <t>Source row</t>
  </si>
  <si>
    <t>GFGC6800OC</t>
  </si>
  <si>
    <t>call</t>
  </si>
  <si>
    <t>Screen passed; indicative</t>
  </si>
  <si>
    <t>GFGV6800OC</t>
  </si>
  <si>
    <t>put</t>
  </si>
  <si>
    <t>GFGC6600OC</t>
  </si>
  <si>
    <t>GFGV6600OC</t>
  </si>
  <si>
    <t>GFGC7000OC</t>
  </si>
  <si>
    <t>GFGV7000OC</t>
  </si>
  <si>
    <t>GFGC6400OC</t>
  </si>
  <si>
    <t>GFGV6400OC</t>
  </si>
  <si>
    <t>GFGC7200OC</t>
  </si>
  <si>
    <t>GFGV7200OC</t>
  </si>
  <si>
    <t>GFGC6200OC</t>
  </si>
  <si>
    <t>No stable model IV</t>
  </si>
  <si>
    <t>GFGV6200OC</t>
  </si>
  <si>
    <t>GFGC7400OC</t>
  </si>
  <si>
    <t>GFGV7400OC</t>
  </si>
  <si>
    <t>GFGC6000OC</t>
  </si>
  <si>
    <t>GFGV6000OC</t>
  </si>
  <si>
    <t>GFGC7600OC</t>
  </si>
  <si>
    <t>GFGV7600OC</t>
  </si>
  <si>
    <t>GFGC5800OC</t>
  </si>
  <si>
    <t>Price outside daily range</t>
  </si>
  <si>
    <t>GFGV5800OC</t>
  </si>
  <si>
    <t>GFGC7800OC</t>
  </si>
  <si>
    <t>GFGV7800OC</t>
  </si>
  <si>
    <t>Price outside daily range; Below intrinsic value</t>
  </si>
  <si>
    <t>GFGC5600OC</t>
  </si>
  <si>
    <t>GFGV5600OC</t>
  </si>
  <si>
    <t>GFGC8000OC</t>
  </si>
  <si>
    <t>GFGV8000OC</t>
  </si>
  <si>
    <t>Zero reported volume; Below intrinsic value</t>
  </si>
  <si>
    <t>GFGC5400OC</t>
  </si>
  <si>
    <t>GFGV5400OC</t>
  </si>
  <si>
    <t>GFGC8300OC</t>
  </si>
  <si>
    <t>GFGV8300OC</t>
  </si>
  <si>
    <t>GFGC5200OC</t>
  </si>
  <si>
    <t>GFGV5200OC</t>
  </si>
  <si>
    <t>GFGC5000OC</t>
  </si>
  <si>
    <t>GFGV5000OC</t>
  </si>
  <si>
    <t>GFGC8600OC</t>
  </si>
  <si>
    <t>GFGV8600OC</t>
  </si>
  <si>
    <t>GFGC4800OC</t>
  </si>
  <si>
    <t>Zero reported volume; Price outside daily range</t>
  </si>
  <si>
    <t>GFGV4800OC</t>
  </si>
  <si>
    <t>GFGC8900OC</t>
  </si>
  <si>
    <t>GFGV8900OC</t>
  </si>
  <si>
    <t>GFGC4600OC</t>
  </si>
  <si>
    <t>GFGV4600OC</t>
  </si>
  <si>
    <t>GFGC4400OC</t>
  </si>
  <si>
    <t>GFGV4400OC</t>
  </si>
  <si>
    <t>GFGC9200OC</t>
  </si>
  <si>
    <t>GFGV9200OC</t>
  </si>
  <si>
    <t>GFGC4200OC</t>
  </si>
  <si>
    <t>GFGV4200OC</t>
  </si>
  <si>
    <t>GFGC9500OC</t>
  </si>
  <si>
    <t>GFGC9900OC</t>
  </si>
  <si>
    <t>Below intrinsic value</t>
  </si>
  <si>
    <t>Zero reported volume; Price outside daily range; Below intrinsic value</t>
  </si>
  <si>
    <t>Butterflies and 1x2 ratio spreads</t>
  </si>
  <si>
    <t>Indicative PPI prices only. Expiration P&amp;L excludes costs and early assignment. 1x2 calls have unlimited upside loss.</t>
  </si>
  <si>
    <t>Strategy</t>
  </si>
  <si>
    <t>Long strike 1</t>
  </si>
  <si>
    <t>Short strike 2 (x2)</t>
  </si>
  <si>
    <t>Long strike 3</t>
  </si>
  <si>
    <t>Premium 1</t>
  </si>
  <si>
    <t>Premium 2</t>
  </si>
  <si>
    <t>Premium 3</t>
  </si>
  <si>
    <t>Net debit / share</t>
  </si>
  <si>
    <t>Strike width</t>
  </si>
  <si>
    <t>Peak P&amp;L / share</t>
  </si>
  <si>
    <t>Peak / debit</t>
  </si>
  <si>
    <t>Net debit / set</t>
  </si>
  <si>
    <t>Long leg source</t>
  </si>
  <si>
    <t>Short leg source</t>
  </si>
  <si>
    <t>Indicative only</t>
  </si>
  <si>
    <t>Outside standard debit bounds</t>
  </si>
  <si>
    <t>Flagged leg data</t>
  </si>
  <si>
    <t>Original PPI option observations</t>
  </si>
  <si>
    <t>Source: options_data.xlsx / Sheet1. The added Closing price column is not used in the analysis.</t>
  </si>
  <si>
    <t>Session date preserves the calendar date of the original PPI timestamp (UTC−03:00).</t>
  </si>
  <si>
    <t>Session date</t>
  </si>
  <si>
    <t>price (PPI)</t>
  </si>
  <si>
    <t>volume (PPI)</t>
  </si>
  <si>
    <t>openingPrice</t>
  </si>
  <si>
    <t>Closing price (cached)</t>
  </si>
  <si>
    <t>max</t>
  </si>
  <si>
    <t>min</t>
  </si>
  <si>
    <t>previousClose</t>
  </si>
  <si>
    <t>marketChange</t>
  </si>
  <si>
    <t>marketChangePercent</t>
  </si>
  <si>
    <t>ticker</t>
  </si>
  <si>
    <t>Closing price formula</t>
  </si>
  <si>
    <t>=+D3</t>
  </si>
  <si>
    <t>=+D4</t>
  </si>
  <si>
    <t>=+D5</t>
  </si>
  <si>
    <t>=+D6</t>
  </si>
  <si>
    <t>=+D7</t>
  </si>
  <si>
    <t>=+D8</t>
  </si>
  <si>
    <t>=+D9</t>
  </si>
  <si>
    <t>=+D10</t>
  </si>
  <si>
    <t>=+D11</t>
  </si>
  <si>
    <t>=+D12</t>
  </si>
  <si>
    <t>=+D13</t>
  </si>
  <si>
    <t>=+D14</t>
  </si>
  <si>
    <t>=+D15</t>
  </si>
  <si>
    <t>=+D16</t>
  </si>
  <si>
    <t>=+D17</t>
  </si>
  <si>
    <t>=+D18</t>
  </si>
  <si>
    <t>=+D19</t>
  </si>
  <si>
    <t>=+D20</t>
  </si>
  <si>
    <t>=+D21</t>
  </si>
  <si>
    <t>=+D22</t>
  </si>
  <si>
    <t>=+D23</t>
  </si>
  <si>
    <t>=+D24</t>
  </si>
  <si>
    <t>=+D25</t>
  </si>
  <si>
    <t>=+D26</t>
  </si>
  <si>
    <t>=+D27</t>
  </si>
  <si>
    <t>=+D28</t>
  </si>
  <si>
    <t>=+D29</t>
  </si>
  <si>
    <t>=+D30</t>
  </si>
  <si>
    <t>=+D31</t>
  </si>
  <si>
    <t>=+D32</t>
  </si>
  <si>
    <t>=+D33</t>
  </si>
  <si>
    <t>=+D34</t>
  </si>
  <si>
    <t>=+D35</t>
  </si>
  <si>
    <t>=+D36</t>
  </si>
  <si>
    <t>=+D37</t>
  </si>
  <si>
    <t>=+D38</t>
  </si>
  <si>
    <t>=+D39</t>
  </si>
  <si>
    <t>=+D40</t>
  </si>
  <si>
    <t>=+D41</t>
  </si>
  <si>
    <t>=+D42</t>
  </si>
  <si>
    <t>=+D43</t>
  </si>
  <si>
    <t>=+D44</t>
  </si>
  <si>
    <t>=+D45</t>
  </si>
  <si>
    <t>=+D46</t>
  </si>
  <si>
    <t>=+D47</t>
  </si>
  <si>
    <t>=+D48</t>
  </si>
  <si>
    <t>=+D49</t>
  </si>
  <si>
    <t>=+D50</t>
  </si>
  <si>
    <t>=+D51</t>
  </si>
  <si>
    <t>=+D52</t>
  </si>
  <si>
    <t>=+D53</t>
  </si>
  <si>
    <t>=+D54</t>
  </si>
  <si>
    <t>=+D55</t>
  </si>
  <si>
    <t>=+D56</t>
  </si>
  <si>
    <t>=+D57</t>
  </si>
  <si>
    <t>=+D58</t>
  </si>
  <si>
    <t>=+D59</t>
  </si>
  <si>
    <t>=+D60</t>
  </si>
  <si>
    <t>=+D61</t>
  </si>
  <si>
    <t>=+D62</t>
  </si>
  <si>
    <t>=+D63</t>
  </si>
  <si>
    <t>=+D64</t>
  </si>
  <si>
    <t>=+D65</t>
  </si>
  <si>
    <t>=+D66</t>
  </si>
  <si>
    <t>=+D67</t>
  </si>
  <si>
    <t>=+D68</t>
  </si>
  <si>
    <t>=+D69</t>
  </si>
  <si>
    <t>=+D70</t>
  </si>
  <si>
    <t>=+D71</t>
  </si>
  <si>
    <t>=+D72</t>
  </si>
  <si>
    <t>=+D73</t>
  </si>
  <si>
    <t>=+D74</t>
  </si>
  <si>
    <t>=+D75</t>
  </si>
  <si>
    <t>=+D76</t>
  </si>
  <si>
    <t>=+D77</t>
  </si>
  <si>
    <t>=+D78</t>
  </si>
  <si>
    <t>=+D79</t>
  </si>
  <si>
    <t>=+D80</t>
  </si>
  <si>
    <t>=+D81</t>
  </si>
  <si>
    <t>=+D82</t>
  </si>
  <si>
    <t>=+D83</t>
  </si>
  <si>
    <t>=+D84</t>
  </si>
  <si>
    <t>=+D85</t>
  </si>
  <si>
    <t>=+D86</t>
  </si>
  <si>
    <t>=+D87</t>
  </si>
  <si>
    <t>=+D88</t>
  </si>
  <si>
    <t>=+D89</t>
  </si>
  <si>
    <t>=+D90</t>
  </si>
  <si>
    <t>=+D91</t>
  </si>
  <si>
    <t>=+D92</t>
  </si>
  <si>
    <t>=+D93</t>
  </si>
  <si>
    <t>=+D94</t>
  </si>
  <si>
    <t>=+D95</t>
  </si>
  <si>
    <t>=+D96</t>
  </si>
  <si>
    <t>=+D97</t>
  </si>
  <si>
    <t>=+D98</t>
  </si>
  <si>
    <t>=+D99</t>
  </si>
  <si>
    <t>=+D100</t>
  </si>
  <si>
    <t>=+D101</t>
  </si>
  <si>
    <t>=+D102</t>
  </si>
  <si>
    <t>=+D103</t>
  </si>
  <si>
    <t>=+D104</t>
  </si>
  <si>
    <t>=+D105</t>
  </si>
  <si>
    <t>=+D106</t>
  </si>
  <si>
    <t>=+D107</t>
  </si>
  <si>
    <t>=+D108</t>
  </si>
  <si>
    <t>=+D109</t>
  </si>
  <si>
    <t>=+D110</t>
  </si>
  <si>
    <t>=+D111</t>
  </si>
  <si>
    <t>=+D112</t>
  </si>
  <si>
    <t>=+D113</t>
  </si>
  <si>
    <t>=+D114</t>
  </si>
  <si>
    <t>=+D115</t>
  </si>
  <si>
    <t>=+D116</t>
  </si>
  <si>
    <t>=+D117</t>
  </si>
  <si>
    <t>=+D118</t>
  </si>
  <si>
    <t>=+D119</t>
  </si>
  <si>
    <t>=+D120</t>
  </si>
  <si>
    <t>=+D121</t>
  </si>
  <si>
    <t>=+D122</t>
  </si>
  <si>
    <t>=+D123</t>
  </si>
  <si>
    <t>=+D124</t>
  </si>
  <si>
    <t>=+D125</t>
  </si>
  <si>
    <t>=+D126</t>
  </si>
  <si>
    <t>=+D127</t>
  </si>
  <si>
    <t>=+D128</t>
  </si>
  <si>
    <t>=+D129</t>
  </si>
  <si>
    <t>=+D130</t>
  </si>
  <si>
    <t>=+D131</t>
  </si>
  <si>
    <t>=+D132</t>
  </si>
  <si>
    <t>=+D133</t>
  </si>
  <si>
    <t>=+D134</t>
  </si>
  <si>
    <t>=+D135</t>
  </si>
  <si>
    <t>=+D136</t>
  </si>
  <si>
    <t>=+D137</t>
  </si>
  <si>
    <t>=+D138</t>
  </si>
  <si>
    <t>=+D139</t>
  </si>
  <si>
    <t>=+D140</t>
  </si>
  <si>
    <t>=+D141</t>
  </si>
  <si>
    <t>=+D142</t>
  </si>
  <si>
    <t>=+D143</t>
  </si>
  <si>
    <t>=+D144</t>
  </si>
  <si>
    <t>=+D145</t>
  </si>
  <si>
    <t>=+D146</t>
  </si>
  <si>
    <t>=+D147</t>
  </si>
  <si>
    <t>=+D148</t>
  </si>
  <si>
    <t>=+D149</t>
  </si>
  <si>
    <t>=+D150</t>
  </si>
  <si>
    <t>=+D151</t>
  </si>
  <si>
    <t>=+D152</t>
  </si>
  <si>
    <t>=+D153</t>
  </si>
  <si>
    <t>=+D154</t>
  </si>
  <si>
    <t>=+D155</t>
  </si>
  <si>
    <t>=+D156</t>
  </si>
  <si>
    <t>=+D157</t>
  </si>
  <si>
    <t>=+D158</t>
  </si>
  <si>
    <t>=+D159</t>
  </si>
  <si>
    <t>=+D160</t>
  </si>
  <si>
    <t>=+D161</t>
  </si>
  <si>
    <t>=+D162</t>
  </si>
  <si>
    <t>=+D163</t>
  </si>
  <si>
    <t>=+D164</t>
  </si>
  <si>
    <t>=+D165</t>
  </si>
  <si>
    <t>=+D166</t>
  </si>
  <si>
    <t>=+D167</t>
  </si>
  <si>
    <t>=+D168</t>
  </si>
  <si>
    <t>=+D169</t>
  </si>
  <si>
    <t>=+D170</t>
  </si>
  <si>
    <t>=+D171</t>
  </si>
  <si>
    <t>=+D172</t>
  </si>
  <si>
    <t>=+D173</t>
  </si>
  <si>
    <t>=+D174</t>
  </si>
  <si>
    <t>=+D175</t>
  </si>
  <si>
    <t>=+D176</t>
  </si>
  <si>
    <t>=+D177</t>
  </si>
  <si>
    <t>=+D178</t>
  </si>
  <si>
    <t>=+D179</t>
  </si>
  <si>
    <t>=+D180</t>
  </si>
  <si>
    <t>=+D181</t>
  </si>
  <si>
    <t>=+D182</t>
  </si>
  <si>
    <t>=+D183</t>
  </si>
  <si>
    <t>=+D184</t>
  </si>
  <si>
    <t>=+D185</t>
  </si>
  <si>
    <t>=+D186</t>
  </si>
  <si>
    <t>=+D187</t>
  </si>
  <si>
    <t>=+D188</t>
  </si>
  <si>
    <t>=+D189</t>
  </si>
  <si>
    <t>=+D190</t>
  </si>
  <si>
    <t>=+D191</t>
  </si>
  <si>
    <t>=+D192</t>
  </si>
  <si>
    <t>=+D193</t>
  </si>
  <si>
    <t>=+D194</t>
  </si>
  <si>
    <t>=+D195</t>
  </si>
  <si>
    <t>=+D196</t>
  </si>
  <si>
    <t>=+D197</t>
  </si>
  <si>
    <t>=+D198</t>
  </si>
  <si>
    <t>=+D199</t>
  </si>
  <si>
    <t>=+D200</t>
  </si>
  <si>
    <t>=+D201</t>
  </si>
  <si>
    <t>=+D202</t>
  </si>
  <si>
    <t>=+D203</t>
  </si>
  <si>
    <t>=+D204</t>
  </si>
  <si>
    <t>=+D205</t>
  </si>
  <si>
    <t>=+D206</t>
  </si>
  <si>
    <t>=+D207</t>
  </si>
  <si>
    <t>=+D208</t>
  </si>
  <si>
    <t>=+D209</t>
  </si>
  <si>
    <t>=+D210</t>
  </si>
  <si>
    <t>=+D211</t>
  </si>
  <si>
    <t>=+D212</t>
  </si>
  <si>
    <t>=+D213</t>
  </si>
  <si>
    <t>=+D214</t>
  </si>
  <si>
    <t>=+D215</t>
  </si>
  <si>
    <t>=+D216</t>
  </si>
  <si>
    <t>=+D217</t>
  </si>
  <si>
    <t>=+D218</t>
  </si>
  <si>
    <t>=+D219</t>
  </si>
  <si>
    <t>=+D220</t>
  </si>
  <si>
    <t>=+D221</t>
  </si>
  <si>
    <t>=+D222</t>
  </si>
  <si>
    <t>=+D223</t>
  </si>
  <si>
    <t>=+D224</t>
  </si>
  <si>
    <t>=+D225</t>
  </si>
  <si>
    <t>=+D226</t>
  </si>
  <si>
    <t>=+D227</t>
  </si>
  <si>
    <t>=+D228</t>
  </si>
  <si>
    <t>=+D229</t>
  </si>
  <si>
    <t>=+D230</t>
  </si>
  <si>
    <t>=+D231</t>
  </si>
  <si>
    <t>=+D232</t>
  </si>
  <si>
    <t>=+D233</t>
  </si>
  <si>
    <t>=+D234</t>
  </si>
  <si>
    <t>=+D235</t>
  </si>
  <si>
    <t>=+D236</t>
  </si>
  <si>
    <t>=+D237</t>
  </si>
  <si>
    <t>=+D238</t>
  </si>
  <si>
    <t>=+D239</t>
  </si>
  <si>
    <t>=+D240</t>
  </si>
  <si>
    <t>=+D241</t>
  </si>
  <si>
    <t>=+D242</t>
  </si>
  <si>
    <t>=+D243</t>
  </si>
  <si>
    <t>=+D244</t>
  </si>
  <si>
    <t>=+D245</t>
  </si>
  <si>
    <t>=+D246</t>
  </si>
  <si>
    <t>=+D247</t>
  </si>
  <si>
    <t>=+D248</t>
  </si>
  <si>
    <t>=+D249</t>
  </si>
  <si>
    <t>=+D250</t>
  </si>
  <si>
    <t>=+D251</t>
  </si>
  <si>
    <t>=+D252</t>
  </si>
  <si>
    <t>=+D253</t>
  </si>
  <si>
    <t>=+D254</t>
  </si>
  <si>
    <t>=+D255</t>
  </si>
  <si>
    <t>=+D256</t>
  </si>
  <si>
    <t>=+D257</t>
  </si>
  <si>
    <t>=+D258</t>
  </si>
  <si>
    <t>=+D259</t>
  </si>
  <si>
    <t>=+D260</t>
  </si>
  <si>
    <t>=+D261</t>
  </si>
  <si>
    <t>=+D262</t>
  </si>
  <si>
    <t>=+D263</t>
  </si>
  <si>
    <t>=+D264</t>
  </si>
  <si>
    <t>=+D265</t>
  </si>
  <si>
    <t>=+D266</t>
  </si>
  <si>
    <t>=+D267</t>
  </si>
  <si>
    <t>=+D268</t>
  </si>
  <si>
    <t>=+D269</t>
  </si>
  <si>
    <t>=+D270</t>
  </si>
  <si>
    <t>=+D271</t>
  </si>
  <si>
    <t>=+D272</t>
  </si>
  <si>
    <t>=+D273</t>
  </si>
  <si>
    <t>=+D274</t>
  </si>
  <si>
    <t>=+D275</t>
  </si>
  <si>
    <t>=+D276</t>
  </si>
  <si>
    <t>=+D277</t>
  </si>
  <si>
    <t>=+D278</t>
  </si>
  <si>
    <t>=+D279</t>
  </si>
  <si>
    <t>=+D280</t>
  </si>
  <si>
    <t>=+D281</t>
  </si>
  <si>
    <t>=+D282</t>
  </si>
  <si>
    <t>=+D283</t>
  </si>
  <si>
    <t>=+D284</t>
  </si>
  <si>
    <t>=+D285</t>
  </si>
  <si>
    <t>=+D286</t>
  </si>
  <si>
    <t>=+D287</t>
  </si>
  <si>
    <t>=+D288</t>
  </si>
  <si>
    <t>=+D289</t>
  </si>
  <si>
    <t>=+D290</t>
  </si>
  <si>
    <t>=+D291</t>
  </si>
  <si>
    <t>=+D292</t>
  </si>
  <si>
    <t>=+D293</t>
  </si>
  <si>
    <t>=+D294</t>
  </si>
  <si>
    <t>=+D295</t>
  </si>
  <si>
    <t>=+D296</t>
  </si>
  <si>
    <t>=+D297</t>
  </si>
  <si>
    <t>=+D298</t>
  </si>
  <si>
    <t>=+D299</t>
  </si>
  <si>
    <t>=+D300</t>
  </si>
  <si>
    <t>=+D301</t>
  </si>
  <si>
    <t>=+D302</t>
  </si>
  <si>
    <t>=+D303</t>
  </si>
  <si>
    <t>=+D304</t>
  </si>
  <si>
    <t>=+D305</t>
  </si>
  <si>
    <t>=+D306</t>
  </si>
  <si>
    <t>=+D307</t>
  </si>
  <si>
    <t>=+D308</t>
  </si>
  <si>
    <t>=+D309</t>
  </si>
  <si>
    <t>=+D310</t>
  </si>
  <si>
    <t>=+D311</t>
  </si>
  <si>
    <t>=+D312</t>
  </si>
  <si>
    <t>=+D313</t>
  </si>
  <si>
    <t>=+D314</t>
  </si>
  <si>
    <t>=+D315</t>
  </si>
  <si>
    <t>=+D316</t>
  </si>
  <si>
    <t>=+D317</t>
  </si>
  <si>
    <t>=+D318</t>
  </si>
  <si>
    <t>=+D319</t>
  </si>
  <si>
    <t>=+D320</t>
  </si>
  <si>
    <t>=+D321</t>
  </si>
  <si>
    <t>=+D322</t>
  </si>
  <si>
    <t>=+D323</t>
  </si>
  <si>
    <t>=+D324</t>
  </si>
  <si>
    <t>=+D325</t>
  </si>
  <si>
    <t>=+D326</t>
  </si>
  <si>
    <t>=+D327</t>
  </si>
  <si>
    <t>=+D328</t>
  </si>
  <si>
    <t>=+D329</t>
  </si>
  <si>
    <t>=+D330</t>
  </si>
  <si>
    <t>=+D331</t>
  </si>
  <si>
    <t>=+D332</t>
  </si>
  <si>
    <t>=+D333</t>
  </si>
  <si>
    <t>=+D334</t>
  </si>
  <si>
    <t>=+D335</t>
  </si>
  <si>
    <t>=+D336</t>
  </si>
  <si>
    <t>=+D337</t>
  </si>
  <si>
    <t>=+D338</t>
  </si>
  <si>
    <t>=+D339</t>
  </si>
  <si>
    <t>=+D340</t>
  </si>
  <si>
    <t>=+D341</t>
  </si>
  <si>
    <t>=+D342</t>
  </si>
  <si>
    <t>=+D343</t>
  </si>
  <si>
    <t>=+D344</t>
  </si>
  <si>
    <t>=+D345</t>
  </si>
  <si>
    <t>=+D346</t>
  </si>
  <si>
    <t>=+D347</t>
  </si>
  <si>
    <t>=+D348</t>
  </si>
  <si>
    <t>=+D349</t>
  </si>
  <si>
    <t>=+D350</t>
  </si>
  <si>
    <t>=+D351</t>
  </si>
  <si>
    <t>=+D352</t>
  </si>
  <si>
    <t>=+D353</t>
  </si>
  <si>
    <t>=+D354</t>
  </si>
  <si>
    <t>=+D355</t>
  </si>
  <si>
    <t>=+D356</t>
  </si>
  <si>
    <t>=+D357</t>
  </si>
  <si>
    <t>=+D358</t>
  </si>
  <si>
    <t>=+D359</t>
  </si>
  <si>
    <t>=+D360</t>
  </si>
  <si>
    <t>=+D361</t>
  </si>
  <si>
    <t>=+D362</t>
  </si>
  <si>
    <t>=+D363</t>
  </si>
  <si>
    <t>=+D364</t>
  </si>
  <si>
    <t>=+D365</t>
  </si>
  <si>
    <t>=+D366</t>
  </si>
  <si>
    <t>=+D367</t>
  </si>
  <si>
    <t>=+D368</t>
  </si>
  <si>
    <t>=+D369</t>
  </si>
  <si>
    <t>=+D370</t>
  </si>
  <si>
    <t>=+D371</t>
  </si>
  <si>
    <t>=+D372</t>
  </si>
  <si>
    <t>=+D373</t>
  </si>
  <si>
    <t>=+D374</t>
  </si>
  <si>
    <t>=+D375</t>
  </si>
  <si>
    <t>=+D376</t>
  </si>
  <si>
    <t>=+D377</t>
  </si>
  <si>
    <t>=+D378</t>
  </si>
  <si>
    <t>=+D379</t>
  </si>
  <si>
    <t>=+D380</t>
  </si>
  <si>
    <t>=+D381</t>
  </si>
  <si>
    <t>=+D382</t>
  </si>
  <si>
    <t>=+D383</t>
  </si>
  <si>
    <t>=+D384</t>
  </si>
  <si>
    <t>=+D385</t>
  </si>
  <si>
    <t>=+D386</t>
  </si>
  <si>
    <t>=+D387</t>
  </si>
  <si>
    <t>=+D388</t>
  </si>
  <si>
    <t>=+D389</t>
  </si>
  <si>
    <t>=+D390</t>
  </si>
  <si>
    <t>=+D391</t>
  </si>
  <si>
    <t>=+D392</t>
  </si>
  <si>
    <t>=+D393</t>
  </si>
  <si>
    <t>=+D394</t>
  </si>
  <si>
    <t>=+D395</t>
  </si>
  <si>
    <t>=+D396</t>
  </si>
  <si>
    <t>=+D397</t>
  </si>
  <si>
    <t>=+D398</t>
  </si>
  <si>
    <t>=+D399</t>
  </si>
  <si>
    <t>=+D400</t>
  </si>
  <si>
    <t>=+D401</t>
  </si>
  <si>
    <t>=+D402</t>
  </si>
  <si>
    <t>=+D403</t>
  </si>
  <si>
    <t>=+D404</t>
  </si>
  <si>
    <t>=+D405</t>
  </si>
  <si>
    <t>=+D406</t>
  </si>
  <si>
    <t>=+D407</t>
  </si>
  <si>
    <t>=+D408</t>
  </si>
  <si>
    <t>=+D409</t>
  </si>
  <si>
    <t>=+D410</t>
  </si>
  <si>
    <t>=+D411</t>
  </si>
  <si>
    <t>=+D412</t>
  </si>
  <si>
    <t>=+D413</t>
  </si>
  <si>
    <t>=+D414</t>
  </si>
  <si>
    <t>=+D415</t>
  </si>
  <si>
    <t>=+D416</t>
  </si>
  <si>
    <t>=+D417</t>
  </si>
  <si>
    <t>=+D418</t>
  </si>
  <si>
    <t>=+D419</t>
  </si>
  <si>
    <t>=+D420</t>
  </si>
  <si>
    <t>=+D421</t>
  </si>
  <si>
    <t>=+D422</t>
  </si>
  <si>
    <t>=+D423</t>
  </si>
  <si>
    <t>=+D424</t>
  </si>
  <si>
    <t>=+D425</t>
  </si>
  <si>
    <t>=+D426</t>
  </si>
  <si>
    <t>=+D427</t>
  </si>
  <si>
    <t>=+D428</t>
  </si>
  <si>
    <t>=+D429</t>
  </si>
  <si>
    <t>=+D430</t>
  </si>
  <si>
    <t>=+D431</t>
  </si>
  <si>
    <t>=+D432</t>
  </si>
  <si>
    <t>=+D433</t>
  </si>
  <si>
    <t>=+D434</t>
  </si>
  <si>
    <t>=+D435</t>
  </si>
  <si>
    <t>=+D436</t>
  </si>
  <si>
    <t>=+D437</t>
  </si>
  <si>
    <t>=+D438</t>
  </si>
  <si>
    <t>=+D439</t>
  </si>
  <si>
    <t>=+D440</t>
  </si>
  <si>
    <t>=+D441</t>
  </si>
  <si>
    <t>=+D442</t>
  </si>
  <si>
    <t>=+D443</t>
  </si>
  <si>
    <t>=+D444</t>
  </si>
  <si>
    <t>=+D445</t>
  </si>
  <si>
    <t>=+D446</t>
  </si>
  <si>
    <t>=+D447</t>
  </si>
  <si>
    <t>=+D448</t>
  </si>
  <si>
    <t>=+D449</t>
  </si>
  <si>
    <t>=+D450</t>
  </si>
  <si>
    <t>=+D451</t>
  </si>
  <si>
    <t>=+D452</t>
  </si>
  <si>
    <t>=+D453</t>
  </si>
  <si>
    <t>=+D454</t>
  </si>
  <si>
    <t>=+D455</t>
  </si>
  <si>
    <t>=+D456</t>
  </si>
  <si>
    <t>=+D457</t>
  </si>
  <si>
    <t>=+D458</t>
  </si>
  <si>
    <t>=+D459</t>
  </si>
  <si>
    <t>=+D460</t>
  </si>
  <si>
    <t>=+D461</t>
  </si>
  <si>
    <t>=+D462</t>
  </si>
  <si>
    <t>=+D463</t>
  </si>
  <si>
    <t>=+D464</t>
  </si>
  <si>
    <t>=+D465</t>
  </si>
  <si>
    <t>=+D466</t>
  </si>
  <si>
    <t>=+D467</t>
  </si>
  <si>
    <t>=+D468</t>
  </si>
  <si>
    <t>=+D469</t>
  </si>
  <si>
    <t>=+D470</t>
  </si>
  <si>
    <t>=+D471</t>
  </si>
  <si>
    <t>=+D472</t>
  </si>
  <si>
    <t>=+D473</t>
  </si>
  <si>
    <t>=+D474</t>
  </si>
  <si>
    <t>=+D475</t>
  </si>
  <si>
    <t>=+D476</t>
  </si>
  <si>
    <t>=+D477</t>
  </si>
  <si>
    <t>=+D478</t>
  </si>
  <si>
    <t>=+D479</t>
  </si>
  <si>
    <t>=+D480</t>
  </si>
  <si>
    <t>=+D481</t>
  </si>
  <si>
    <t>=+D482</t>
  </si>
  <si>
    <t>=+D483</t>
  </si>
  <si>
    <t>=+D484</t>
  </si>
  <si>
    <t>=+D485</t>
  </si>
  <si>
    <t>=+D486</t>
  </si>
  <si>
    <t>=+D487</t>
  </si>
  <si>
    <t>=+D488</t>
  </si>
  <si>
    <t>=+D489</t>
  </si>
  <si>
    <t>=+D490</t>
  </si>
  <si>
    <t>=+D491</t>
  </si>
  <si>
    <t>=+D492</t>
  </si>
  <si>
    <t>=+D493</t>
  </si>
  <si>
    <t>=+D494</t>
  </si>
  <si>
    <t>=+D495</t>
  </si>
  <si>
    <t>=+D496</t>
  </si>
  <si>
    <t>=+D497</t>
  </si>
  <si>
    <t>=+D498</t>
  </si>
  <si>
    <t>=+D499</t>
  </si>
  <si>
    <t>=+D500</t>
  </si>
  <si>
    <t>=+D501</t>
  </si>
  <si>
    <t>=+D502</t>
  </si>
  <si>
    <t>=+D503</t>
  </si>
  <si>
    <t>=+D504</t>
  </si>
  <si>
    <t>=+D505</t>
  </si>
  <si>
    <t>=+D506</t>
  </si>
  <si>
    <t>=+D507</t>
  </si>
  <si>
    <t>=+D508</t>
  </si>
  <si>
    <t>=+D509</t>
  </si>
  <si>
    <t>=+D510</t>
  </si>
  <si>
    <t>=+D511</t>
  </si>
  <si>
    <t>=+D512</t>
  </si>
  <si>
    <t>=+D513</t>
  </si>
  <si>
    <t>=+D514</t>
  </si>
  <si>
    <t>=+D515</t>
  </si>
  <si>
    <t>=+D516</t>
  </si>
  <si>
    <t>=+D517</t>
  </si>
  <si>
    <t>=+D518</t>
  </si>
  <si>
    <t>=+D519</t>
  </si>
  <si>
    <t>=+D520</t>
  </si>
  <si>
    <t>=+D521</t>
  </si>
  <si>
    <t>=+D522</t>
  </si>
  <si>
    <t>=+D523</t>
  </si>
  <si>
    <t>=+D524</t>
  </si>
  <si>
    <t>=+D525</t>
  </si>
  <si>
    <t>=+D526</t>
  </si>
  <si>
    <t>=+D527</t>
  </si>
  <si>
    <t>=+D528</t>
  </si>
  <si>
    <t>=+D529</t>
  </si>
  <si>
    <t>=+D530</t>
  </si>
  <si>
    <t>=+D531</t>
  </si>
  <si>
    <t>=+D532</t>
  </si>
  <si>
    <t>=+D533</t>
  </si>
  <si>
    <t>=+D534</t>
  </si>
  <si>
    <t>=+D535</t>
  </si>
  <si>
    <t>=+D536</t>
  </si>
  <si>
    <t>=+D537</t>
  </si>
  <si>
    <t>=+D538</t>
  </si>
  <si>
    <t>=+D539</t>
  </si>
  <si>
    <t>=+D540</t>
  </si>
  <si>
    <t>=+D541</t>
  </si>
  <si>
    <t>=+D542</t>
  </si>
  <si>
    <t>=+D543</t>
  </si>
  <si>
    <t>=+D544</t>
  </si>
  <si>
    <t>=+D545</t>
  </si>
  <si>
    <t>=+D546</t>
  </si>
  <si>
    <t>=+D547</t>
  </si>
  <si>
    <t>=+D548</t>
  </si>
  <si>
    <t>=+D549</t>
  </si>
  <si>
    <t>=+D550</t>
  </si>
  <si>
    <t>=+D551</t>
  </si>
  <si>
    <t>=+D552</t>
  </si>
  <si>
    <t>=+D553</t>
  </si>
  <si>
    <t>=+D554</t>
  </si>
  <si>
    <t>=+D555</t>
  </si>
  <si>
    <t>=+D556</t>
  </si>
  <si>
    <t>=+D557</t>
  </si>
  <si>
    <t>=+D558</t>
  </si>
  <si>
    <t>=+D559</t>
  </si>
  <si>
    <t>=+D560</t>
  </si>
  <si>
    <t>=+D561</t>
  </si>
  <si>
    <t>=+D562</t>
  </si>
  <si>
    <t>=+D563</t>
  </si>
  <si>
    <t>=+D564</t>
  </si>
  <si>
    <t>=+D565</t>
  </si>
  <si>
    <t>=+D566</t>
  </si>
  <si>
    <t>=+D567</t>
  </si>
  <si>
    <t>=+D568</t>
  </si>
  <si>
    <t>=+D569</t>
  </si>
  <si>
    <t>=+D570</t>
  </si>
  <si>
    <t>=+D571</t>
  </si>
  <si>
    <t>=+D572</t>
  </si>
  <si>
    <t>=+D573</t>
  </si>
  <si>
    <t>=+D574</t>
  </si>
  <si>
    <t>=+D575</t>
  </si>
  <si>
    <t>=+D576</t>
  </si>
  <si>
    <t>=+D577</t>
  </si>
  <si>
    <t>=+D578</t>
  </si>
  <si>
    <t>=+D579</t>
  </si>
  <si>
    <t>=+D580</t>
  </si>
  <si>
    <t>=+D581</t>
  </si>
  <si>
    <t>=+D582</t>
  </si>
  <si>
    <t>=+D583</t>
  </si>
  <si>
    <t>=+D584</t>
  </si>
  <si>
    <t>=+D585</t>
  </si>
  <si>
    <t>=+D586</t>
  </si>
  <si>
    <t>=+D587</t>
  </si>
  <si>
    <t>=+D588</t>
  </si>
  <si>
    <t>=+D589</t>
  </si>
  <si>
    <t>=+D590</t>
  </si>
  <si>
    <t>=+D591</t>
  </si>
  <si>
    <t>=+D592</t>
  </si>
  <si>
    <t>=+D593</t>
  </si>
  <si>
    <t>=+D594</t>
  </si>
  <si>
    <t>=+D595</t>
  </si>
  <si>
    <t>=+D596</t>
  </si>
  <si>
    <t>=+D597</t>
  </si>
  <si>
    <t>=+D598</t>
  </si>
  <si>
    <t>=+D599</t>
  </si>
  <si>
    <t>=+D600</t>
  </si>
  <si>
    <t>=+D601</t>
  </si>
  <si>
    <t>=+D602</t>
  </si>
  <si>
    <t>=+D603</t>
  </si>
  <si>
    <t>=+D604</t>
  </si>
  <si>
    <t>=+D605</t>
  </si>
  <si>
    <t>=+D606</t>
  </si>
  <si>
    <t>=+D607</t>
  </si>
  <si>
    <t>=+D608</t>
  </si>
  <si>
    <t>=+D609</t>
  </si>
  <si>
    <t>=+D610</t>
  </si>
  <si>
    <t>=+D611</t>
  </si>
  <si>
    <t>=+D612</t>
  </si>
  <si>
    <t>=+D613</t>
  </si>
  <si>
    <t>=+D614</t>
  </si>
  <si>
    <t>=+D615</t>
  </si>
  <si>
    <t>=+D616</t>
  </si>
  <si>
    <t>=+D617</t>
  </si>
  <si>
    <t>=+D618</t>
  </si>
  <si>
    <t>=+D619</t>
  </si>
  <si>
    <t>=+D620</t>
  </si>
  <si>
    <t>=+D621</t>
  </si>
  <si>
    <t>=+D622</t>
  </si>
  <si>
    <t>=+D623</t>
  </si>
  <si>
    <t>=+D624</t>
  </si>
  <si>
    <t>=+D625</t>
  </si>
  <si>
    <t>=+D626</t>
  </si>
  <si>
    <t>=+D627</t>
  </si>
  <si>
    <t>=+D628</t>
  </si>
  <si>
    <t>=+D629</t>
  </si>
  <si>
    <t>=+D630</t>
  </si>
  <si>
    <t>=+D631</t>
  </si>
  <si>
    <t>=+D632</t>
  </si>
  <si>
    <t>=+D633</t>
  </si>
  <si>
    <t>=+D634</t>
  </si>
  <si>
    <t>=+D635</t>
  </si>
  <si>
    <t>=+D636</t>
  </si>
  <si>
    <t>=+D637</t>
  </si>
  <si>
    <t>=+D638</t>
  </si>
  <si>
    <t>=+D639</t>
  </si>
  <si>
    <t>=+D640</t>
  </si>
  <si>
    <t>=+D641</t>
  </si>
  <si>
    <t>=+D642</t>
  </si>
  <si>
    <t>=+D643</t>
  </si>
  <si>
    <t>=+D644</t>
  </si>
  <si>
    <t>=+D645</t>
  </si>
  <si>
    <t>=+D646</t>
  </si>
  <si>
    <t>=+D647</t>
  </si>
  <si>
    <t>=+D648</t>
  </si>
  <si>
    <t>=+D649</t>
  </si>
  <si>
    <t>=+D650</t>
  </si>
  <si>
    <t>=+D651</t>
  </si>
  <si>
    <t>=+D652</t>
  </si>
  <si>
    <t>=+D653</t>
  </si>
  <si>
    <t>=+D654</t>
  </si>
  <si>
    <t>=+D655</t>
  </si>
  <si>
    <t>=+D656</t>
  </si>
  <si>
    <t>=+D657</t>
  </si>
  <si>
    <t>=+D658</t>
  </si>
  <si>
    <t>=+D659</t>
  </si>
  <si>
    <t>=+D660</t>
  </si>
  <si>
    <t>=+D661</t>
  </si>
  <si>
    <t>=+D662</t>
  </si>
  <si>
    <t>=+D663</t>
  </si>
  <si>
    <t>=+D664</t>
  </si>
  <si>
    <t>=+D665</t>
  </si>
  <si>
    <t>=+D666</t>
  </si>
  <si>
    <t>=+D667</t>
  </si>
  <si>
    <t>=+D668</t>
  </si>
  <si>
    <t>=+D669</t>
  </si>
  <si>
    <t>=+D670</t>
  </si>
  <si>
    <t>=+D671</t>
  </si>
  <si>
    <t>=+D672</t>
  </si>
  <si>
    <t>=+D673</t>
  </si>
  <si>
    <t>=+D674</t>
  </si>
  <si>
    <t>=+D675</t>
  </si>
  <si>
    <t>=+D676</t>
  </si>
  <si>
    <t>=+D677</t>
  </si>
  <si>
    <t>=+D678</t>
  </si>
  <si>
    <t>=+D679</t>
  </si>
  <si>
    <t>=+D680</t>
  </si>
  <si>
    <t>=+D681</t>
  </si>
  <si>
    <t>=+D682</t>
  </si>
  <si>
    <t>=+D683</t>
  </si>
  <si>
    <t>=+D684</t>
  </si>
  <si>
    <t>=+D685</t>
  </si>
  <si>
    <t>=+D686</t>
  </si>
  <si>
    <t>=+D687</t>
  </si>
  <si>
    <t>=+D688</t>
  </si>
  <si>
    <t>=+D689</t>
  </si>
  <si>
    <t>=+D690</t>
  </si>
  <si>
    <t>=+D691</t>
  </si>
  <si>
    <t>=+D692</t>
  </si>
  <si>
    <t>=+D693</t>
  </si>
  <si>
    <t>=+D694</t>
  </si>
  <si>
    <t>=+D695</t>
  </si>
  <si>
    <t>=+D696</t>
  </si>
  <si>
    <t>=+D697</t>
  </si>
  <si>
    <t>=+D698</t>
  </si>
  <si>
    <t>=+D699</t>
  </si>
  <si>
    <t>=+D700</t>
  </si>
  <si>
    <t>=+D701</t>
  </si>
  <si>
    <t>=+D702</t>
  </si>
  <si>
    <t>=+D703</t>
  </si>
  <si>
    <t>=+D704</t>
  </si>
  <si>
    <t>=+D705</t>
  </si>
  <si>
    <t>=+D706</t>
  </si>
  <si>
    <t>=+D707</t>
  </si>
  <si>
    <t>=+D708</t>
  </si>
  <si>
    <t>=+D709</t>
  </si>
  <si>
    <t>=+D710</t>
  </si>
  <si>
    <t>=+D711</t>
  </si>
  <si>
    <t>=+D712</t>
  </si>
  <si>
    <t>=+D713</t>
  </si>
  <si>
    <t>=+D714</t>
  </si>
  <si>
    <t>=+D715</t>
  </si>
  <si>
    <t>=+D716</t>
  </si>
  <si>
    <t>=+D717</t>
  </si>
  <si>
    <t>=+D718</t>
  </si>
  <si>
    <t>=+D719</t>
  </si>
  <si>
    <t>=+D720</t>
  </si>
  <si>
    <t>=+D721</t>
  </si>
  <si>
    <t>=+D722</t>
  </si>
  <si>
    <t>=+D723</t>
  </si>
  <si>
    <t>=+D724</t>
  </si>
  <si>
    <t>=+D725</t>
  </si>
  <si>
    <t>=+D726</t>
  </si>
  <si>
    <t>=+D727</t>
  </si>
  <si>
    <t>=+D728</t>
  </si>
  <si>
    <t>=+D729</t>
  </si>
  <si>
    <t>=+D730</t>
  </si>
  <si>
    <t>=+D731</t>
  </si>
  <si>
    <t>=+D732</t>
  </si>
  <si>
    <t>=+D733</t>
  </si>
  <si>
    <t>=+D734</t>
  </si>
  <si>
    <t>=+D735</t>
  </si>
  <si>
    <t>=+D736</t>
  </si>
  <si>
    <t>=+D737</t>
  </si>
  <si>
    <t>=+D738</t>
  </si>
  <si>
    <t>=+D739</t>
  </si>
  <si>
    <t>=+D740</t>
  </si>
  <si>
    <t>=+D741</t>
  </si>
  <si>
    <t>=+D742</t>
  </si>
  <si>
    <t>=+D743</t>
  </si>
  <si>
    <t>=+D744</t>
  </si>
  <si>
    <t>=+D745</t>
  </si>
  <si>
    <t>=+D746</t>
  </si>
  <si>
    <t>=+D747</t>
  </si>
  <si>
    <t>=+D748</t>
  </si>
  <si>
    <t>=+D749</t>
  </si>
  <si>
    <t>=+D750</t>
  </si>
  <si>
    <t>=+D751</t>
  </si>
  <si>
    <t>=+D752</t>
  </si>
  <si>
    <t>=+D753</t>
  </si>
  <si>
    <t>=+D754</t>
  </si>
  <si>
    <t>=+D755</t>
  </si>
  <si>
    <t>=+D756</t>
  </si>
  <si>
    <t>=+D757</t>
  </si>
  <si>
    <t>=+D758</t>
  </si>
  <si>
    <t>=+D759</t>
  </si>
  <si>
    <t>=+D760</t>
  </si>
  <si>
    <t>=+D761</t>
  </si>
  <si>
    <t>=+D762</t>
  </si>
  <si>
    <t>=+D763</t>
  </si>
  <si>
    <t>=+D764</t>
  </si>
  <si>
    <t>=+D765</t>
  </si>
  <si>
    <t>=+D766</t>
  </si>
  <si>
    <t>=+D767</t>
  </si>
  <si>
    <t>=+D768</t>
  </si>
  <si>
    <t>=+D769</t>
  </si>
  <si>
    <t>=+D770</t>
  </si>
  <si>
    <t>=+D771</t>
  </si>
  <si>
    <t>=+D772</t>
  </si>
  <si>
    <t>=+D773</t>
  </si>
  <si>
    <t>=+D774</t>
  </si>
  <si>
    <t>=+D775</t>
  </si>
  <si>
    <t>=+D776</t>
  </si>
  <si>
    <t>=+D777</t>
  </si>
  <si>
    <t>=+D778</t>
  </si>
  <si>
    <t>=+D779</t>
  </si>
  <si>
    <t>=+D780</t>
  </si>
  <si>
    <t>=+D781</t>
  </si>
  <si>
    <t>=+D782</t>
  </si>
  <si>
    <t>=+D783</t>
  </si>
  <si>
    <t>=+D784</t>
  </si>
  <si>
    <t>=+D785</t>
  </si>
  <si>
    <t>=+D786</t>
  </si>
  <si>
    <t>=+D787</t>
  </si>
  <si>
    <t>=+D788</t>
  </si>
  <si>
    <t>=+D789</t>
  </si>
  <si>
    <t>=+D790</t>
  </si>
  <si>
    <t>=+D791</t>
  </si>
  <si>
    <t>=+D792</t>
  </si>
  <si>
    <t>=+D793</t>
  </si>
  <si>
    <t>=+D794</t>
  </si>
  <si>
    <t>=+D795</t>
  </si>
  <si>
    <t>=+D796</t>
  </si>
  <si>
    <t>=+D797</t>
  </si>
  <si>
    <t>=+D798</t>
  </si>
  <si>
    <t>=+D799</t>
  </si>
  <si>
    <t>=+D800</t>
  </si>
  <si>
    <t>=+D801</t>
  </si>
  <si>
    <t>=+D802</t>
  </si>
  <si>
    <t>=+D803</t>
  </si>
  <si>
    <t>=+D804</t>
  </si>
  <si>
    <t>=+D805</t>
  </si>
  <si>
    <t>=+D806</t>
  </si>
  <si>
    <t>=+D807</t>
  </si>
  <si>
    <t>=+D808</t>
  </si>
  <si>
    <t>=+D809</t>
  </si>
  <si>
    <t>=+D810</t>
  </si>
  <si>
    <t>=+D811</t>
  </si>
  <si>
    <t>=+D812</t>
  </si>
  <si>
    <t>=+D813</t>
  </si>
  <si>
    <t>=+D814</t>
  </si>
  <si>
    <t>=+D815</t>
  </si>
  <si>
    <t>=+D816</t>
  </si>
  <si>
    <t>=+D817</t>
  </si>
  <si>
    <t>=+D818</t>
  </si>
  <si>
    <t>=+D819</t>
  </si>
  <si>
    <t>=+D820</t>
  </si>
  <si>
    <t>=+D821</t>
  </si>
  <si>
    <t>=+D822</t>
  </si>
  <si>
    <t>=+D823</t>
  </si>
  <si>
    <t>=+D824</t>
  </si>
  <si>
    <t>=+D825</t>
  </si>
  <si>
    <t>=+D826</t>
  </si>
  <si>
    <t>=+D827</t>
  </si>
  <si>
    <t>=+D828</t>
  </si>
  <si>
    <t>=+D829</t>
  </si>
  <si>
    <t>=+D830</t>
  </si>
  <si>
    <t>=+D831</t>
  </si>
  <si>
    <t>=+D832</t>
  </si>
  <si>
    <t>=+D833</t>
  </si>
  <si>
    <t>=+D834</t>
  </si>
  <si>
    <t>=+D835</t>
  </si>
  <si>
    <t>=+D836</t>
  </si>
  <si>
    <t>=+D837</t>
  </si>
  <si>
    <t>=+D838</t>
  </si>
  <si>
    <t>=+D839</t>
  </si>
  <si>
    <t>=+D840</t>
  </si>
  <si>
    <t>=+D841</t>
  </si>
  <si>
    <t>=+D842</t>
  </si>
  <si>
    <t>=+D843</t>
  </si>
  <si>
    <t>=+D844</t>
  </si>
  <si>
    <t>=+D845</t>
  </si>
  <si>
    <t>=+D846</t>
  </si>
  <si>
    <t>=+D847</t>
  </si>
  <si>
    <t>=+D848</t>
  </si>
  <si>
    <t>=+D849</t>
  </si>
  <si>
    <t>=+D850</t>
  </si>
  <si>
    <t>=+D851</t>
  </si>
  <si>
    <t>=+D852</t>
  </si>
  <si>
    <t>=+D853</t>
  </si>
  <si>
    <t>=+D854</t>
  </si>
  <si>
    <t>=+D855</t>
  </si>
  <si>
    <t>=+D856</t>
  </si>
  <si>
    <t>=+D857</t>
  </si>
  <si>
    <t>=+D858</t>
  </si>
  <si>
    <t>=+D859</t>
  </si>
  <si>
    <t>=+D860</t>
  </si>
  <si>
    <t>=+D861</t>
  </si>
  <si>
    <t>=+D862</t>
  </si>
  <si>
    <t>=+D863</t>
  </si>
  <si>
    <t>=+D864</t>
  </si>
  <si>
    <t>=+D865</t>
  </si>
  <si>
    <t>=+D866</t>
  </si>
  <si>
    <t>=+D867</t>
  </si>
  <si>
    <t>=+D868</t>
  </si>
  <si>
    <t>=+D869</t>
  </si>
  <si>
    <t>=+D870</t>
  </si>
  <si>
    <t>=+D871</t>
  </si>
  <si>
    <t>=+D872</t>
  </si>
  <si>
    <t>=+D873</t>
  </si>
  <si>
    <t>=+D874</t>
  </si>
  <si>
    <t>=+D875</t>
  </si>
  <si>
    <t>=+D876</t>
  </si>
  <si>
    <t>=+D877</t>
  </si>
  <si>
    <t>=+D878</t>
  </si>
  <si>
    <t>=+D879</t>
  </si>
  <si>
    <t>=+D880</t>
  </si>
  <si>
    <t>=+D881</t>
  </si>
  <si>
    <t>=+D882</t>
  </si>
  <si>
    <t>=+D883</t>
  </si>
  <si>
    <t>=+D884</t>
  </si>
  <si>
    <t>=+D885</t>
  </si>
  <si>
    <t>=+D886</t>
  </si>
  <si>
    <t>=+D887</t>
  </si>
  <si>
    <t>=+D888</t>
  </si>
  <si>
    <t>=+D889</t>
  </si>
  <si>
    <t>=+D890</t>
  </si>
  <si>
    <t>=+D891</t>
  </si>
  <si>
    <t>=+D892</t>
  </si>
  <si>
    <t>=+D893</t>
  </si>
  <si>
    <t>=+D894</t>
  </si>
  <si>
    <t>=+D895</t>
  </si>
  <si>
    <t>=+D896</t>
  </si>
  <si>
    <t>=+D897</t>
  </si>
  <si>
    <t>=+D898</t>
  </si>
  <si>
    <t>=+D899</t>
  </si>
  <si>
    <t>=+D900</t>
  </si>
  <si>
    <t>=+D901</t>
  </si>
  <si>
    <t>=+D902</t>
  </si>
  <si>
    <t>=+D903</t>
  </si>
  <si>
    <t>=+D904</t>
  </si>
  <si>
    <t>=+D905</t>
  </si>
  <si>
    <t>=+D906</t>
  </si>
  <si>
    <t>=+D907</t>
  </si>
  <si>
    <t>=+D908</t>
  </si>
  <si>
    <t>=+D909</t>
  </si>
  <si>
    <t>=+D910</t>
  </si>
  <si>
    <t>=+D911</t>
  </si>
  <si>
    <t>=+D912</t>
  </si>
  <si>
    <t>=+D913</t>
  </si>
  <si>
    <t>=+D914</t>
  </si>
  <si>
    <t>=+D915</t>
  </si>
  <si>
    <t>=+D916</t>
  </si>
  <si>
    <t>=+D917</t>
  </si>
  <si>
    <t>=+D918</t>
  </si>
  <si>
    <t>=+D919</t>
  </si>
  <si>
    <t>=+D920</t>
  </si>
  <si>
    <t>=+D921</t>
  </si>
  <si>
    <t>'</t>
  </si>
  <si>
    <t>Inputs and interpretation</t>
  </si>
  <si>
    <t>Expiry</t>
  </si>
  <si>
    <t>Matched to saved BYMA September 7 option metadata.</t>
  </si>
  <si>
    <t>Rate used</t>
  </si>
  <si>
    <t>30% annual continuous rate, illustrative constant; not an observed funding curve.</t>
  </si>
  <si>
    <t>Dividend yield used</t>
  </si>
  <si>
    <t>q = 0 assumption; no verified forward dividend schedule.</t>
  </si>
  <si>
    <t>Shares per contract</t>
  </si>
  <si>
    <t>Standard BYMA share-option lot. Check extraordinary corporate adjustments.</t>
  </si>
  <si>
    <t>Day-count basis</t>
  </si>
  <si>
    <t>Actual calendar days / 365.</t>
  </si>
  <si>
    <t>Annualization sessions</t>
  </si>
  <si>
    <t>Realized volatility uses sample standard deviation of daily log returns.</t>
  </si>
  <si>
    <t>Low/high rate checks</t>
  </si>
  <si>
    <t>20% / 40%</t>
  </si>
  <si>
    <t>Illustrative rate sensitivity; same model, spot and option price.</t>
  </si>
  <si>
    <t>Call IV engine</t>
  </si>
  <si>
    <t>Black-Scholes, q=0</t>
  </si>
  <si>
    <t>Equivalent to American call under the stated non-dividend assumption.</t>
  </si>
  <si>
    <t>Put IV engine</t>
  </si>
  <si>
    <t>American CRR, 200 steps</t>
  </si>
  <si>
    <t>29 bisections, bounded 0–500% IV; rejects unstable/intrinsic-bound prices.</t>
  </si>
  <si>
    <t>Strike mapping</t>
  </si>
  <si>
    <t>Numeric ticker strike</t>
  </si>
  <si>
    <t>No security-master strike adjustments verified. All outputs conditional on this mapping.</t>
  </si>
  <si>
    <t>Price basis</t>
  </si>
  <si>
    <t>PPI price as reported</t>
  </si>
  <si>
    <t>No use of next-row opening price as a close. No bid/ask spread information.</t>
  </si>
  <si>
    <t>Volume basis</t>
  </si>
  <si>
    <t>Unverified raw field</t>
  </si>
  <si>
    <t>P/C raw-volume ratio is NOT a verified contract-count ratio. May be monetary turnover.</t>
  </si>
  <si>
    <t>IV screening</t>
  </si>
  <si>
    <t>Volume &gt; 0; price in range</t>
  </si>
  <si>
    <t>Also rejects below-intrinsic prices and model-bound violations. Not proof of a fresh quote.</t>
  </si>
  <si>
    <t>IV / Greeks refresh</t>
  </si>
  <si>
    <t>Externally calculated snapshot</t>
  </si>
  <si>
    <t>Re-run analysis after changing inputs. Editing assumptions here does not recompute IV.</t>
  </si>
  <si>
    <t>Delta / vega</t>
  </si>
  <si>
    <t>European BS diagnostics</t>
  </si>
  <si>
    <t>Using estimated IV. Vega is ARS per share per 1 percentage-point IV change.</t>
  </si>
  <si>
    <t>ATM series</t>
  </si>
  <si>
    <t>Nearest paired strike within 8%</t>
  </si>
  <si>
    <t>Average call/put IV at that strike. Strike can change; tenor declines. Not constant maturity.</t>
  </si>
  <si>
    <t>25-delta skew</t>
  </si>
  <si>
    <t>Put IV minus call IV</t>
  </si>
  <si>
    <t>Linear interpolation by BS delta, no extrapolation. American-put delta is approximated.</t>
  </si>
  <si>
    <t>Volatility butterfly</t>
  </si>
  <si>
    <t>(25d call + 25d put)/2 − ATM</t>
  </si>
  <si>
    <t>Smile curvature, distinct from the 1:-2:1 price strategy.</t>
  </si>
  <si>
    <t>RV / IV comparison</t>
  </si>
  <si>
    <t>Diagnostic only</t>
  </si>
  <si>
    <t>Backward RV and forward IV cover different periods; gap is not guaranteed excess return.</t>
  </si>
  <si>
    <t>Strategy P&amp;L</t>
  </si>
  <si>
    <t>Expiration, ARS per share</t>
  </si>
  <si>
    <t>Excludes fees, financing, slippage and early-assignment cash flows. Multiply by 100 per standard set.</t>
  </si>
  <si>
    <t>1x2 call risk</t>
  </si>
  <si>
    <t>Unlimited upside loss</t>
  </si>
  <si>
    <t>One long lower-strike call and two short higher-strike calls.</t>
  </si>
  <si>
    <t>1x2 put risk</t>
  </si>
  <si>
    <t>Large downside loss</t>
  </si>
  <si>
    <t>One long higher-strike put and two short lower-strike puts. Downside bound assumes spot &gt;= 0.</t>
  </si>
  <si>
    <t>Missing measures</t>
  </si>
  <si>
    <t>OI / bid-ask / term structure</t>
  </si>
  <si>
    <t>No OI, quotes or second expiry. No full-year IV rank or percentile from 19 days.</t>
  </si>
  <si>
    <t>Sources</t>
  </si>
  <si>
    <t>PPI API and user workbook</t>
  </si>
  <si>
    <t>Stock: MarketData/Search, GGAL, ACCIONES, A-24HS, June 1–September 16, 2026.</t>
  </si>
  <si>
    <t>BYMA contract rules</t>
  </si>
  <si>
    <t>https://www.byma.com.ar/productos/productos-financieros/opciones</t>
  </si>
  <si>
    <t>Butterfly reference</t>
  </si>
  <si>
    <t>https://www.optionseducation.org/strategies/all-strategies/long-call-butterfly</t>
  </si>
  <si>
    <t>Ratio reference</t>
  </si>
  <si>
    <t>https://www.optionseducation.org/strategies/all-strategies/short-ratio-call-spread</t>
  </si>
  <si>
    <t>GGAL price</t>
  </si>
  <si>
    <t>Open</t>
  </si>
  <si>
    <t>Ratio explorer</t>
  </si>
  <si>
    <t>Selection lists</t>
  </si>
  <si>
    <t>Change the four amber cells. Buy one option at the long strike and sell the chosen quantity at the short strike.</t>
  </si>
  <si>
    <t>Call strikes</t>
  </si>
  <si>
    <t>Put strikes</t>
  </si>
  <si>
    <t>Option type</t>
  </si>
  <si>
    <t>Long strike</t>
  </si>
  <si>
    <t>Short strike</t>
  </si>
  <si>
    <t>Cost / share</t>
  </si>
  <si>
    <t>Cost / contract set</t>
  </si>
  <si>
    <t>Long : short ratio</t>
  </si>
  <si>
    <t>Short quantity</t>
  </si>
  <si>
    <t>Long-leg IV</t>
  </si>
  <si>
    <t>Short-leg IV</t>
  </si>
  <si>
    <t>Positive cost = debit. Negative cost = credit. ARS per share, before fees and slippage.</t>
  </si>
  <si>
    <t>Costs include flagged prices. IV assumptions: 30% rate, zero dividends. Gaps mean unavailable IV.</t>
  </si>
  <si>
    <t>Chart helpers: #N/A means a deliberate gap, never a zero.</t>
  </si>
  <si>
    <t>Long premium</t>
  </si>
  <si>
    <t>Short premium</t>
  </si>
  <si>
    <t>Cost / set</t>
  </si>
  <si>
    <t>Long IV</t>
  </si>
  <si>
    <t>Short IV</t>
  </si>
  <si>
    <t>IV gap (pp)</t>
  </si>
  <si>
    <t>Long data</t>
  </si>
  <si>
    <t>Short data</t>
  </si>
  <si>
    <t>Long rows</t>
  </si>
  <si>
    <t>Short rows</t>
  </si>
  <si>
    <t>Long IV count</t>
  </si>
  <si>
    <t>Short IV count</t>
  </si>
  <si>
    <t>Historical cost</t>
  </si>
  <si>
    <t>Changing the ratio changes cost, not either leg’s IV. IV gap = long IV minus short IV, in percentage points.</t>
  </si>
  <si>
    <t>Coverage: 21 Aug–16 Sep 2026. Fixed October expiry. Flags and original observations remain in IV history.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</si>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</sst>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yy"/>
    <numFmt numFmtId="165" formatCode="#,##0.00;\(#,##0.00\);&quot;–&quot;"/>
    <numFmt numFmtId="166" formatCode="dd\-mmm\-yy"/>
    <numFmt numFmtId="167" formatCode="0.0%"/>
    <numFmt numFmtId="168" formatCode="0.000"/>
    <numFmt numFmtId="169" formatCode="0.00&quot;x&quot;"/>
    <numFmt numFmtId="170" formatCode="0.0&quot; pp&quot;"/>
  </numFmts>
  <fonts count="9">
    <font>
      <sz val="11"/>
      <name val="Carlito"/>
    </font>
    <font>
      <sz val="10"/>
      <color rgb="FF18334D"/>
      <name val="Arial"/>
      <family val="2"/>
    </font>
    <font>
      <b/>
      <sz val="16"/>
      <color rgb="FF18334D"/>
      <name val="Arial"/>
      <family val="2"/>
    </font>
    <font>
      <i/>
      <sz val="10"/>
      <color rgb="FF56677A"/>
      <name val="Arial"/>
      <family val="2"/>
    </font>
    <font>
      <b/>
      <sz val="10"/>
      <color rgb="FFFFFFFF"/>
      <name val="Arial"/>
      <family val="2"/>
    </font>
    <font>
      <sz val="10"/>
      <color rgb="FF2458A4"/>
      <name val="Arial"/>
      <family val="2"/>
    </font>
    <font>
      <b/>
      <sz val="10"/>
      <color rgb="FF18334D"/>
      <name val="Arial"/>
      <family val="2"/>
    </font>
    <font>
      <i/>
      <sz val="10"/>
      <color rgb="FF18334D"/>
      <name val="Arial"/>
      <family val="2"/>
    </font>
    <font>
      <b/>
      <sz val="10"/>
      <color rgb="FF2458A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334D"/>
      </patternFill>
    </fill>
    <fill>
      <patternFill patternType="solid">
        <fgColor rgb="FFFFF0D0"/>
      </patternFill>
    </fill>
    <fill>
      <patternFill patternType="solid">
        <fgColor rgb="FF18334D"/>
      </patternFill>
    </fill>
  </fills>
  <borders count="2">
    <border>
      <left/>
      <right/>
      <top/>
      <bottom/>
      <diagonal/>
    </border>
    <border>
      <left/>
      <right/>
      <top/>
      <bottom style="thin">
        <color rgb="FF34699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164" fontId="1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5" fillId="0" borderId="0" xfId="0" applyFont="1"/>
    <xf numFmtId="168" fontId="1" fillId="0" borderId="0" xfId="0" applyNumberFormat="1" applyFont="1"/>
    <xf numFmtId="1" fontId="1" fillId="0" borderId="0" xfId="0" applyNumberFormat="1" applyFont="1"/>
    <xf numFmtId="169" fontId="1" fillId="0" borderId="0" xfId="0" applyNumberFormat="1" applyFont="1"/>
    <xf numFmtId="3" fontId="1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169" fontId="6" fillId="0" borderId="0" xfId="0" applyNumberFormat="1" applyFont="1"/>
    <xf numFmtId="0" fontId="6" fillId="0" borderId="0" xfId="0" applyFont="1"/>
    <xf numFmtId="165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8" fillId="3" borderId="0" xfId="0" applyNumberFormat="1" applyFont="1" applyFill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17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font>
        <color rgb="FFA33131"/>
      </font>
      <fill>
        <patternFill patternType="solid">
          <bgColor rgb="FFFFF0D0"/>
        </patternFill>
      </fill>
    </dxf>
    <dxf>
      <font>
        <b/>
        <color rgb="FFA33131"/>
      </font>
      <fill>
        <patternFill patternType="solid">
          <bgColor rgb="FFFFF0D0"/>
        </patternFill>
      </fill>
    </dxf>
    <dxf>
      <font>
        <color rgb="FFA33131"/>
      </font>
      <fill>
        <patternFill>
          <bgColor rgb="FFFFF0D0"/>
        </patternFill>
      </fill>
    </dxf>
    <dxf>
      <font>
        <color rgb="FFA33131"/>
      </font>
      <fill>
        <patternFill>
          <bgColor rgb="FFFFF0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s-AR" sz="975">
                <a:latin typeface="Arial"/>
                <a:ea typeface="Arial"/>
                <a:cs typeface="Arial"/>
              </a:rPr>
              <a:t>Estimated IV and realized volatility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ATM IV</c:v>
          </c:tx>
          <c:spPr>
            <a:ln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Overview!$A$21:$A$39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Overview!$B$21:$B$39</c:f>
              <c:numCache>
                <c:formatCode>0.0%</c:formatCode>
                <c:ptCount val="19"/>
                <c:pt idx="0">
                  <c:v>0.46627794213313267</c:v>
                </c:pt>
                <c:pt idx="1">
                  <c:v>0.44626193408776221</c:v>
                </c:pt>
                <c:pt idx="2">
                  <c:v>0.41528370328823461</c:v>
                </c:pt>
                <c:pt idx="3">
                  <c:v>0.41015452209378889</c:v>
                </c:pt>
                <c:pt idx="4">
                  <c:v>0.422104776848233</c:v>
                </c:pt>
                <c:pt idx="5">
                  <c:v>0.41442293721984708</c:v>
                </c:pt>
                <c:pt idx="6">
                  <c:v>0.43406968018295794</c:v>
                </c:pt>
                <c:pt idx="7">
                  <c:v>0.43289965929103935</c:v>
                </c:pt>
                <c:pt idx="8">
                  <c:v>0.42512126072321393</c:v>
                </c:pt>
                <c:pt idx="9">
                  <c:v>0.42328255689435174</c:v>
                </c:pt>
                <c:pt idx="10">
                  <c:v>0.41549356948983757</c:v>
                </c:pt>
                <c:pt idx="11">
                  <c:v>0.42889257005570425</c:v>
                </c:pt>
                <c:pt idx="12">
                  <c:v>0.42798840285234002</c:v>
                </c:pt>
                <c:pt idx="13">
                  <c:v>0.42348923876945233</c:v>
                </c:pt>
                <c:pt idx="14">
                  <c:v>0.4146408738366783</c:v>
                </c:pt>
                <c:pt idx="15">
                  <c:v>0.41672919404065112</c:v>
                </c:pt>
                <c:pt idx="16">
                  <c:v>0.43267190460264121</c:v>
                </c:pt>
                <c:pt idx="17">
                  <c:v>0.43034969444905624</c:v>
                </c:pt>
                <c:pt idx="18">
                  <c:v>0.43336755303262592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0F-489C-A193-4A7BE6322077}"/>
            </c:ext>
          </c:extLst>
        </c:ser>
        <c:ser>
          <c:idx val="1"/>
          <c:order val="1"/>
          <c:tx>
            <c:v>20-day RV</c:v>
          </c:tx>
          <c:spPr>
            <a:ln w="19050">
              <a:solidFill>
                <a:srgbClr val="C67B37"/>
              </a:solidFill>
              <a:prstDash val="solid"/>
            </a:ln>
          </c:spPr>
          <c:marker>
            <c:symbol val="none"/>
          </c:marker>
          <c:cat>
            <c:strRef>
              <c:f>Overview!$A$21:$A$39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Overview!$C$21:$C$39</c:f>
              <c:numCache>
                <c:formatCode>0.0%</c:formatCode>
                <c:ptCount val="19"/>
                <c:pt idx="0">
                  <c:v>0.3043009149378666</c:v>
                </c:pt>
                <c:pt idx="1">
                  <c:v>0.36708142801383703</c:v>
                </c:pt>
                <c:pt idx="2">
                  <c:v>0.37334687770096486</c:v>
                </c:pt>
                <c:pt idx="3">
                  <c:v>0.37235223127609585</c:v>
                </c:pt>
                <c:pt idx="4">
                  <c:v>0.3779302737083981</c:v>
                </c:pt>
                <c:pt idx="5">
                  <c:v>0.35592248320745584</c:v>
                </c:pt>
                <c:pt idx="6">
                  <c:v>0.37882770491834039</c:v>
                </c:pt>
                <c:pt idx="7">
                  <c:v>0.37698529812770298</c:v>
                </c:pt>
                <c:pt idx="8">
                  <c:v>0.37387495069679266</c:v>
                </c:pt>
                <c:pt idx="9">
                  <c:v>0.37398561841843314</c:v>
                </c:pt>
                <c:pt idx="10">
                  <c:v>0.35609756752906951</c:v>
                </c:pt>
                <c:pt idx="11">
                  <c:v>0.35655002592182145</c:v>
                </c:pt>
                <c:pt idx="12">
                  <c:v>0.35879322524285145</c:v>
                </c:pt>
                <c:pt idx="13">
                  <c:v>0.32323907599693874</c:v>
                </c:pt>
                <c:pt idx="14">
                  <c:v>0.32433464035857279</c:v>
                </c:pt>
                <c:pt idx="15">
                  <c:v>0.33069086224767691</c:v>
                </c:pt>
                <c:pt idx="16">
                  <c:v>0.31652405946810369</c:v>
                </c:pt>
                <c:pt idx="17">
                  <c:v>0.30376472118132403</c:v>
                </c:pt>
                <c:pt idx="18">
                  <c:v>0.29834284170254033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F-489C-A193-4A7BE6322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s-AR" sz="975">
                <a:latin typeface="Arial"/>
                <a:ea typeface="Arial"/>
                <a:cs typeface="Arial"/>
              </a:rPr>
              <a:t>Butterfly expiration payoff (ARS per share)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P&amp;L / share</c:v>
          </c:tx>
          <c:spPr>
            <a:ln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numRef>
              <c:f>Overview!$A$73:$A$97</c:f>
              <c:numCache>
                <c:formatCode>#,##0.00;\(#,##0.00\);"–"</c:formatCode>
                <c:ptCount val="25"/>
                <c:pt idx="0">
                  <c:v>6200</c:v>
                </c:pt>
                <c:pt idx="1">
                  <c:v>6250</c:v>
                </c:pt>
                <c:pt idx="2">
                  <c:v>6300</c:v>
                </c:pt>
                <c:pt idx="3">
                  <c:v>6350</c:v>
                </c:pt>
                <c:pt idx="4">
                  <c:v>6400</c:v>
                </c:pt>
                <c:pt idx="5">
                  <c:v>6450</c:v>
                </c:pt>
                <c:pt idx="6">
                  <c:v>6500</c:v>
                </c:pt>
                <c:pt idx="7">
                  <c:v>6550</c:v>
                </c:pt>
                <c:pt idx="8">
                  <c:v>6600</c:v>
                </c:pt>
                <c:pt idx="9">
                  <c:v>6650</c:v>
                </c:pt>
                <c:pt idx="10">
                  <c:v>6700</c:v>
                </c:pt>
                <c:pt idx="11">
                  <c:v>6750</c:v>
                </c:pt>
                <c:pt idx="12">
                  <c:v>6800</c:v>
                </c:pt>
                <c:pt idx="13">
                  <c:v>6850</c:v>
                </c:pt>
                <c:pt idx="14">
                  <c:v>6900</c:v>
                </c:pt>
                <c:pt idx="15">
                  <c:v>6950</c:v>
                </c:pt>
                <c:pt idx="16">
                  <c:v>7000</c:v>
                </c:pt>
                <c:pt idx="17">
                  <c:v>7050</c:v>
                </c:pt>
                <c:pt idx="18">
                  <c:v>7100</c:v>
                </c:pt>
                <c:pt idx="19">
                  <c:v>7150</c:v>
                </c:pt>
                <c:pt idx="20">
                  <c:v>7200</c:v>
                </c:pt>
                <c:pt idx="21">
                  <c:v>7250</c:v>
                </c:pt>
                <c:pt idx="22">
                  <c:v>7300</c:v>
                </c:pt>
                <c:pt idx="23">
                  <c:v>7350</c:v>
                </c:pt>
                <c:pt idx="24">
                  <c:v>7400</c:v>
                </c:pt>
              </c:numCache>
            </c:numRef>
          </c:cat>
          <c:val>
            <c:numRef>
              <c:f>Overview!$B$73:$B$97</c:f>
              <c:numCache>
                <c:formatCode>#,##0.00;\(#,##0.00\);"–"</c:formatCode>
                <c:ptCount val="25"/>
                <c:pt idx="0">
                  <c:v>-15.009999999999991</c:v>
                </c:pt>
                <c:pt idx="1">
                  <c:v>-15.009999999999991</c:v>
                </c:pt>
                <c:pt idx="2">
                  <c:v>-15.009999999999991</c:v>
                </c:pt>
                <c:pt idx="3">
                  <c:v>-15.009999999999991</c:v>
                </c:pt>
                <c:pt idx="4">
                  <c:v>-15.009999999999991</c:v>
                </c:pt>
                <c:pt idx="5">
                  <c:v>-15.009999999999991</c:v>
                </c:pt>
                <c:pt idx="6">
                  <c:v>-15.009999999999991</c:v>
                </c:pt>
                <c:pt idx="7">
                  <c:v>-15.009999999999991</c:v>
                </c:pt>
                <c:pt idx="8">
                  <c:v>-15.009999999999991</c:v>
                </c:pt>
                <c:pt idx="9">
                  <c:v>34.990000000000009</c:v>
                </c:pt>
                <c:pt idx="10">
                  <c:v>84.990000000000009</c:v>
                </c:pt>
                <c:pt idx="11">
                  <c:v>134.99</c:v>
                </c:pt>
                <c:pt idx="12">
                  <c:v>184.99</c:v>
                </c:pt>
                <c:pt idx="13">
                  <c:v>134.99</c:v>
                </c:pt>
                <c:pt idx="14">
                  <c:v>84.990000000000009</c:v>
                </c:pt>
                <c:pt idx="15">
                  <c:v>34.990000000000009</c:v>
                </c:pt>
                <c:pt idx="16">
                  <c:v>-15.009999999999991</c:v>
                </c:pt>
                <c:pt idx="17">
                  <c:v>-15.009999999999991</c:v>
                </c:pt>
                <c:pt idx="18">
                  <c:v>-15.009999999999991</c:v>
                </c:pt>
                <c:pt idx="19">
                  <c:v>-15.009999999999991</c:v>
                </c:pt>
                <c:pt idx="20">
                  <c:v>-15.009999999999991</c:v>
                </c:pt>
                <c:pt idx="21">
                  <c:v>-15.009999999999991</c:v>
                </c:pt>
                <c:pt idx="22">
                  <c:v>-15.009999999999991</c:v>
                </c:pt>
                <c:pt idx="23">
                  <c:v>-15.009999999999991</c:v>
                </c:pt>
                <c:pt idx="24">
                  <c:v>-15.009999999999991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7-4A63-9817-7A1AB6605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;\(#,##0.00\);&quot;–&quot;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s-AR" sz="975">
                <a:latin typeface="Arial"/>
                <a:ea typeface="Arial"/>
                <a:cs typeface="Arial"/>
              </a:rPr>
              <a:t>Historical cost (ARS per share)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Historical cost</c:v>
          </c:tx>
          <c:spPr>
            <a:ln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trendline>
            <c:trendlineType val="linear"/>
            <c:forward val="2"/>
            <c:dispRSqr val="0"/>
            <c:dispEq val="0"/>
          </c:trendline>
          <c:trendline>
            <c:trendlineType val="linear"/>
            <c:dispRSqr val="0"/>
            <c:dispEq val="0"/>
          </c:trendline>
          <c:cat>
            <c:strRef>
              <c:f>'Ratio explorer'!$S$38:$S$56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'Ratio explorer'!$T$38:$T$56</c:f>
              <c:numCache>
                <c:formatCode>General</c:formatCode>
                <c:ptCount val="19"/>
                <c:pt idx="0">
                  <c:v>100.26999999999998</c:v>
                </c:pt>
                <c:pt idx="1">
                  <c:v>107.55999999999995</c:v>
                </c:pt>
                <c:pt idx="2">
                  <c:v>116.13999999999999</c:v>
                </c:pt>
                <c:pt idx="3">
                  <c:v>125.13999999999999</c:v>
                </c:pt>
                <c:pt idx="4">
                  <c:v>102.80000000000001</c:v>
                </c:pt>
                <c:pt idx="5">
                  <c:v>93.930000000000064</c:v>
                </c:pt>
                <c:pt idx="6">
                  <c:v>108.31999999999994</c:v>
                </c:pt>
                <c:pt idx="7">
                  <c:v>126.07999999999993</c:v>
                </c:pt>
                <c:pt idx="8">
                  <c:v>127.59000000000003</c:v>
                </c:pt>
                <c:pt idx="9">
                  <c:v>117.27999999999997</c:v>
                </c:pt>
                <c:pt idx="10">
                  <c:v>115.07999999999998</c:v>
                </c:pt>
                <c:pt idx="11">
                  <c:v>106.29000000000002</c:v>
                </c:pt>
                <c:pt idx="12">
                  <c:v>109.81</c:v>
                </c:pt>
                <c:pt idx="13">
                  <c:v>109.43000000000006</c:v>
                </c:pt>
                <c:pt idx="14">
                  <c:v>125.15999999999997</c:v>
                </c:pt>
                <c:pt idx="15">
                  <c:v>105.94999999999999</c:v>
                </c:pt>
                <c:pt idx="16">
                  <c:v>98.580000000000041</c:v>
                </c:pt>
                <c:pt idx="17">
                  <c:v>103.01999999999998</c:v>
                </c:pt>
                <c:pt idx="18">
                  <c:v>86.78000000000003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9-414B-9DA2-D09B85E49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s-AR" sz="975">
                <a:latin typeface="Arial"/>
                <a:ea typeface="Arial"/>
                <a:cs typeface="Arial"/>
              </a:rPr>
              <a:t>Historical IV by leg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Long-leg IV</c:v>
          </c:tx>
          <c:spPr>
            <a:ln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'Ratio explorer'!$S$38:$S$56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'Ratio explorer'!$U$38:$U$56</c:f>
              <c:numCache>
                <c:formatCode>General</c:formatCode>
                <c:ptCount val="19"/>
                <c:pt idx="0">
                  <c:v>0.44393323414538993</c:v>
                </c:pt>
                <c:pt idx="1">
                  <c:v>0.42251204040731716</c:v>
                </c:pt>
                <c:pt idx="2">
                  <c:v>0.3687543746264727</c:v>
                </c:pt>
                <c:pt idx="3">
                  <c:v>0.36765774951938113</c:v>
                </c:pt>
                <c:pt idx="4">
                  <c:v>0.38954597034590532</c:v>
                </c:pt>
                <c:pt idx="5">
                  <c:v>0.38728894327852403</c:v>
                </c:pt>
                <c:pt idx="6">
                  <c:v>0.39913219267692046</c:v>
                </c:pt>
                <c:pt idx="7">
                  <c:v>0.40242664449422882</c:v>
                </c:pt>
                <c:pt idx="8">
                  <c:v>0.37924934362292517</c:v>
                </c:pt>
                <c:pt idx="9">
                  <c:v>0.37750234133137006</c:v>
                </c:pt>
                <c:pt idx="10">
                  <c:v>0.38941375254594834</c:v>
                </c:pt>
                <c:pt idx="11">
                  <c:v>0.41557605139653075</c:v>
                </c:pt>
                <c:pt idx="12">
                  <c:v>0.39118078488655805</c:v>
                </c:pt>
                <c:pt idx="13">
                  <c:v>0.38094547938513457</c:v>
                </c:pt>
                <c:pt idx="14">
                  <c:v>0.35190308495038508</c:v>
                </c:pt>
                <c:pt idx="15">
                  <c:v>0.36789325135729611</c:v>
                </c:pt>
                <c:pt idx="16">
                  <c:v>0.41583221466494913</c:v>
                </c:pt>
                <c:pt idx="17">
                  <c:v>0.42515927661685099</c:v>
                </c:pt>
                <c:pt idx="18">
                  <c:v>0.40439010230283473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3-434B-917B-D7BB3D082D5B}"/>
            </c:ext>
          </c:extLst>
        </c:ser>
        <c:ser>
          <c:idx val="1"/>
          <c:order val="1"/>
          <c:tx>
            <c:v>Short-leg IV</c:v>
          </c:tx>
          <c:spPr>
            <a:ln w="19050">
              <a:solidFill>
                <a:srgbClr val="C67B37"/>
              </a:solidFill>
              <a:prstDash val="solid"/>
            </a:ln>
          </c:spPr>
          <c:marker>
            <c:symbol val="none"/>
          </c:marker>
          <c:cat>
            <c:strRef>
              <c:f>'Ratio explorer'!$S$38:$S$56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'Ratio explorer'!$V$38:$V$56</c:f>
              <c:numCache>
                <c:formatCode>General</c:formatCode>
                <c:ptCount val="19"/>
                <c:pt idx="0">
                  <c:v>0.43488737637267061</c:v>
                </c:pt>
                <c:pt idx="1">
                  <c:v>0.42841321615853312</c:v>
                </c:pt>
                <c:pt idx="2">
                  <c:v>0.37980973352066488</c:v>
                </c:pt>
                <c:pt idx="3">
                  <c:v>0.36729782545888545</c:v>
                </c:pt>
                <c:pt idx="4">
                  <c:v>0.39748351371994117</c:v>
                </c:pt>
                <c:pt idx="5">
                  <c:v>0.39881475191189764</c:v>
                </c:pt>
                <c:pt idx="6">
                  <c:v>0.41152442554611501</c:v>
                </c:pt>
                <c:pt idx="7">
                  <c:v>0.39901259711553155</c:v>
                </c:pt>
                <c:pt idx="8">
                  <c:v>0.38588835412865985</c:v>
                </c:pt>
                <c:pt idx="9">
                  <c:v>0.38797270586248733</c:v>
                </c:pt>
                <c:pt idx="10">
                  <c:v>0.39497486160441941</c:v>
                </c:pt>
                <c:pt idx="11">
                  <c:v>0.42273407148583275</c:v>
                </c:pt>
                <c:pt idx="12">
                  <c:v>0.4041019936917703</c:v>
                </c:pt>
                <c:pt idx="13">
                  <c:v>0.40296012389449731</c:v>
                </c:pt>
                <c:pt idx="14">
                  <c:v>0.36574869923644554</c:v>
                </c:pt>
                <c:pt idx="15">
                  <c:v>0.38691220729691345</c:v>
                </c:pt>
                <c:pt idx="16">
                  <c:v>0.42220472883207549</c:v>
                </c:pt>
                <c:pt idx="17">
                  <c:v>0.41177099701244996</c:v>
                </c:pt>
                <c:pt idx="18">
                  <c:v>0.41615491438905555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3-434B-917B-D7BB3D082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19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71</xdr:row>
      <xdr:rowOff>0</xdr:rowOff>
    </xdr:from>
    <xdr:to>
      <xdr:col>12</xdr:col>
      <xdr:colOff>0</xdr:colOff>
      <xdr:row>98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ailyMeasures" displayName="DailyMeasures" ref="A6:V25" totalsRowShown="0">
  <tableColumns count="22">
    <tableColumn id="1" xr3:uid="{00000000-0010-0000-0000-000001000000}" name="Date"/>
    <tableColumn id="2" xr3:uid="{00000000-0010-0000-0000-000002000000}" name="GGAL spot"/>
    <tableColumn id="3" xr3:uid="{00000000-0010-0000-0000-000003000000}" name="ATM strike"/>
    <tableColumn id="4" xr3:uid="{00000000-0010-0000-0000-000004000000}" name="Call IV"/>
    <tableColumn id="5" xr3:uid="{00000000-0010-0000-0000-000005000000}" name="Put IV"/>
    <tableColumn id="6" xr3:uid="{00000000-0010-0000-0000-000006000000}" name="ATM IV avg"/>
    <tableColumn id="7" xr3:uid="{00000000-0010-0000-0000-000007000000}" name="RV 10d"/>
    <tableColumn id="8" xr3:uid="{00000000-0010-0000-0000-000008000000}" name="RV 20d"/>
    <tableColumn id="9" xr3:uid="{00000000-0010-0000-0000-000009000000}" name="RV 60d"/>
    <tableColumn id="10" xr3:uid="{00000000-0010-0000-0000-00000A000000}" name="IV − RV20"/>
    <tableColumn id="11" xr3:uid="{00000000-0010-0000-0000-00000B000000}" name="IV / RV20"/>
    <tableColumn id="12" xr3:uid="{00000000-0010-0000-0000-00000C000000}" name="P/C IV"/>
    <tableColumn id="13" xr3:uid="{00000000-0010-0000-0000-00000D000000}" name="Call raw volume"/>
    <tableColumn id="14" xr3:uid="{00000000-0010-0000-0000-00000E000000}" name="Put raw volume"/>
    <tableColumn id="15" xr3:uid="{00000000-0010-0000-0000-00000F000000}" name="P/C raw volume"/>
    <tableColumn id="16" xr3:uid="{00000000-0010-0000-0000-000010000000}" name="25d call IV"/>
    <tableColumn id="17" xr3:uid="{00000000-0010-0000-0000-000011000000}" name="25d put IV"/>
    <tableColumn id="18" xr3:uid="{00000000-0010-0000-0000-000012000000}" name="25d skew"/>
    <tableColumn id="19" xr3:uid="{00000000-0010-0000-0000-000013000000}" name="Vol butterfly"/>
    <tableColumn id="20" xr3:uid="{00000000-0010-0000-0000-000014000000}" name="IV at 20% rate"/>
    <tableColumn id="21" xr3:uid="{00000000-0010-0000-0000-000015000000}" name="IV at 40% rate"/>
    <tableColumn id="22" xr3:uid="{00000000-0010-0000-0000-000016000000}" name="Valid IV row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storicalIV" displayName="HistoricalIV" ref="A6:R926" totalsRowShown="0">
  <tableColumns count="18">
    <tableColumn id="1" xr3:uid="{00000000-0010-0000-0100-000001000000}" name="Date"/>
    <tableColumn id="2" xr3:uid="{00000000-0010-0000-0100-000002000000}" name="Ticker"/>
    <tableColumn id="3" xr3:uid="{00000000-0010-0000-0100-000003000000}" name="Type" dataDxfId="0"/>
    <tableColumn id="4" xr3:uid="{00000000-0010-0000-0100-000004000000}" name="Strike"/>
    <tableColumn id="5" xr3:uid="{00000000-0010-0000-0100-000005000000}" name="PPI price"/>
    <tableColumn id="6" xr3:uid="{00000000-0010-0000-0100-000006000000}" name="GGAL spot"/>
    <tableColumn id="7" xr3:uid="{00000000-0010-0000-0100-000007000000}" name="Days to expiry"/>
    <tableColumn id="8" xr3:uid="{00000000-0010-0000-0100-000008000000}" name="Intrinsic"/>
    <tableColumn id="9" xr3:uid="{00000000-0010-0000-0100-000009000000}" name="Time value"/>
    <tableColumn id="10" xr3:uid="{00000000-0010-0000-0100-00000A000000}" name="K / spot"/>
    <tableColumn id="11" xr3:uid="{00000000-0010-0000-0100-00000B000000}" name="IV estimate"/>
    <tableColumn id="12" xr3:uid="{00000000-0010-0000-0100-00000C000000}" name="BS delta"/>
    <tableColumn id="13" xr3:uid="{00000000-0010-0000-0100-00000D000000}" name="BS vega / 1pp"/>
    <tableColumn id="14" xr3:uid="{00000000-0010-0000-0100-00000E000000}" name="Raw volume"/>
    <tableColumn id="15" xr3:uid="{00000000-0010-0000-0100-00000F000000}" name="Low"/>
    <tableColumn id="16" xr3:uid="{00000000-0010-0000-0100-000010000000}" name="High"/>
    <tableColumn id="17" xr3:uid="{00000000-0010-0000-0100-000011000000}" name="Data status"/>
    <tableColumn id="18" xr3:uid="{00000000-0010-0000-0100-000012000000}" name="Source ro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preadHistory" displayName="SpreadHistory" ref="A6:T1653" totalsRowShown="0">
  <tableColumns count="20">
    <tableColumn id="1" xr3:uid="{00000000-0010-0000-0200-000001000000}" name="Date"/>
    <tableColumn id="2" xr3:uid="{00000000-0010-0000-0200-000002000000}" name="Strategy"/>
    <tableColumn id="3" xr3:uid="{00000000-0010-0000-0200-000003000000}" name="Type"/>
    <tableColumn id="4" xr3:uid="{00000000-0010-0000-0200-000004000000}" name="Long strike 1"/>
    <tableColumn id="5" xr3:uid="{00000000-0010-0000-0200-000005000000}" name="Short strike 2 (x2)"/>
    <tableColumn id="6" xr3:uid="{00000000-0010-0000-0200-000006000000}" name="Long strike 3"/>
    <tableColumn id="7" xr3:uid="{00000000-0010-0000-0200-000007000000}" name="Premium 1"/>
    <tableColumn id="8" xr3:uid="{00000000-0010-0000-0200-000008000000}" name="Premium 2"/>
    <tableColumn id="9" xr3:uid="{00000000-0010-0000-0200-000009000000}" name="Premium 3"/>
    <tableColumn id="10" xr3:uid="{00000000-0010-0000-0200-00000A000000}" name="Net debit / share"/>
    <tableColumn id="11" xr3:uid="{00000000-0010-0000-0200-00000B000000}" name="Strike width"/>
    <tableColumn id="12" xr3:uid="{00000000-0010-0000-0200-00000C000000}" name="Peak P&amp;L / share"/>
    <tableColumn id="13" xr3:uid="{00000000-0010-0000-0200-00000D000000}" name="Max loss / share"/>
    <tableColumn id="14" xr3:uid="{00000000-0010-0000-0200-00000E000000}" name="Lower breakeven"/>
    <tableColumn id="15" xr3:uid="{00000000-0010-0000-0200-00000F000000}" name="Upper breakeven"/>
    <tableColumn id="16" xr3:uid="{00000000-0010-0000-0200-000010000000}" name="Peak / debit"/>
    <tableColumn id="17" xr3:uid="{00000000-0010-0000-0200-000011000000}" name="Net debit / set"/>
    <tableColumn id="18" xr3:uid="{00000000-0010-0000-0200-000012000000}" name="Data status"/>
    <tableColumn id="19" xr3:uid="{00000000-0010-0000-0200-000013000000}" name="Long leg source"/>
    <tableColumn id="20" xr3:uid="{00000000-0010-0000-0200-000014000000}" name="Short leg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SourceOptions" displayName="SourceOptions" ref="A6:L926" totalsRowShown="0">
  <tableColumns count="12">
    <tableColumn id="1" xr3:uid="{00000000-0010-0000-0300-000001000000}" name="Session date"/>
    <tableColumn id="2" xr3:uid="{00000000-0010-0000-0300-000002000000}" name="price (PPI)"/>
    <tableColumn id="3" xr3:uid="{00000000-0010-0000-0300-000003000000}" name="volume (PPI)"/>
    <tableColumn id="4" xr3:uid="{00000000-0010-0000-0300-000004000000}" name="openingPrice"/>
    <tableColumn id="5" xr3:uid="{00000000-0010-0000-0300-000005000000}" name="Closing price (cached)"/>
    <tableColumn id="6" xr3:uid="{00000000-0010-0000-0300-000006000000}" name="max"/>
    <tableColumn id="7" xr3:uid="{00000000-0010-0000-0300-000007000000}" name="min"/>
    <tableColumn id="8" xr3:uid="{00000000-0010-0000-0300-000008000000}" name="previousClose"/>
    <tableColumn id="9" xr3:uid="{00000000-0010-0000-0300-000009000000}" name="marketChange"/>
    <tableColumn id="10" xr3:uid="{00000000-0010-0000-0300-00000A000000}" name="marketChangePercent"/>
    <tableColumn id="11" xr3:uid="{00000000-0010-0000-0300-00000B000000}" name="ticker"/>
    <tableColumn id="12" xr3:uid="{00000000-0010-0000-0300-00000C000000}" name="Closing price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34D"/>
  </sheetPr>
  <dimension ref="A1:L97"/>
  <sheetViews>
    <sheetView showGridLines="0" topLeftCell="A89" workbookViewId="0"/>
  </sheetViews>
  <sheetFormatPr defaultRowHeight="13.8"/>
  <cols>
    <col min="1" max="1" width="27" customWidth="1"/>
    <col min="2" max="2" width="20" customWidth="1"/>
    <col min="3" max="12" width="13" customWidth="1"/>
  </cols>
  <sheetData>
    <row r="1" spans="1:12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1" customHeight="1">
      <c r="A4" s="4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0.049999999999997" customHeight="1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1"/>
      <c r="H6" s="1"/>
      <c r="I6" s="1"/>
      <c r="J6" s="1"/>
      <c r="K6" s="1"/>
      <c r="L6" s="1"/>
    </row>
    <row r="7" spans="1:12" ht="31.95" customHeight="1">
      <c r="A7" s="17">
        <f>'Daily volatility'!A25</f>
        <v>46281</v>
      </c>
      <c r="B7" s="18">
        <f>'Daily volatility'!B25</f>
        <v>6760</v>
      </c>
      <c r="C7" s="18">
        <f>'Daily volatility'!C25</f>
        <v>6800</v>
      </c>
      <c r="D7" s="19">
        <f>'Daily volatility'!F25</f>
        <v>0.43336755303262592</v>
      </c>
      <c r="E7" s="19">
        <f>'Daily volatility'!H25</f>
        <v>0.29834284170254033</v>
      </c>
      <c r="F7" s="20">
        <f>'Daily volatility'!K25</f>
        <v>1.4525823732171546</v>
      </c>
      <c r="G7" s="1"/>
      <c r="H7" s="1"/>
      <c r="I7" s="1"/>
      <c r="J7" s="1"/>
      <c r="K7" s="1"/>
      <c r="L7" s="1"/>
    </row>
    <row r="8" spans="1:12" ht="2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>
      <c r="A10" s="21" t="s">
        <v>8</v>
      </c>
      <c r="B10" s="1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>
      <c r="A11" s="21" t="s">
        <v>10</v>
      </c>
      <c r="B11" s="1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1" customHeight="1">
      <c r="A12" s="21" t="s">
        <v>12</v>
      </c>
      <c r="B12" s="1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" customHeight="1">
      <c r="A13" s="21" t="s">
        <v>14</v>
      </c>
      <c r="B13" s="1" t="s">
        <v>15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1" customHeight="1">
      <c r="A14" s="21" t="s">
        <v>16</v>
      </c>
      <c r="B14" s="1" t="s">
        <v>17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>
      <c r="A15" s="21" t="s">
        <v>18</v>
      </c>
      <c r="B15" s="1" t="s">
        <v>19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>
      <c r="A16" s="21" t="s">
        <v>20</v>
      </c>
      <c r="B16" s="1" t="s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40.049999999999997" customHeight="1">
      <c r="A20" s="6" t="s">
        <v>22</v>
      </c>
      <c r="B20" s="6" t="s">
        <v>5</v>
      </c>
      <c r="C20" s="6" t="s">
        <v>6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21" customHeight="1">
      <c r="A21" s="1" t="str">
        <f>TEXT('Daily volatility'!A7,"dd-mmm")</f>
        <v>21-ago</v>
      </c>
      <c r="B21" s="9">
        <f>'Daily volatility'!F7</f>
        <v>0.46627794213313267</v>
      </c>
      <c r="C21" s="9">
        <f>'Daily volatility'!H7</f>
        <v>0.3043009149378666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ht="21" customHeight="1">
      <c r="A22" s="1" t="str">
        <f>TEXT('Daily volatility'!A8,"dd-mmm")</f>
        <v>24-ago</v>
      </c>
      <c r="B22" s="9">
        <f>'Daily volatility'!F8</f>
        <v>0.44626193408776221</v>
      </c>
      <c r="C22" s="9">
        <f>'Daily volatility'!H8</f>
        <v>0.36708142801383703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ht="21" customHeight="1">
      <c r="A23" s="1" t="str">
        <f>TEXT('Daily volatility'!A9,"dd-mmm")</f>
        <v>25-ago</v>
      </c>
      <c r="B23" s="9">
        <f>'Daily volatility'!F9</f>
        <v>0.41528370328823461</v>
      </c>
      <c r="C23" s="9">
        <f>'Daily volatility'!H9</f>
        <v>0.37334687770096486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ht="21" customHeight="1">
      <c r="A24" s="1" t="str">
        <f>TEXT('Daily volatility'!A10,"dd-mmm")</f>
        <v>26-ago</v>
      </c>
      <c r="B24" s="9">
        <f>'Daily volatility'!F10</f>
        <v>0.41015452209378889</v>
      </c>
      <c r="C24" s="9">
        <f>'Daily volatility'!H10</f>
        <v>0.37235223127609585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ht="21" customHeight="1">
      <c r="A25" s="1" t="str">
        <f>TEXT('Daily volatility'!A11,"dd-mmm")</f>
        <v>27-ago</v>
      </c>
      <c r="B25" s="9">
        <f>'Daily volatility'!F11</f>
        <v>0.422104776848233</v>
      </c>
      <c r="C25" s="9">
        <f>'Daily volatility'!H11</f>
        <v>0.3779302737083981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ht="21" customHeight="1">
      <c r="A26" s="1" t="str">
        <f>TEXT('Daily volatility'!A12,"dd-mmm")</f>
        <v>28-ago</v>
      </c>
      <c r="B26" s="9">
        <f>'Daily volatility'!F12</f>
        <v>0.41442293721984708</v>
      </c>
      <c r="C26" s="9">
        <f>'Daily volatility'!H12</f>
        <v>0.35592248320745584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ht="21" customHeight="1">
      <c r="A27" s="1" t="str">
        <f>TEXT('Daily volatility'!A13,"dd-mmm")</f>
        <v>31-ago</v>
      </c>
      <c r="B27" s="9">
        <f>'Daily volatility'!F13</f>
        <v>0.43406968018295794</v>
      </c>
      <c r="C27" s="9">
        <f>'Daily volatility'!H13</f>
        <v>0.37882770491834039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ht="21" customHeight="1">
      <c r="A28" s="1" t="str">
        <f>TEXT('Daily volatility'!A14,"dd-mmm")</f>
        <v>01-sep</v>
      </c>
      <c r="B28" s="9">
        <f>'Daily volatility'!F14</f>
        <v>0.43289965929103935</v>
      </c>
      <c r="C28" s="9">
        <f>'Daily volatility'!H14</f>
        <v>0.37698529812770298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ht="21" customHeight="1">
      <c r="A29" s="1" t="str">
        <f>TEXT('Daily volatility'!A15,"dd-mmm")</f>
        <v>02-sep</v>
      </c>
      <c r="B29" s="9">
        <f>'Daily volatility'!F15</f>
        <v>0.42512126072321393</v>
      </c>
      <c r="C29" s="9">
        <f>'Daily volatility'!H15</f>
        <v>0.37387495069679266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 ht="21" customHeight="1">
      <c r="A30" s="1" t="str">
        <f>TEXT('Daily volatility'!A16,"dd-mmm")</f>
        <v>03-sep</v>
      </c>
      <c r="B30" s="9">
        <f>'Daily volatility'!F16</f>
        <v>0.42328255689435174</v>
      </c>
      <c r="C30" s="9">
        <f>'Daily volatility'!H16</f>
        <v>0.37398561841843314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 ht="21" customHeight="1">
      <c r="A31" s="1" t="str">
        <f>TEXT('Daily volatility'!A17,"dd-mmm")</f>
        <v>04-sep</v>
      </c>
      <c r="B31" s="9">
        <f>'Daily volatility'!F17</f>
        <v>0.41549356948983757</v>
      </c>
      <c r="C31" s="9">
        <f>'Daily volatility'!H17</f>
        <v>0.35609756752906951</v>
      </c>
      <c r="D31" s="1"/>
      <c r="E31" s="1"/>
      <c r="F31" s="1"/>
      <c r="G31" s="1"/>
      <c r="H31" s="1"/>
      <c r="I31" s="1"/>
      <c r="J31" s="1"/>
      <c r="K31" s="1"/>
      <c r="L31" s="1"/>
    </row>
    <row r="32" spans="1:12" ht="21" customHeight="1">
      <c r="A32" s="1" t="str">
        <f>TEXT('Daily volatility'!A18,"dd-mmm")</f>
        <v>07-sep</v>
      </c>
      <c r="B32" s="9">
        <f>'Daily volatility'!F18</f>
        <v>0.42889257005570425</v>
      </c>
      <c r="C32" s="9">
        <f>'Daily volatility'!H18</f>
        <v>0.35655002592182145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ht="21" customHeight="1">
      <c r="A33" s="1" t="str">
        <f>TEXT('Daily volatility'!A19,"dd-mmm")</f>
        <v>08-sep</v>
      </c>
      <c r="B33" s="9">
        <f>'Daily volatility'!F19</f>
        <v>0.42798840285234002</v>
      </c>
      <c r="C33" s="9">
        <f>'Daily volatility'!H19</f>
        <v>0.35879322524285145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ht="21" customHeight="1">
      <c r="A34" s="1" t="str">
        <f>TEXT('Daily volatility'!A20,"dd-mmm")</f>
        <v>09-sep</v>
      </c>
      <c r="B34" s="9">
        <f>'Daily volatility'!F20</f>
        <v>0.42348923876945233</v>
      </c>
      <c r="C34" s="9">
        <f>'Daily volatility'!H20</f>
        <v>0.32323907599693874</v>
      </c>
      <c r="D34" s="1"/>
      <c r="E34" s="1"/>
      <c r="F34" s="1"/>
      <c r="G34" s="1"/>
      <c r="H34" s="1"/>
      <c r="I34" s="1"/>
      <c r="J34" s="1"/>
      <c r="K34" s="1"/>
      <c r="L34" s="1"/>
    </row>
    <row r="35" spans="1:12" ht="21" customHeight="1">
      <c r="A35" s="1" t="str">
        <f>TEXT('Daily volatility'!A21,"dd-mmm")</f>
        <v>10-sep</v>
      </c>
      <c r="B35" s="9">
        <f>'Daily volatility'!F21</f>
        <v>0.4146408738366783</v>
      </c>
      <c r="C35" s="9">
        <f>'Daily volatility'!H21</f>
        <v>0.32433464035857279</v>
      </c>
      <c r="D35" s="1"/>
      <c r="E35" s="1"/>
      <c r="F35" s="1"/>
      <c r="G35" s="1"/>
      <c r="H35" s="1"/>
      <c r="I35" s="1"/>
      <c r="J35" s="1"/>
      <c r="K35" s="1"/>
      <c r="L35" s="1"/>
    </row>
    <row r="36" spans="1:12" ht="21" customHeight="1">
      <c r="A36" s="1" t="str">
        <f>TEXT('Daily volatility'!A22,"dd-mmm")</f>
        <v>11-sep</v>
      </c>
      <c r="B36" s="9">
        <f>'Daily volatility'!F22</f>
        <v>0.41672919404065112</v>
      </c>
      <c r="C36" s="9">
        <f>'Daily volatility'!H22</f>
        <v>0.33069086224767691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ht="21" customHeight="1">
      <c r="A37" s="1" t="str">
        <f>TEXT('Daily volatility'!A23,"dd-mmm")</f>
        <v>14-sep</v>
      </c>
      <c r="B37" s="9">
        <f>'Daily volatility'!F23</f>
        <v>0.43267190460264121</v>
      </c>
      <c r="C37" s="9">
        <f>'Daily volatility'!H23</f>
        <v>0.31652405946810369</v>
      </c>
      <c r="D37" s="1"/>
      <c r="E37" s="1"/>
      <c r="F37" s="1"/>
      <c r="G37" s="1"/>
      <c r="H37" s="1"/>
      <c r="I37" s="1"/>
      <c r="J37" s="1"/>
      <c r="K37" s="1"/>
      <c r="L37" s="1"/>
    </row>
    <row r="38" spans="1:12" ht="21" customHeight="1">
      <c r="A38" s="1" t="str">
        <f>TEXT('Daily volatility'!A24,"dd-mmm")</f>
        <v>15-sep</v>
      </c>
      <c r="B38" s="9">
        <f>'Daily volatility'!F24</f>
        <v>0.43034969444905624</v>
      </c>
      <c r="C38" s="9">
        <f>'Daily volatility'!H24</f>
        <v>0.30376472118132403</v>
      </c>
      <c r="D38" s="1"/>
      <c r="E38" s="1"/>
      <c r="F38" s="1"/>
      <c r="G38" s="1"/>
      <c r="H38" s="1"/>
      <c r="I38" s="1"/>
      <c r="J38" s="1"/>
      <c r="K38" s="1"/>
      <c r="L38" s="1"/>
    </row>
    <row r="39" spans="1:12" ht="21" customHeight="1">
      <c r="A39" s="1" t="str">
        <f>TEXT('Daily volatility'!A25,"dd-mmm")</f>
        <v>16-sep</v>
      </c>
      <c r="B39" s="9">
        <f>'Daily volatility'!F25</f>
        <v>0.43336755303262592</v>
      </c>
      <c r="C39" s="9">
        <f>'Daily volatility'!H25</f>
        <v>0.29834284170254033</v>
      </c>
      <c r="D39" s="1"/>
      <c r="E39" s="1"/>
      <c r="F39" s="1"/>
      <c r="G39" s="1"/>
      <c r="H39" s="1"/>
      <c r="I39" s="1"/>
      <c r="J39" s="1"/>
      <c r="K39" s="1"/>
      <c r="L39" s="1"/>
    </row>
    <row r="40" spans="1:12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40.049999999999997" customHeight="1">
      <c r="A43" s="6" t="s">
        <v>23</v>
      </c>
      <c r="B43" s="6" t="s">
        <v>24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1" customHeight="1">
      <c r="A44" s="1" t="s">
        <v>25</v>
      </c>
      <c r="B44" s="1">
        <v>88</v>
      </c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1" customHeight="1">
      <c r="A45" s="1" t="s">
        <v>26</v>
      </c>
      <c r="B45" s="1">
        <v>120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1" customHeight="1">
      <c r="A46" s="1" t="s">
        <v>27</v>
      </c>
      <c r="B46" s="1">
        <v>68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1" customHeight="1">
      <c r="A47" s="1" t="s">
        <v>28</v>
      </c>
      <c r="B47" s="1">
        <v>54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1" customHeight="1">
      <c r="A48" s="1" t="s">
        <v>29</v>
      </c>
      <c r="B48" s="1">
        <v>0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1" customHeight="1">
      <c r="A50" s="4" t="s">
        <v>30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1" customHeight="1">
      <c r="A53" s="1" t="s">
        <v>31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1" customHeight="1">
      <c r="A55" s="1" t="s">
        <v>32</v>
      </c>
      <c r="B55" s="1" t="s">
        <v>33</v>
      </c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1" customHeight="1">
      <c r="A57" s="1" t="s">
        <v>34</v>
      </c>
      <c r="B57" s="1" t="s">
        <v>35</v>
      </c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21" customHeight="1">
      <c r="A59" s="1" t="s">
        <v>36</v>
      </c>
      <c r="B59" s="1" t="s">
        <v>37</v>
      </c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21" customHeight="1">
      <c r="A65" s="21" t="s">
        <v>38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21" customHeight="1">
      <c r="A66" s="4" t="s">
        <v>39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40.049999999999997" customHeight="1">
      <c r="A68" s="6" t="s">
        <v>40</v>
      </c>
      <c r="B68" s="6" t="s">
        <v>41</v>
      </c>
      <c r="C68" s="6" t="s">
        <v>42</v>
      </c>
      <c r="D68" s="6" t="s">
        <v>43</v>
      </c>
      <c r="E68" s="6" t="s">
        <v>44</v>
      </c>
      <c r="F68" s="6" t="s">
        <v>45</v>
      </c>
      <c r="G68" s="1"/>
      <c r="H68" s="1"/>
      <c r="I68" s="1"/>
      <c r="J68" s="1"/>
      <c r="K68" s="1"/>
      <c r="L68" s="1"/>
    </row>
    <row r="69" spans="1:12" ht="21" customHeight="1">
      <c r="A69" s="7">
        <f>Strategies!J7</f>
        <v>15.009999999999991</v>
      </c>
      <c r="B69" s="7">
        <f>Strategies!L7</f>
        <v>184.99</v>
      </c>
      <c r="C69" s="7">
        <f>Strategies!M7</f>
        <v>15.009999999999991</v>
      </c>
      <c r="D69" s="7">
        <f>Strategies!N7</f>
        <v>6615.01</v>
      </c>
      <c r="E69" s="7">
        <f>Strategies!O7</f>
        <v>6984.99</v>
      </c>
      <c r="F69" s="7">
        <f>Strategies!Q7</f>
        <v>1500.9999999999991</v>
      </c>
      <c r="G69" s="1"/>
      <c r="H69" s="1"/>
      <c r="I69" s="1"/>
      <c r="J69" s="1"/>
      <c r="K69" s="1"/>
      <c r="L69" s="1"/>
    </row>
    <row r="70" spans="1:12" ht="2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40.049999999999997" customHeight="1">
      <c r="A72" s="6" t="s">
        <v>46</v>
      </c>
      <c r="B72" s="6" t="s">
        <v>47</v>
      </c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1" customHeight="1">
      <c r="A73" s="7">
        <v>6200</v>
      </c>
      <c r="B73" s="7">
        <f>MAX(A73-Strategies!D7,0)-2*MAX(A73-Strategies!E7,0)+MAX(A73-Strategies!F7,0)-$A$69</f>
        <v>-15.009999999999991</v>
      </c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1" customHeight="1">
      <c r="A74" s="7">
        <v>6250</v>
      </c>
      <c r="B74" s="7">
        <f>MAX(A74-Strategies!D7,0)-2*MAX(A74-Strategies!E7,0)+MAX(A74-Strategies!F7,0)-$A$69</f>
        <v>-15.009999999999991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1" customHeight="1">
      <c r="A75" s="7">
        <v>6300</v>
      </c>
      <c r="B75" s="7">
        <f>MAX(A75-Strategies!D7,0)-2*MAX(A75-Strategies!E7,0)+MAX(A75-Strategies!F7,0)-$A$69</f>
        <v>-15.009999999999991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1" customHeight="1">
      <c r="A76" s="7">
        <v>6350</v>
      </c>
      <c r="B76" s="7">
        <f>MAX(A76-Strategies!D7,0)-2*MAX(A76-Strategies!E7,0)+MAX(A76-Strategies!F7,0)-$A$69</f>
        <v>-15.009999999999991</v>
      </c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1" customHeight="1">
      <c r="A77" s="7">
        <v>6400</v>
      </c>
      <c r="B77" s="7">
        <f>MAX(A77-Strategies!D7,0)-2*MAX(A77-Strategies!E7,0)+MAX(A77-Strategies!F7,0)-$A$69</f>
        <v>-15.009999999999991</v>
      </c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1" customHeight="1">
      <c r="A78" s="7">
        <v>6450</v>
      </c>
      <c r="B78" s="7">
        <f>MAX(A78-Strategies!D7,0)-2*MAX(A78-Strategies!E7,0)+MAX(A78-Strategies!F7,0)-$A$69</f>
        <v>-15.009999999999991</v>
      </c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1" customHeight="1">
      <c r="A79" s="7">
        <v>6500</v>
      </c>
      <c r="B79" s="7">
        <f>MAX(A79-Strategies!D7,0)-2*MAX(A79-Strategies!E7,0)+MAX(A79-Strategies!F7,0)-$A$69</f>
        <v>-15.009999999999991</v>
      </c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21" customHeight="1">
      <c r="A80" s="7">
        <v>6550</v>
      </c>
      <c r="B80" s="7">
        <f>MAX(A80-Strategies!D7,0)-2*MAX(A80-Strategies!E7,0)+MAX(A80-Strategies!F7,0)-$A$69</f>
        <v>-15.009999999999991</v>
      </c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1" customHeight="1">
      <c r="A81" s="7">
        <v>6600</v>
      </c>
      <c r="B81" s="7">
        <f>MAX(A81-Strategies!D7,0)-2*MAX(A81-Strategies!E7,0)+MAX(A81-Strategies!F7,0)-$A$69</f>
        <v>-15.009999999999991</v>
      </c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1" customHeight="1">
      <c r="A82" s="7">
        <v>6650</v>
      </c>
      <c r="B82" s="7">
        <f>MAX(A82-Strategies!D7,0)-2*MAX(A82-Strategies!E7,0)+MAX(A82-Strategies!F7,0)-$A$69</f>
        <v>34.990000000000009</v>
      </c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21" customHeight="1">
      <c r="A83" s="7">
        <v>6700</v>
      </c>
      <c r="B83" s="7">
        <f>MAX(A83-Strategies!D7,0)-2*MAX(A83-Strategies!E7,0)+MAX(A83-Strategies!F7,0)-$A$69</f>
        <v>84.990000000000009</v>
      </c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21" customHeight="1">
      <c r="A84" s="7">
        <v>6750</v>
      </c>
      <c r="B84" s="7">
        <f>MAX(A84-Strategies!D7,0)-2*MAX(A84-Strategies!E7,0)+MAX(A84-Strategies!F7,0)-$A$69</f>
        <v>134.99</v>
      </c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21" customHeight="1">
      <c r="A85" s="7">
        <v>6800</v>
      </c>
      <c r="B85" s="7">
        <f>MAX(A85-Strategies!D7,0)-2*MAX(A85-Strategies!E7,0)+MAX(A85-Strategies!F7,0)-$A$69</f>
        <v>184.99</v>
      </c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21" customHeight="1">
      <c r="A86" s="7">
        <v>6850</v>
      </c>
      <c r="B86" s="7">
        <f>MAX(A86-Strategies!D7,0)-2*MAX(A86-Strategies!E7,0)+MAX(A86-Strategies!F7,0)-$A$69</f>
        <v>134.99</v>
      </c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21" customHeight="1">
      <c r="A87" s="7">
        <v>6900</v>
      </c>
      <c r="B87" s="7">
        <f>MAX(A87-Strategies!D7,0)-2*MAX(A87-Strategies!E7,0)+MAX(A87-Strategies!F7,0)-$A$69</f>
        <v>84.990000000000009</v>
      </c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21" customHeight="1">
      <c r="A88" s="7">
        <v>6950</v>
      </c>
      <c r="B88" s="7">
        <f>MAX(A88-Strategies!D7,0)-2*MAX(A88-Strategies!E7,0)+MAX(A88-Strategies!F7,0)-$A$69</f>
        <v>34.990000000000009</v>
      </c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21" customHeight="1">
      <c r="A89" s="7">
        <v>7000</v>
      </c>
      <c r="B89" s="7">
        <f>MAX(A89-Strategies!D7,0)-2*MAX(A89-Strategies!E7,0)+MAX(A89-Strategies!F7,0)-$A$69</f>
        <v>-15.009999999999991</v>
      </c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21" customHeight="1">
      <c r="A90" s="7">
        <v>7050</v>
      </c>
      <c r="B90" s="7">
        <f>MAX(A90-Strategies!D7,0)-2*MAX(A90-Strategies!E7,0)+MAX(A90-Strategies!F7,0)-$A$69</f>
        <v>-15.009999999999991</v>
      </c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21" customHeight="1">
      <c r="A91" s="7">
        <v>7100</v>
      </c>
      <c r="B91" s="7">
        <f>MAX(A91-Strategies!D7,0)-2*MAX(A91-Strategies!E7,0)+MAX(A91-Strategies!F7,0)-$A$69</f>
        <v>-15.009999999999991</v>
      </c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21" customHeight="1">
      <c r="A92" s="7">
        <v>7150</v>
      </c>
      <c r="B92" s="7">
        <f>MAX(A92-Strategies!D7,0)-2*MAX(A92-Strategies!E7,0)+MAX(A92-Strategies!F7,0)-$A$69</f>
        <v>-15.009999999999991</v>
      </c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21" customHeight="1">
      <c r="A93" s="7">
        <v>7200</v>
      </c>
      <c r="B93" s="7">
        <f>MAX(A93-Strategies!D7,0)-2*MAX(A93-Strategies!E7,0)+MAX(A93-Strategies!F7,0)-$A$69</f>
        <v>-15.009999999999991</v>
      </c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21" customHeight="1">
      <c r="A94" s="7">
        <v>7250</v>
      </c>
      <c r="B94" s="7">
        <f>MAX(A94-Strategies!D7,0)-2*MAX(A94-Strategies!E7,0)+MAX(A94-Strategies!F7,0)-$A$69</f>
        <v>-15.009999999999991</v>
      </c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21" customHeight="1">
      <c r="A95" s="7">
        <v>7300</v>
      </c>
      <c r="B95" s="7">
        <f>MAX(A95-Strategies!D7,0)-2*MAX(A95-Strategies!E7,0)+MAX(A95-Strategies!F7,0)-$A$69</f>
        <v>-15.009999999999991</v>
      </c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22">
        <v>7350</v>
      </c>
      <c r="B96" s="22">
        <f>MAX(A96-Strategies!D7,0)-2*MAX(A96-Strategies!E7,0)+MAX(A96-Strategies!F7,0)-$A$69</f>
        <v>-15.009999999999991</v>
      </c>
    </row>
    <row r="97" spans="1:2">
      <c r="A97" s="22">
        <v>7400</v>
      </c>
      <c r="B97" s="22">
        <f>MAX(A97-Strategies!D7,0)-2*MAX(A97-Strategies!E7,0)+MAX(A97-Strategies!F7,0)-$A$69</f>
        <v>-15.009999999999991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"/>
  <sheetViews>
    <sheetView showGridLines="0" topLeftCell="N1" workbookViewId="0">
      <pane ySplit="6" topLeftCell="A7" activePane="bottomLeft" state="frozen"/>
      <selection pane="bottomLeft"/>
    </sheetView>
  </sheetViews>
  <sheetFormatPr defaultRowHeight="13.8"/>
  <cols>
    <col min="1" max="22" width="15" customWidth="1"/>
  </cols>
  <sheetData>
    <row r="1" spans="1:22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>
      <c r="A2" s="2" t="s">
        <v>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>
      <c r="A4" s="4" t="s">
        <v>49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0.049999999999997" customHeight="1">
      <c r="A6" s="6" t="s">
        <v>22</v>
      </c>
      <c r="B6" s="6" t="s">
        <v>3</v>
      </c>
      <c r="C6" s="6" t="s">
        <v>4</v>
      </c>
      <c r="D6" s="6" t="s">
        <v>50</v>
      </c>
      <c r="E6" s="6" t="s">
        <v>51</v>
      </c>
      <c r="F6" s="6" t="s">
        <v>52</v>
      </c>
      <c r="G6" s="6" t="s">
        <v>53</v>
      </c>
      <c r="H6" s="6" t="s">
        <v>54</v>
      </c>
      <c r="I6" s="6" t="s">
        <v>55</v>
      </c>
      <c r="J6" s="6" t="s">
        <v>56</v>
      </c>
      <c r="K6" s="6" t="s">
        <v>7</v>
      </c>
      <c r="L6" s="6" t="s">
        <v>57</v>
      </c>
      <c r="M6" s="6" t="s">
        <v>58</v>
      </c>
      <c r="N6" s="6" t="s">
        <v>59</v>
      </c>
      <c r="O6" s="6" t="s">
        <v>60</v>
      </c>
      <c r="P6" s="6" t="s">
        <v>61</v>
      </c>
      <c r="Q6" s="6" t="s">
        <v>62</v>
      </c>
      <c r="R6" s="6" t="s">
        <v>63</v>
      </c>
      <c r="S6" s="6" t="s">
        <v>64</v>
      </c>
      <c r="T6" s="6" t="s">
        <v>65</v>
      </c>
      <c r="U6" s="6" t="s">
        <v>66</v>
      </c>
      <c r="V6" s="6" t="s">
        <v>67</v>
      </c>
    </row>
    <row r="7" spans="1:22" ht="21" customHeight="1">
      <c r="A7" s="8">
        <v>46255</v>
      </c>
      <c r="B7" s="7">
        <v>6620</v>
      </c>
      <c r="C7" s="7">
        <v>6600</v>
      </c>
      <c r="D7" s="9">
        <v>0.45037439699872034</v>
      </c>
      <c r="E7" s="9">
        <v>0.48218148726754506</v>
      </c>
      <c r="F7" s="9">
        <v>0.46627794213313267</v>
      </c>
      <c r="G7" s="9">
        <v>0.32282221057826965</v>
      </c>
      <c r="H7" s="9">
        <v>0.3043009149378666</v>
      </c>
      <c r="I7" s="9"/>
      <c r="J7" s="9">
        <f t="shared" ref="J7:J25" si="0">IF(F7="","n.a.",F7-H7)</f>
        <v>0.16197702719526608</v>
      </c>
      <c r="K7" s="15">
        <f t="shared" ref="K7:K25" si="1">IF(F7="","n.a.",F7/H7)</f>
        <v>1.5322922779523658</v>
      </c>
      <c r="L7" s="15">
        <f t="shared" ref="L7:L25" si="2">IF(D7="","n.a.",E7/D7)</f>
        <v>1.0706236644018534</v>
      </c>
      <c r="M7" s="16">
        <f>SUMIFS('IV history'!$N$7:$N$926,'IV history'!$A$7:$A$926,A7,'IV history'!$C$7:$C$926,"call")</f>
        <v>1070590181.12</v>
      </c>
      <c r="N7" s="16">
        <f>SUMIFS('IV history'!$N$7:$N$926,'IV history'!$A$7:$A$926,A7,'IV history'!$C$7:$C$926,"put")</f>
        <v>385483924.58999997</v>
      </c>
      <c r="O7" s="15">
        <f t="shared" ref="O7:O25" si="3">IF(M7=0,"n.a.",N7/M7)</f>
        <v>0.36006674765756325</v>
      </c>
      <c r="P7" s="9">
        <v>0.44361665685792429</v>
      </c>
      <c r="Q7" s="9">
        <v>0.46679113457903221</v>
      </c>
      <c r="R7" s="9">
        <f t="shared" ref="R7:R25" si="4">IF(OR(P7="",Q7=""),"n.a.",Q7-P7)</f>
        <v>2.3174477721107922E-2</v>
      </c>
      <c r="S7" s="9">
        <f t="shared" ref="S7:S25" si="5">IF(OR(P7="",Q7="",F7=""),"n.a.",(P7+Q7)/2-F7)</f>
        <v>-1.1074046414654426E-2</v>
      </c>
      <c r="T7" s="9">
        <v>0.47717651803491379</v>
      </c>
      <c r="U7" s="9">
        <v>0.45077854497095504</v>
      </c>
      <c r="V7" s="1">
        <v>31</v>
      </c>
    </row>
    <row r="8" spans="1:22" ht="21" customHeight="1">
      <c r="A8" s="8">
        <v>46258</v>
      </c>
      <c r="B8" s="7">
        <v>6950</v>
      </c>
      <c r="C8" s="7">
        <v>7000</v>
      </c>
      <c r="D8" s="9">
        <v>0.42841321615853312</v>
      </c>
      <c r="E8" s="9">
        <v>0.46411065201699131</v>
      </c>
      <c r="F8" s="9">
        <v>0.44626193408776221</v>
      </c>
      <c r="G8" s="9">
        <v>0.44037521832231946</v>
      </c>
      <c r="H8" s="9">
        <v>0.36708142801383703</v>
      </c>
      <c r="I8" s="9"/>
      <c r="J8" s="9">
        <f t="shared" si="0"/>
        <v>7.9180506073925183E-2</v>
      </c>
      <c r="K8" s="15">
        <f t="shared" si="1"/>
        <v>1.2157028387471036</v>
      </c>
      <c r="L8" s="15">
        <f t="shared" si="2"/>
        <v>1.0833247773692594</v>
      </c>
      <c r="M8" s="16">
        <f>SUMIFS('IV history'!$N$7:$N$926,'IV history'!$A$7:$A$926,A8,'IV history'!$C$7:$C$926,"call")</f>
        <v>3675438355.3699999</v>
      </c>
      <c r="N8" s="16">
        <f>SUMIFS('IV history'!$N$7:$N$926,'IV history'!$A$7:$A$926,A8,'IV history'!$C$7:$C$926,"put")</f>
        <v>1720360522.6999998</v>
      </c>
      <c r="O8" s="15">
        <f t="shared" si="3"/>
        <v>0.46806948079715899</v>
      </c>
      <c r="P8" s="9">
        <v>0.42823891766593547</v>
      </c>
      <c r="Q8" s="9">
        <v>0.46651875536470971</v>
      </c>
      <c r="R8" s="9">
        <f t="shared" si="4"/>
        <v>3.8279837698774244E-2</v>
      </c>
      <c r="S8" s="9">
        <f t="shared" si="5"/>
        <v>1.1169024275604067E-3</v>
      </c>
      <c r="T8" s="9">
        <v>0.45550844543310759</v>
      </c>
      <c r="U8" s="9">
        <v>0.43283677206692595</v>
      </c>
      <c r="V8" s="1">
        <v>34</v>
      </c>
    </row>
    <row r="9" spans="1:22" ht="21" customHeight="1">
      <c r="A9" s="8">
        <v>46259</v>
      </c>
      <c r="B9" s="7">
        <v>7075</v>
      </c>
      <c r="C9" s="7">
        <v>7000</v>
      </c>
      <c r="D9" s="9">
        <v>0.37980973352066488</v>
      </c>
      <c r="E9" s="9">
        <v>0.45075767305580433</v>
      </c>
      <c r="F9" s="9">
        <v>0.41528370328823461</v>
      </c>
      <c r="G9" s="9">
        <v>0.45248560765578116</v>
      </c>
      <c r="H9" s="9">
        <v>0.37334687770096486</v>
      </c>
      <c r="I9" s="9"/>
      <c r="J9" s="9">
        <f t="shared" si="0"/>
        <v>4.1936825587269744E-2</v>
      </c>
      <c r="K9" s="15">
        <f t="shared" si="1"/>
        <v>1.1123267076599457</v>
      </c>
      <c r="L9" s="15">
        <f t="shared" si="2"/>
        <v>1.1867986343516899</v>
      </c>
      <c r="M9" s="16">
        <f>SUMIFS('IV history'!$N$7:$N$926,'IV history'!$A$7:$A$926,A9,'IV history'!$C$7:$C$926,"call")</f>
        <v>2757719132.0600004</v>
      </c>
      <c r="N9" s="16">
        <f>SUMIFS('IV history'!$N$7:$N$926,'IV history'!$A$7:$A$926,A9,'IV history'!$C$7:$C$926,"put")</f>
        <v>907131131</v>
      </c>
      <c r="O9" s="15">
        <f t="shared" si="3"/>
        <v>0.32894253822084418</v>
      </c>
      <c r="P9" s="9">
        <v>0.41204309986065085</v>
      </c>
      <c r="Q9" s="9">
        <v>0.4513837310991895</v>
      </c>
      <c r="R9" s="9">
        <f t="shared" si="4"/>
        <v>3.9340631238538648E-2</v>
      </c>
      <c r="S9" s="9">
        <f t="shared" si="5"/>
        <v>1.6429712191685542E-2</v>
      </c>
      <c r="T9" s="9">
        <v>0.42859687750340286</v>
      </c>
      <c r="U9" s="9">
        <v>0.39586636921969298</v>
      </c>
      <c r="V9" s="1">
        <v>34</v>
      </c>
    </row>
    <row r="10" spans="1:22" ht="21" customHeight="1">
      <c r="A10" s="8">
        <v>46260</v>
      </c>
      <c r="B10" s="7">
        <v>7045</v>
      </c>
      <c r="C10" s="7">
        <v>7000</v>
      </c>
      <c r="D10" s="9">
        <v>0.36729782545888545</v>
      </c>
      <c r="E10" s="9">
        <v>0.45301121872869232</v>
      </c>
      <c r="F10" s="9">
        <v>0.41015452209378889</v>
      </c>
      <c r="G10" s="9">
        <v>0.39051326487102167</v>
      </c>
      <c r="H10" s="9">
        <v>0.37235223127609585</v>
      </c>
      <c r="I10" s="9"/>
      <c r="J10" s="9">
        <f t="shared" si="0"/>
        <v>3.7802290817693041E-2</v>
      </c>
      <c r="K10" s="15">
        <f t="shared" si="1"/>
        <v>1.101522933508791</v>
      </c>
      <c r="L10" s="15">
        <f t="shared" si="2"/>
        <v>1.2333621037987916</v>
      </c>
      <c r="M10" s="16">
        <f>SUMIFS('IV history'!$N$7:$N$926,'IV history'!$A$7:$A$926,A10,'IV history'!$C$7:$C$926,"call")</f>
        <v>2072782646.03</v>
      </c>
      <c r="N10" s="16">
        <f>SUMIFS('IV history'!$N$7:$N$926,'IV history'!$A$7:$A$926,A10,'IV history'!$C$7:$C$926,"put")</f>
        <v>693253267.75999999</v>
      </c>
      <c r="O10" s="15">
        <f t="shared" si="3"/>
        <v>0.33445536081064159</v>
      </c>
      <c r="P10" s="9">
        <v>0.41021051837782596</v>
      </c>
      <c r="Q10" s="9">
        <v>0.45375422501541357</v>
      </c>
      <c r="R10" s="9">
        <f t="shared" si="4"/>
        <v>4.3543706637587609E-2</v>
      </c>
      <c r="S10" s="9">
        <f t="shared" si="5"/>
        <v>2.1827849602830907E-2</v>
      </c>
      <c r="T10" s="9">
        <v>0.42267351996880098</v>
      </c>
      <c r="U10" s="9">
        <v>0.39169758240749908</v>
      </c>
      <c r="V10" s="1">
        <v>35</v>
      </c>
    </row>
    <row r="11" spans="1:22" ht="21" customHeight="1">
      <c r="A11" s="8">
        <v>46261</v>
      </c>
      <c r="B11" s="7">
        <v>6880</v>
      </c>
      <c r="C11" s="7">
        <v>6800</v>
      </c>
      <c r="D11" s="9">
        <v>0.38954597034590532</v>
      </c>
      <c r="E11" s="9">
        <v>0.45466358335056067</v>
      </c>
      <c r="F11" s="9">
        <v>0.422104776848233</v>
      </c>
      <c r="G11" s="9">
        <v>0.4086185141035652</v>
      </c>
      <c r="H11" s="9">
        <v>0.3779302737083981</v>
      </c>
      <c r="I11" s="9">
        <v>0.43844102007255181</v>
      </c>
      <c r="J11" s="9">
        <f t="shared" si="0"/>
        <v>4.4174503139834898E-2</v>
      </c>
      <c r="K11" s="15">
        <f t="shared" si="1"/>
        <v>1.1168853257146552</v>
      </c>
      <c r="L11" s="15">
        <f t="shared" si="2"/>
        <v>1.1671628458814061</v>
      </c>
      <c r="M11" s="16">
        <f>SUMIFS('IV history'!$N$7:$N$926,'IV history'!$A$7:$A$926,A11,'IV history'!$C$7:$C$926,"call")</f>
        <v>2447671780.4500003</v>
      </c>
      <c r="N11" s="16">
        <f>SUMIFS('IV history'!$N$7:$N$926,'IV history'!$A$7:$A$926,A11,'IV history'!$C$7:$C$926,"put")</f>
        <v>864171654.88</v>
      </c>
      <c r="O11" s="15">
        <f t="shared" si="3"/>
        <v>0.3530586338341179</v>
      </c>
      <c r="P11" s="9">
        <v>0.41036125970521686</v>
      </c>
      <c r="Q11" s="9">
        <v>0.4523901190821969</v>
      </c>
      <c r="R11" s="9">
        <f t="shared" si="4"/>
        <v>4.2028859376980032E-2</v>
      </c>
      <c r="S11" s="9">
        <f t="shared" si="5"/>
        <v>9.2709125454738528E-3</v>
      </c>
      <c r="T11" s="9">
        <v>0.43503069042842202</v>
      </c>
      <c r="U11" s="9">
        <v>0.40353586946114306</v>
      </c>
      <c r="V11" s="1">
        <v>37</v>
      </c>
    </row>
    <row r="12" spans="1:22" ht="21" customHeight="1">
      <c r="A12" s="8">
        <v>46262</v>
      </c>
      <c r="B12" s="7">
        <v>6810</v>
      </c>
      <c r="C12" s="7">
        <v>6800</v>
      </c>
      <c r="D12" s="9">
        <v>0.38728894327852403</v>
      </c>
      <c r="E12" s="9">
        <v>0.44155693116117012</v>
      </c>
      <c r="F12" s="9">
        <v>0.41442293721984708</v>
      </c>
      <c r="G12" s="9">
        <v>0.40393695970156612</v>
      </c>
      <c r="H12" s="9">
        <v>0.35592248320745584</v>
      </c>
      <c r="I12" s="9">
        <v>0.43864432256312264</v>
      </c>
      <c r="J12" s="9">
        <f t="shared" si="0"/>
        <v>5.8500454012391234E-2</v>
      </c>
      <c r="K12" s="15">
        <f t="shared" si="1"/>
        <v>1.1643629070161696</v>
      </c>
      <c r="L12" s="15">
        <f t="shared" si="2"/>
        <v>1.1401227399451437</v>
      </c>
      <c r="M12" s="16">
        <f>SUMIFS('IV history'!$N$7:$N$926,'IV history'!$A$7:$A$926,A12,'IV history'!$C$7:$C$926,"call")</f>
        <v>1740587775.1900001</v>
      </c>
      <c r="N12" s="16">
        <f>SUMIFS('IV history'!$N$7:$N$926,'IV history'!$A$7:$A$926,A12,'IV history'!$C$7:$C$926,"put")</f>
        <v>1021167327.75</v>
      </c>
      <c r="O12" s="15">
        <f t="shared" si="3"/>
        <v>0.58667959312682805</v>
      </c>
      <c r="P12" s="9">
        <v>0.40920858369124996</v>
      </c>
      <c r="Q12" s="9">
        <v>0.44212027948528582</v>
      </c>
      <c r="R12" s="9">
        <f t="shared" si="4"/>
        <v>3.2911695794035856E-2</v>
      </c>
      <c r="S12" s="9">
        <f t="shared" si="5"/>
        <v>1.1241494368420812E-2</v>
      </c>
      <c r="T12" s="9">
        <v>0.42537899037526833</v>
      </c>
      <c r="U12" s="9">
        <v>0.39864621376311538</v>
      </c>
      <c r="V12" s="1">
        <v>34</v>
      </c>
    </row>
    <row r="13" spans="1:22" ht="21" customHeight="1">
      <c r="A13" s="8">
        <v>46265</v>
      </c>
      <c r="B13" s="7">
        <v>7015</v>
      </c>
      <c r="C13" s="7">
        <v>7000</v>
      </c>
      <c r="D13" s="9">
        <v>0.41152442554611501</v>
      </c>
      <c r="E13" s="9">
        <v>0.45661493481980087</v>
      </c>
      <c r="F13" s="9">
        <v>0.43406968018295794</v>
      </c>
      <c r="G13" s="9">
        <v>0.39539427604237604</v>
      </c>
      <c r="H13" s="9">
        <v>0.37882770491834039</v>
      </c>
      <c r="I13" s="9">
        <v>0.43887049617517193</v>
      </c>
      <c r="J13" s="9">
        <f t="shared" si="0"/>
        <v>5.5241975264617549E-2</v>
      </c>
      <c r="K13" s="15">
        <f t="shared" si="1"/>
        <v>1.1458234826740705</v>
      </c>
      <c r="L13" s="15">
        <f t="shared" si="2"/>
        <v>1.1095694604611823</v>
      </c>
      <c r="M13" s="16">
        <f>SUMIFS('IV history'!$N$7:$N$926,'IV history'!$A$7:$A$926,A13,'IV history'!$C$7:$C$926,"call")</f>
        <v>2837380990</v>
      </c>
      <c r="N13" s="16">
        <f>SUMIFS('IV history'!$N$7:$N$926,'IV history'!$A$7:$A$926,A13,'IV history'!$C$7:$C$926,"put")</f>
        <v>754902688.69999993</v>
      </c>
      <c r="O13" s="15">
        <f t="shared" si="3"/>
        <v>0.26605615931049142</v>
      </c>
      <c r="P13" s="9">
        <v>0.41895923355922216</v>
      </c>
      <c r="Q13" s="9">
        <v>0.45887837319405766</v>
      </c>
      <c r="R13" s="9">
        <f t="shared" si="4"/>
        <v>3.991913963483551E-2</v>
      </c>
      <c r="S13" s="9">
        <f t="shared" si="5"/>
        <v>4.8491231936819701E-3</v>
      </c>
      <c r="T13" s="9">
        <v>0.44411372558733636</v>
      </c>
      <c r="U13" s="9">
        <v>0.41990530222671918</v>
      </c>
      <c r="V13" s="1">
        <v>35</v>
      </c>
    </row>
    <row r="14" spans="1:22" ht="21" customHeight="1">
      <c r="A14" s="8">
        <v>46266</v>
      </c>
      <c r="B14" s="7">
        <v>7060</v>
      </c>
      <c r="C14" s="7">
        <v>7000</v>
      </c>
      <c r="D14" s="9">
        <v>0.39901259711553155</v>
      </c>
      <c r="E14" s="9">
        <v>0.46678672146654721</v>
      </c>
      <c r="F14" s="9">
        <v>0.43289965929103935</v>
      </c>
      <c r="G14" s="9">
        <v>0.35278919921071844</v>
      </c>
      <c r="H14" s="9">
        <v>0.37698529812770298</v>
      </c>
      <c r="I14" s="9">
        <v>0.43911417984409579</v>
      </c>
      <c r="J14" s="9">
        <f t="shared" si="0"/>
        <v>5.5914361163336368E-2</v>
      </c>
      <c r="K14" s="15">
        <f t="shared" si="1"/>
        <v>1.148319739366588</v>
      </c>
      <c r="L14" s="15">
        <f t="shared" si="2"/>
        <v>1.169854598177992</v>
      </c>
      <c r="M14" s="16">
        <f>SUMIFS('IV history'!$N$7:$N$926,'IV history'!$A$7:$A$926,A14,'IV history'!$C$7:$C$926,"call")</f>
        <v>3640294763</v>
      </c>
      <c r="N14" s="16">
        <f>SUMIFS('IV history'!$N$7:$N$926,'IV history'!$A$7:$A$926,A14,'IV history'!$C$7:$C$926,"put")</f>
        <v>747067567.08999991</v>
      </c>
      <c r="O14" s="15">
        <f t="shared" si="3"/>
        <v>0.20522172398872851</v>
      </c>
      <c r="P14" s="9">
        <v>0.41483886967144146</v>
      </c>
      <c r="Q14" s="9">
        <v>0.46070565218227494</v>
      </c>
      <c r="R14" s="9">
        <f t="shared" si="4"/>
        <v>4.5866782510833481E-2</v>
      </c>
      <c r="S14" s="9">
        <f t="shared" si="5"/>
        <v>4.8726016358188184E-3</v>
      </c>
      <c r="T14" s="9">
        <v>0.44405227758726729</v>
      </c>
      <c r="U14" s="9">
        <v>0.41718276666903903</v>
      </c>
      <c r="V14" s="1">
        <v>35</v>
      </c>
    </row>
    <row r="15" spans="1:22" ht="21" customHeight="1">
      <c r="A15" s="8">
        <v>46267</v>
      </c>
      <c r="B15" s="7">
        <v>7170</v>
      </c>
      <c r="C15" s="7">
        <v>7200</v>
      </c>
      <c r="D15" s="9">
        <v>0.3936006656446317</v>
      </c>
      <c r="E15" s="9">
        <v>0.45664185580179617</v>
      </c>
      <c r="F15" s="9">
        <v>0.42512126072321393</v>
      </c>
      <c r="G15" s="9">
        <v>0.33443183591574438</v>
      </c>
      <c r="H15" s="9">
        <v>0.37387495069679266</v>
      </c>
      <c r="I15" s="9">
        <v>0.43872123203449526</v>
      </c>
      <c r="J15" s="9">
        <f t="shared" si="0"/>
        <v>5.1246310026421271E-2</v>
      </c>
      <c r="K15" s="15">
        <f t="shared" si="1"/>
        <v>1.1370680489048899</v>
      </c>
      <c r="L15" s="15">
        <f t="shared" si="2"/>
        <v>1.1601653545324087</v>
      </c>
      <c r="M15" s="16">
        <f>SUMIFS('IV history'!$N$7:$N$926,'IV history'!$A$7:$A$926,A15,'IV history'!$C$7:$C$926,"call")</f>
        <v>2693995335.6599998</v>
      </c>
      <c r="N15" s="16">
        <f>SUMIFS('IV history'!$N$7:$N$926,'IV history'!$A$7:$A$926,A15,'IV history'!$C$7:$C$926,"put")</f>
        <v>691950498.75999999</v>
      </c>
      <c r="O15" s="15">
        <f t="shared" si="3"/>
        <v>0.25684918217962677</v>
      </c>
      <c r="P15" s="9">
        <v>0.40423198679294536</v>
      </c>
      <c r="Q15" s="9">
        <v>0.4585406320632362</v>
      </c>
      <c r="R15" s="9">
        <f t="shared" si="4"/>
        <v>5.4308645270290834E-2</v>
      </c>
      <c r="S15" s="9">
        <f t="shared" si="5"/>
        <v>6.2650487048768189E-3</v>
      </c>
      <c r="T15" s="9">
        <v>0.43390900186737691</v>
      </c>
      <c r="U15" s="9">
        <v>0.41248560275128254</v>
      </c>
      <c r="V15" s="1">
        <v>34</v>
      </c>
    </row>
    <row r="16" spans="1:22" ht="21" customHeight="1">
      <c r="A16" s="8">
        <v>46268</v>
      </c>
      <c r="B16" s="7">
        <v>7075</v>
      </c>
      <c r="C16" s="7">
        <v>7000</v>
      </c>
      <c r="D16" s="9">
        <v>0.38797270586248733</v>
      </c>
      <c r="E16" s="9">
        <v>0.45859240792621614</v>
      </c>
      <c r="F16" s="9">
        <v>0.42328255689435174</v>
      </c>
      <c r="G16" s="9">
        <v>0.34624524471250034</v>
      </c>
      <c r="H16" s="9">
        <v>0.37398561841843314</v>
      </c>
      <c r="I16" s="9">
        <v>0.43780103649037355</v>
      </c>
      <c r="J16" s="9">
        <f t="shared" si="0"/>
        <v>4.9296938475918595E-2</v>
      </c>
      <c r="K16" s="15">
        <f t="shared" si="1"/>
        <v>1.1318150646658365</v>
      </c>
      <c r="L16" s="15">
        <f t="shared" si="2"/>
        <v>1.1820223458934742</v>
      </c>
      <c r="M16" s="16">
        <f>SUMIFS('IV history'!$N$7:$N$926,'IV history'!$A$7:$A$926,A16,'IV history'!$C$7:$C$926,"call")</f>
        <v>3639414302.9400001</v>
      </c>
      <c r="N16" s="16">
        <f>SUMIFS('IV history'!$N$7:$N$926,'IV history'!$A$7:$A$926,A16,'IV history'!$C$7:$C$926,"put")</f>
        <v>940904213.00999999</v>
      </c>
      <c r="O16" s="15">
        <f t="shared" si="3"/>
        <v>0.25853176766654912</v>
      </c>
      <c r="P16" s="9">
        <v>0.41161776865426458</v>
      </c>
      <c r="Q16" s="9">
        <v>0.45768114100401408</v>
      </c>
      <c r="R16" s="9">
        <f t="shared" si="4"/>
        <v>4.6063372349749498E-2</v>
      </c>
      <c r="S16" s="9">
        <f t="shared" si="5"/>
        <v>1.1366897934787568E-2</v>
      </c>
      <c r="T16" s="9">
        <v>0.43480201678477243</v>
      </c>
      <c r="U16" s="9">
        <v>0.40708164032082794</v>
      </c>
      <c r="V16" s="1">
        <v>36</v>
      </c>
    </row>
    <row r="17" spans="1:22" ht="21" customHeight="1">
      <c r="A17" s="8">
        <v>46269</v>
      </c>
      <c r="B17" s="7">
        <v>7005</v>
      </c>
      <c r="C17" s="7">
        <v>7000</v>
      </c>
      <c r="D17" s="9">
        <v>0.39497486160441941</v>
      </c>
      <c r="E17" s="9">
        <v>0.43601227737525572</v>
      </c>
      <c r="F17" s="9">
        <v>0.41549356948983757</v>
      </c>
      <c r="G17" s="9">
        <v>0.35438454662171848</v>
      </c>
      <c r="H17" s="9">
        <v>0.35609756752906951</v>
      </c>
      <c r="I17" s="9">
        <v>0.43422892323885603</v>
      </c>
      <c r="J17" s="9">
        <f t="shared" si="0"/>
        <v>5.9396001960768052E-2</v>
      </c>
      <c r="K17" s="15">
        <f t="shared" si="1"/>
        <v>1.1667969887379794</v>
      </c>
      <c r="L17" s="15">
        <f t="shared" si="2"/>
        <v>1.1038988041014535</v>
      </c>
      <c r="M17" s="16">
        <f>SUMIFS('IV history'!$N$7:$N$926,'IV history'!$A$7:$A$926,A17,'IV history'!$C$7:$C$926,"call")</f>
        <v>1861211512.5899999</v>
      </c>
      <c r="N17" s="16">
        <f>SUMIFS('IV history'!$N$7:$N$926,'IV history'!$A$7:$A$926,A17,'IV history'!$C$7:$C$926,"put")</f>
        <v>475504226.54999995</v>
      </c>
      <c r="O17" s="15">
        <f t="shared" si="3"/>
        <v>0.25548102584445337</v>
      </c>
      <c r="P17" s="9">
        <v>0.40887653706716498</v>
      </c>
      <c r="Q17" s="9">
        <v>0.43863356676354948</v>
      </c>
      <c r="R17" s="9">
        <f t="shared" si="4"/>
        <v>2.9757029696384496E-2</v>
      </c>
      <c r="S17" s="9">
        <f t="shared" si="5"/>
        <v>8.2614824255196617E-3</v>
      </c>
      <c r="T17" s="9">
        <v>0.42503132292848211</v>
      </c>
      <c r="U17" s="9">
        <v>0.40209519238225438</v>
      </c>
      <c r="V17" s="1">
        <v>34</v>
      </c>
    </row>
    <row r="18" spans="1:22" ht="21" customHeight="1">
      <c r="A18" s="8">
        <v>46272</v>
      </c>
      <c r="B18" s="7">
        <v>6935</v>
      </c>
      <c r="C18" s="7">
        <v>7000</v>
      </c>
      <c r="D18" s="9">
        <v>0.42273407148583275</v>
      </c>
      <c r="E18" s="9">
        <v>0.43505106862557574</v>
      </c>
      <c r="F18" s="9">
        <v>0.42889257005570425</v>
      </c>
      <c r="G18" s="9">
        <v>0.26661964375061797</v>
      </c>
      <c r="H18" s="9">
        <v>0.35655002592182145</v>
      </c>
      <c r="I18" s="9">
        <v>0.43438603574602536</v>
      </c>
      <c r="J18" s="9">
        <f t="shared" si="0"/>
        <v>7.2342544133882802E-2</v>
      </c>
      <c r="K18" s="15">
        <f t="shared" si="1"/>
        <v>1.2028959160691379</v>
      </c>
      <c r="L18" s="15">
        <f t="shared" si="2"/>
        <v>1.02913651387609</v>
      </c>
      <c r="M18" s="16">
        <f>SUMIFS('IV history'!$N$7:$N$926,'IV history'!$A$7:$A$926,A18,'IV history'!$C$7:$C$926,"call")</f>
        <v>357933496.21999997</v>
      </c>
      <c r="N18" s="16">
        <f>SUMIFS('IV history'!$N$7:$N$926,'IV history'!$A$7:$A$926,A18,'IV history'!$C$7:$C$926,"put")</f>
        <v>123923282.16999999</v>
      </c>
      <c r="O18" s="15">
        <f t="shared" si="3"/>
        <v>0.34621873470548808</v>
      </c>
      <c r="P18" s="9">
        <v>0.43464811065798409</v>
      </c>
      <c r="Q18" s="9">
        <v>0.43933023737655241</v>
      </c>
      <c r="R18" s="9">
        <f t="shared" si="4"/>
        <v>4.6821267185683246E-3</v>
      </c>
      <c r="S18" s="9">
        <f t="shared" si="5"/>
        <v>8.0966039615639751E-3</v>
      </c>
      <c r="T18" s="9">
        <v>0.43581917168640438</v>
      </c>
      <c r="U18" s="9">
        <v>0.41902083041343324</v>
      </c>
      <c r="V18" s="1">
        <v>37</v>
      </c>
    </row>
    <row r="19" spans="1:22" ht="21" customHeight="1">
      <c r="A19" s="8">
        <v>46273</v>
      </c>
      <c r="B19" s="7">
        <v>7015</v>
      </c>
      <c r="C19" s="7">
        <v>7000</v>
      </c>
      <c r="D19" s="9">
        <v>0.4041019936917703</v>
      </c>
      <c r="E19" s="9">
        <v>0.45187481201290974</v>
      </c>
      <c r="F19" s="9">
        <v>0.42798840285234002</v>
      </c>
      <c r="G19" s="9">
        <v>0.25628549496888303</v>
      </c>
      <c r="H19" s="9">
        <v>0.35879322524285145</v>
      </c>
      <c r="I19" s="9">
        <v>0.38112329533650346</v>
      </c>
      <c r="J19" s="9">
        <f t="shared" si="0"/>
        <v>6.9195177609488567E-2</v>
      </c>
      <c r="K19" s="15">
        <f t="shared" si="1"/>
        <v>1.192855307016049</v>
      </c>
      <c r="L19" s="15">
        <f t="shared" si="2"/>
        <v>1.1182197045966031</v>
      </c>
      <c r="M19" s="16">
        <f>SUMIFS('IV history'!$N$7:$N$926,'IV history'!$A$7:$A$926,A19,'IV history'!$C$7:$C$926,"call")</f>
        <v>2058112368.0599999</v>
      </c>
      <c r="N19" s="16">
        <f>SUMIFS('IV history'!$N$7:$N$926,'IV history'!$A$7:$A$926,A19,'IV history'!$C$7:$C$926,"put")</f>
        <v>523323698.24000001</v>
      </c>
      <c r="O19" s="15">
        <f t="shared" si="3"/>
        <v>0.2542736277967616</v>
      </c>
      <c r="P19" s="9">
        <v>0.41343695609493386</v>
      </c>
      <c r="Q19" s="9">
        <v>0.45011604987862602</v>
      </c>
      <c r="R19" s="9">
        <f t="shared" si="4"/>
        <v>3.6679093783692163E-2</v>
      </c>
      <c r="S19" s="9">
        <f t="shared" si="5"/>
        <v>3.7881001344399201E-3</v>
      </c>
      <c r="T19" s="9">
        <v>0.43681577382262216</v>
      </c>
      <c r="U19" s="9">
        <v>0.41576458206973649</v>
      </c>
      <c r="V19" s="1">
        <v>34</v>
      </c>
    </row>
    <row r="20" spans="1:22" ht="21" customHeight="1">
      <c r="A20" s="8">
        <v>46274</v>
      </c>
      <c r="B20" s="7">
        <v>7085</v>
      </c>
      <c r="C20" s="7">
        <v>7000</v>
      </c>
      <c r="D20" s="9">
        <v>0.40296012389449731</v>
      </c>
      <c r="E20" s="9">
        <v>0.44401835364440734</v>
      </c>
      <c r="F20" s="9">
        <v>0.42348923876945233</v>
      </c>
      <c r="G20" s="9">
        <v>0.26086487788273555</v>
      </c>
      <c r="H20" s="9">
        <v>0.32323907599693874</v>
      </c>
      <c r="I20" s="9">
        <v>0.38187928839854579</v>
      </c>
      <c r="J20" s="9">
        <f t="shared" si="0"/>
        <v>0.10025016277251358</v>
      </c>
      <c r="K20" s="15">
        <f t="shared" si="1"/>
        <v>1.3101424617779287</v>
      </c>
      <c r="L20" s="15">
        <f t="shared" si="2"/>
        <v>1.1018915453794627</v>
      </c>
      <c r="M20" s="16">
        <f>SUMIFS('IV history'!$N$7:$N$926,'IV history'!$A$7:$A$926,A20,'IV history'!$C$7:$C$926,"call")</f>
        <v>1919441283.1900001</v>
      </c>
      <c r="N20" s="16">
        <f>SUMIFS('IV history'!$N$7:$N$926,'IV history'!$A$7:$A$926,A20,'IV history'!$C$7:$C$926,"put")</f>
        <v>766494954.81000018</v>
      </c>
      <c r="O20" s="15">
        <f t="shared" si="3"/>
        <v>0.39933232734065721</v>
      </c>
      <c r="P20" s="9">
        <v>0.41373336893488644</v>
      </c>
      <c r="Q20" s="9">
        <v>0.43682290392140977</v>
      </c>
      <c r="R20" s="9">
        <f t="shared" si="4"/>
        <v>2.308953498652333E-2</v>
      </c>
      <c r="S20" s="9">
        <f t="shared" si="5"/>
        <v>1.7888976586957761E-3</v>
      </c>
      <c r="T20" s="9">
        <v>0.43414016009699896</v>
      </c>
      <c r="U20" s="9">
        <v>0.40905446067315077</v>
      </c>
      <c r="V20" s="1">
        <v>33</v>
      </c>
    </row>
    <row r="21" spans="1:22" ht="21" customHeight="1">
      <c r="A21" s="8">
        <v>46275</v>
      </c>
      <c r="B21" s="7">
        <v>7145</v>
      </c>
      <c r="C21" s="7">
        <v>7200</v>
      </c>
      <c r="D21" s="9">
        <v>0.38460584725382674</v>
      </c>
      <c r="E21" s="9">
        <v>0.44467590041952987</v>
      </c>
      <c r="F21" s="9">
        <v>0.4146408738366783</v>
      </c>
      <c r="G21" s="9">
        <v>0.22451120255133084</v>
      </c>
      <c r="H21" s="9">
        <v>0.32433464035857279</v>
      </c>
      <c r="I21" s="9">
        <v>0.3824476515648601</v>
      </c>
      <c r="J21" s="9">
        <f t="shared" si="0"/>
        <v>9.0306233478105513E-2</v>
      </c>
      <c r="K21" s="15">
        <f t="shared" si="1"/>
        <v>1.2784353634821928</v>
      </c>
      <c r="L21" s="15">
        <f t="shared" si="2"/>
        <v>1.1561860111972218</v>
      </c>
      <c r="M21" s="16">
        <f>SUMIFS('IV history'!$N$7:$N$926,'IV history'!$A$7:$A$926,A21,'IV history'!$C$7:$C$926,"call")</f>
        <v>2987192736.1900001</v>
      </c>
      <c r="N21" s="16">
        <f>SUMIFS('IV history'!$N$7:$N$926,'IV history'!$A$7:$A$926,A21,'IV history'!$C$7:$C$926,"put")</f>
        <v>707804017.55000007</v>
      </c>
      <c r="O21" s="15">
        <f t="shared" si="3"/>
        <v>0.23694621675224248</v>
      </c>
      <c r="P21" s="9">
        <v>0.40761779877134524</v>
      </c>
      <c r="Q21" s="9">
        <v>0.44284128128448363</v>
      </c>
      <c r="R21" s="9">
        <f t="shared" si="4"/>
        <v>3.5223482513138393E-2</v>
      </c>
      <c r="S21" s="9">
        <f t="shared" si="5"/>
        <v>1.0588666191236162E-2</v>
      </c>
      <c r="T21" s="9">
        <v>0.42154700843242821</v>
      </c>
      <c r="U21" s="9">
        <v>0.40473147088800621</v>
      </c>
      <c r="V21" s="1">
        <v>35</v>
      </c>
    </row>
    <row r="22" spans="1:22" ht="21" customHeight="1">
      <c r="A22" s="8">
        <v>46276</v>
      </c>
      <c r="B22" s="7">
        <v>7000</v>
      </c>
      <c r="C22" s="7">
        <v>7000</v>
      </c>
      <c r="D22" s="9">
        <v>0.38691220729691345</v>
      </c>
      <c r="E22" s="9">
        <v>0.44654618078438879</v>
      </c>
      <c r="F22" s="9">
        <v>0.41672919404065112</v>
      </c>
      <c r="G22" s="9">
        <v>0.24723729565036293</v>
      </c>
      <c r="H22" s="9">
        <v>0.33069086224767691</v>
      </c>
      <c r="I22" s="9">
        <v>0.38003810121587356</v>
      </c>
      <c r="J22" s="9">
        <f t="shared" si="0"/>
        <v>8.603833179297421E-2</v>
      </c>
      <c r="K22" s="15">
        <f t="shared" si="1"/>
        <v>1.2601775301808438</v>
      </c>
      <c r="L22" s="15">
        <f t="shared" si="2"/>
        <v>1.1541279193646963</v>
      </c>
      <c r="M22" s="16">
        <f>SUMIFS('IV history'!$N$7:$N$926,'IV history'!$A$7:$A$926,A22,'IV history'!$C$7:$C$926,"call")</f>
        <v>2174586296.75</v>
      </c>
      <c r="N22" s="16">
        <f>SUMIFS('IV history'!$N$7:$N$926,'IV history'!$A$7:$A$926,A22,'IV history'!$C$7:$C$926,"put")</f>
        <v>669867745.24000001</v>
      </c>
      <c r="O22" s="15">
        <f t="shared" si="3"/>
        <v>0.30804376273369433</v>
      </c>
      <c r="P22" s="9">
        <v>0.41012207723271799</v>
      </c>
      <c r="Q22" s="9">
        <v>0.44259784627593612</v>
      </c>
      <c r="R22" s="9">
        <f t="shared" si="4"/>
        <v>3.2475769043218139E-2</v>
      </c>
      <c r="S22" s="9">
        <f t="shared" si="5"/>
        <v>9.6307677136759362E-3</v>
      </c>
      <c r="T22" s="9">
        <v>0.42488469918193433</v>
      </c>
      <c r="U22" s="9">
        <v>0.40539511901182457</v>
      </c>
      <c r="V22" s="1">
        <v>34</v>
      </c>
    </row>
    <row r="23" spans="1:22" ht="21" customHeight="1">
      <c r="A23" s="8">
        <v>46279</v>
      </c>
      <c r="B23" s="7">
        <v>6840</v>
      </c>
      <c r="C23" s="7">
        <v>6800</v>
      </c>
      <c r="D23" s="9">
        <v>0.41583221466494913</v>
      </c>
      <c r="E23" s="9">
        <v>0.44951159454033329</v>
      </c>
      <c r="F23" s="9">
        <v>0.43267190460264121</v>
      </c>
      <c r="G23" s="9">
        <v>0.22759600021579462</v>
      </c>
      <c r="H23" s="9">
        <v>0.31652405946810369</v>
      </c>
      <c r="I23" s="9">
        <v>0.38015291108251192</v>
      </c>
      <c r="J23" s="9">
        <f t="shared" si="0"/>
        <v>0.11614784513453752</v>
      </c>
      <c r="K23" s="15">
        <f t="shared" si="1"/>
        <v>1.3669479196296035</v>
      </c>
      <c r="L23" s="15">
        <f t="shared" si="2"/>
        <v>1.0809927145796552</v>
      </c>
      <c r="M23" s="16">
        <f>SUMIFS('IV history'!$N$7:$N$926,'IV history'!$A$7:$A$926,A23,'IV history'!$C$7:$C$926,"call")</f>
        <v>1562892977.4400001</v>
      </c>
      <c r="N23" s="16">
        <f>SUMIFS('IV history'!$N$7:$N$926,'IV history'!$A$7:$A$926,A23,'IV history'!$C$7:$C$926,"put")</f>
        <v>641123582.39999998</v>
      </c>
      <c r="O23" s="15">
        <f t="shared" si="3"/>
        <v>0.41021592115037381</v>
      </c>
      <c r="P23" s="9">
        <v>0.4281424577599775</v>
      </c>
      <c r="Q23" s="9">
        <v>0.44790154802075105</v>
      </c>
      <c r="R23" s="9">
        <f t="shared" si="4"/>
        <v>1.9759090260773549E-2</v>
      </c>
      <c r="S23" s="9">
        <f t="shared" si="5"/>
        <v>5.3500982877230929E-3</v>
      </c>
      <c r="T23" s="9">
        <v>0.44100716307806836</v>
      </c>
      <c r="U23" s="9">
        <v>0.4215006902691279</v>
      </c>
      <c r="V23" s="1">
        <v>38</v>
      </c>
    </row>
    <row r="24" spans="1:22" ht="21" customHeight="1">
      <c r="A24" s="8">
        <v>46280</v>
      </c>
      <c r="B24" s="7">
        <v>6725</v>
      </c>
      <c r="C24" s="7">
        <v>6800</v>
      </c>
      <c r="D24" s="9">
        <v>0.42515927661685099</v>
      </c>
      <c r="E24" s="9">
        <v>0.43554011228126149</v>
      </c>
      <c r="F24" s="9">
        <v>0.43034969444905624</v>
      </c>
      <c r="G24" s="9">
        <v>0.23210993104424654</v>
      </c>
      <c r="H24" s="9">
        <v>0.30376472118132403</v>
      </c>
      <c r="I24" s="9">
        <v>0.37761375467491648</v>
      </c>
      <c r="J24" s="9">
        <f t="shared" si="0"/>
        <v>0.12658497326773221</v>
      </c>
      <c r="K24" s="15">
        <f t="shared" si="1"/>
        <v>1.4167204564619957</v>
      </c>
      <c r="L24" s="15">
        <f t="shared" si="2"/>
        <v>1.0244163452036485</v>
      </c>
      <c r="M24" s="16">
        <f>SUMIFS('IV history'!$N$7:$N$926,'IV history'!$A$7:$A$926,A24,'IV history'!$C$7:$C$926,"call")</f>
        <v>1721518495.1800001</v>
      </c>
      <c r="N24" s="16">
        <f>SUMIFS('IV history'!$N$7:$N$926,'IV history'!$A$7:$A$926,A24,'IV history'!$C$7:$C$926,"put")</f>
        <v>973242461.51999998</v>
      </c>
      <c r="O24" s="15">
        <f t="shared" si="3"/>
        <v>0.56533953265383818</v>
      </c>
      <c r="P24" s="9">
        <v>0.42056984022961513</v>
      </c>
      <c r="Q24" s="9">
        <v>0.44058944242804876</v>
      </c>
      <c r="R24" s="9">
        <f t="shared" si="4"/>
        <v>2.0019602198433628E-2</v>
      </c>
      <c r="S24" s="9">
        <f t="shared" si="5"/>
        <v>2.2994687977573314E-4</v>
      </c>
      <c r="T24" s="9">
        <v>0.43556871442389089</v>
      </c>
      <c r="U24" s="9">
        <v>0.42288041810481281</v>
      </c>
      <c r="V24" s="1">
        <v>34</v>
      </c>
    </row>
    <row r="25" spans="1:22" ht="21" customHeight="1">
      <c r="A25" s="8">
        <v>46281</v>
      </c>
      <c r="B25" s="7">
        <v>6760</v>
      </c>
      <c r="C25" s="7">
        <v>6800</v>
      </c>
      <c r="D25" s="9">
        <v>0.40439010230283473</v>
      </c>
      <c r="E25" s="9">
        <v>0.46234500376241711</v>
      </c>
      <c r="F25" s="9">
        <v>0.43336755303262592</v>
      </c>
      <c r="G25" s="9">
        <v>0.21176784757779676</v>
      </c>
      <c r="H25" s="9">
        <v>0.29834284170254033</v>
      </c>
      <c r="I25" s="9">
        <v>0.37763241424869093</v>
      </c>
      <c r="J25" s="9">
        <f t="shared" si="0"/>
        <v>0.13502471133008559</v>
      </c>
      <c r="K25" s="15">
        <f t="shared" si="1"/>
        <v>1.4525823732171546</v>
      </c>
      <c r="L25" s="15">
        <f t="shared" si="2"/>
        <v>1.1433143420908503</v>
      </c>
      <c r="M25" s="16">
        <f>SUMIFS('IV history'!$N$7:$N$926,'IV history'!$A$7:$A$926,A25,'IV history'!$C$7:$C$926,"call")</f>
        <v>1216321896.8399999</v>
      </c>
      <c r="N25" s="16">
        <f>SUMIFS('IV history'!$N$7:$N$926,'IV history'!$A$7:$A$926,A25,'IV history'!$C$7:$C$926,"put")</f>
        <v>496133552.39999998</v>
      </c>
      <c r="O25" s="15">
        <f t="shared" si="3"/>
        <v>0.40789658863246087</v>
      </c>
      <c r="P25" s="9">
        <v>0.41967610495949542</v>
      </c>
      <c r="Q25" s="9">
        <v>0.45951091052559812</v>
      </c>
      <c r="R25" s="9">
        <f t="shared" si="4"/>
        <v>3.9834805566102693E-2</v>
      </c>
      <c r="S25" s="9">
        <f t="shared" si="5"/>
        <v>6.2259547099208778E-3</v>
      </c>
      <c r="T25" s="9">
        <v>0.43922103807763391</v>
      </c>
      <c r="U25" s="9">
        <v>0.42514604501454306</v>
      </c>
      <c r="V25" s="1">
        <v>34</v>
      </c>
    </row>
    <row r="26" spans="1:22" ht="2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26"/>
  <sheetViews>
    <sheetView showGridLines="0" workbookViewId="0">
      <pane ySplit="6" topLeftCell="A7" activePane="bottomLeft" state="frozen"/>
      <selection pane="bottomLeft" activeCell="D3" sqref="D3"/>
    </sheetView>
  </sheetViews>
  <sheetFormatPr defaultRowHeight="13.8"/>
  <cols>
    <col min="1" max="1" width="15" customWidth="1"/>
    <col min="2" max="2" width="21" customWidth="1"/>
    <col min="3" max="16" width="15" customWidth="1"/>
    <col min="17" max="17" width="65" customWidth="1"/>
    <col min="18" max="18" width="15" customWidth="1"/>
  </cols>
  <sheetData>
    <row r="1" spans="1:18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1" customHeight="1">
      <c r="A2" s="2" t="s">
        <v>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21" customHeight="1">
      <c r="A4" s="4" t="s">
        <v>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40.049999999999997" customHeight="1">
      <c r="A6" s="6" t="s">
        <v>22</v>
      </c>
      <c r="B6" s="6" t="s">
        <v>70</v>
      </c>
      <c r="C6" s="6" t="s">
        <v>71</v>
      </c>
      <c r="D6" s="6" t="s">
        <v>72</v>
      </c>
      <c r="E6" s="6" t="s">
        <v>73</v>
      </c>
      <c r="F6" s="6" t="s">
        <v>3</v>
      </c>
      <c r="G6" s="6" t="s">
        <v>74</v>
      </c>
      <c r="H6" s="6" t="s">
        <v>75</v>
      </c>
      <c r="I6" s="6" t="s">
        <v>76</v>
      </c>
      <c r="J6" s="6" t="s">
        <v>77</v>
      </c>
      <c r="K6" s="6" t="s">
        <v>78</v>
      </c>
      <c r="L6" s="6" t="s">
        <v>79</v>
      </c>
      <c r="M6" s="6" t="s">
        <v>80</v>
      </c>
      <c r="N6" s="6" t="s">
        <v>81</v>
      </c>
      <c r="O6" s="6" t="s">
        <v>82</v>
      </c>
      <c r="P6" s="6" t="s">
        <v>83</v>
      </c>
      <c r="Q6" s="6" t="s">
        <v>84</v>
      </c>
      <c r="R6" s="6" t="s">
        <v>85</v>
      </c>
    </row>
    <row r="7" spans="1:18" ht="21" customHeight="1">
      <c r="A7" s="8">
        <v>46281</v>
      </c>
      <c r="B7" s="1" t="s">
        <v>86</v>
      </c>
      <c r="C7" s="39" t="s">
        <v>87</v>
      </c>
      <c r="D7" s="7">
        <v>6800</v>
      </c>
      <c r="E7" s="7">
        <f>'Option source'!B258</f>
        <v>376.43</v>
      </c>
      <c r="F7" s="7">
        <v>6760</v>
      </c>
      <c r="G7" s="14">
        <v>30</v>
      </c>
      <c r="H7" s="7">
        <f t="shared" ref="H7:H70" si="0">MAX(IF(C7="call",F7-D7,D7-F7),0)</f>
        <v>0</v>
      </c>
      <c r="I7" s="7">
        <f t="shared" ref="I7:I70" si="1">E7-H7</f>
        <v>376.43</v>
      </c>
      <c r="J7" s="9">
        <f t="shared" ref="J7:J70" si="2">D7/F7</f>
        <v>1.0059171597633136</v>
      </c>
      <c r="K7" s="9">
        <v>0.40439010230283473</v>
      </c>
      <c r="L7" s="13">
        <v>0.58697228866748863</v>
      </c>
      <c r="M7" s="13">
        <v>7.5471611590921226</v>
      </c>
      <c r="N7" s="7">
        <f>'Option source'!C258</f>
        <v>100339456</v>
      </c>
      <c r="O7" s="7">
        <f>'Option source'!G258</f>
        <v>330</v>
      </c>
      <c r="P7" s="7">
        <f>'Option source'!F258</f>
        <v>429.88</v>
      </c>
      <c r="Q7" s="1" t="s">
        <v>88</v>
      </c>
      <c r="R7" s="1">
        <v>253</v>
      </c>
    </row>
    <row r="8" spans="1:18" ht="21" customHeight="1">
      <c r="A8" s="8">
        <v>46281</v>
      </c>
      <c r="B8" s="1" t="s">
        <v>89</v>
      </c>
      <c r="C8" s="39" t="s">
        <v>90</v>
      </c>
      <c r="D8" s="7">
        <v>6800</v>
      </c>
      <c r="E8" s="7">
        <f>'Option source'!B752</f>
        <v>312.14999999999998</v>
      </c>
      <c r="F8" s="7">
        <v>6760</v>
      </c>
      <c r="G8" s="14">
        <v>30</v>
      </c>
      <c r="H8" s="7">
        <f t="shared" si="0"/>
        <v>40</v>
      </c>
      <c r="I8" s="7">
        <f t="shared" si="1"/>
        <v>272.14999999999998</v>
      </c>
      <c r="J8" s="9">
        <f t="shared" si="2"/>
        <v>1.0059171597633136</v>
      </c>
      <c r="K8" s="9">
        <v>0.46234500376241711</v>
      </c>
      <c r="L8" s="13">
        <v>-0.4176965165974782</v>
      </c>
      <c r="M8" s="13">
        <v>7.5665040648044162</v>
      </c>
      <c r="N8" s="7">
        <f>'Option source'!C752</f>
        <v>81244632</v>
      </c>
      <c r="O8" s="7">
        <f>'Option source'!G752</f>
        <v>285</v>
      </c>
      <c r="P8" s="7">
        <f>'Option source'!F752</f>
        <v>345</v>
      </c>
      <c r="Q8" s="1" t="s">
        <v>88</v>
      </c>
      <c r="R8" s="1">
        <v>747</v>
      </c>
    </row>
    <row r="9" spans="1:18" ht="21" customHeight="1">
      <c r="A9" s="8">
        <v>46281</v>
      </c>
      <c r="B9" s="1" t="s">
        <v>91</v>
      </c>
      <c r="C9" s="39" t="s">
        <v>87</v>
      </c>
      <c r="D9" s="7">
        <v>6600</v>
      </c>
      <c r="E9" s="7">
        <f>'Option source'!B239</f>
        <v>478.22</v>
      </c>
      <c r="F9" s="7">
        <v>6760</v>
      </c>
      <c r="G9" s="14">
        <v>30</v>
      </c>
      <c r="H9" s="7">
        <f t="shared" si="0"/>
        <v>160</v>
      </c>
      <c r="I9" s="7">
        <f t="shared" si="1"/>
        <v>318.22000000000003</v>
      </c>
      <c r="J9" s="9">
        <f t="shared" si="2"/>
        <v>0.97633136094674555</v>
      </c>
      <c r="K9" s="9">
        <v>0.38456051742425462</v>
      </c>
      <c r="L9" s="13">
        <v>0.69006648296213535</v>
      </c>
      <c r="M9" s="13">
        <v>6.8366115171166939</v>
      </c>
      <c r="N9" s="7">
        <f>'Option source'!C239</f>
        <v>55284376</v>
      </c>
      <c r="O9" s="7">
        <f>'Option source'!G239</f>
        <v>435</v>
      </c>
      <c r="P9" s="7">
        <f>'Option source'!F239</f>
        <v>540</v>
      </c>
      <c r="Q9" s="1" t="s">
        <v>88</v>
      </c>
      <c r="R9" s="1">
        <v>234</v>
      </c>
    </row>
    <row r="10" spans="1:18" ht="21" customHeight="1">
      <c r="A10" s="8">
        <v>46281</v>
      </c>
      <c r="B10" s="1" t="s">
        <v>92</v>
      </c>
      <c r="C10" s="39" t="s">
        <v>90</v>
      </c>
      <c r="D10" s="7">
        <v>6600</v>
      </c>
      <c r="E10" s="7">
        <f>'Option source'!B733</f>
        <v>222.45</v>
      </c>
      <c r="F10" s="7">
        <v>6760</v>
      </c>
      <c r="G10" s="14">
        <v>30</v>
      </c>
      <c r="H10" s="7">
        <f t="shared" si="0"/>
        <v>0</v>
      </c>
      <c r="I10" s="7">
        <f t="shared" si="1"/>
        <v>222.45</v>
      </c>
      <c r="J10" s="9">
        <f t="shared" si="2"/>
        <v>0.97633136094674555</v>
      </c>
      <c r="K10" s="9">
        <v>0.46193163722879133</v>
      </c>
      <c r="L10" s="13">
        <v>-0.33240609281424527</v>
      </c>
      <c r="M10" s="13">
        <v>7.0389159472831384</v>
      </c>
      <c r="N10" s="7">
        <f>'Option source'!C733</f>
        <v>124328488</v>
      </c>
      <c r="O10" s="7">
        <f>'Option source'!G733</f>
        <v>198.18</v>
      </c>
      <c r="P10" s="7">
        <f>'Option source'!F733</f>
        <v>249</v>
      </c>
      <c r="Q10" s="1" t="s">
        <v>88</v>
      </c>
      <c r="R10" s="1">
        <v>728</v>
      </c>
    </row>
    <row r="11" spans="1:18" ht="21" customHeight="1">
      <c r="A11" s="8">
        <v>46281</v>
      </c>
      <c r="B11" s="1" t="s">
        <v>93</v>
      </c>
      <c r="C11" s="39" t="s">
        <v>87</v>
      </c>
      <c r="D11" s="7">
        <v>7000</v>
      </c>
      <c r="E11" s="7">
        <f>'Option source'!B277</f>
        <v>289.64999999999998</v>
      </c>
      <c r="F11" s="7">
        <v>6760</v>
      </c>
      <c r="G11" s="14">
        <v>30</v>
      </c>
      <c r="H11" s="7">
        <f t="shared" si="0"/>
        <v>0</v>
      </c>
      <c r="I11" s="7">
        <f t="shared" si="1"/>
        <v>289.64999999999998</v>
      </c>
      <c r="J11" s="9">
        <f t="shared" si="2"/>
        <v>1.0355029585798816</v>
      </c>
      <c r="K11" s="9">
        <v>0.41615491438905555</v>
      </c>
      <c r="L11" s="13">
        <v>0.48959346754281935</v>
      </c>
      <c r="M11" s="13">
        <v>7.7289975028353117</v>
      </c>
      <c r="N11" s="7">
        <f>'Option source'!C277</f>
        <v>223562320</v>
      </c>
      <c r="O11" s="7">
        <f>'Option source'!G277</f>
        <v>237</v>
      </c>
      <c r="P11" s="7">
        <f>'Option source'!F277</f>
        <v>329.06</v>
      </c>
      <c r="Q11" s="1" t="s">
        <v>88</v>
      </c>
      <c r="R11" s="1">
        <v>272</v>
      </c>
    </row>
    <row r="12" spans="1:18" ht="21" customHeight="1">
      <c r="A12" s="8">
        <v>46281</v>
      </c>
      <c r="B12" s="1" t="s">
        <v>94</v>
      </c>
      <c r="C12" s="39" t="s">
        <v>90</v>
      </c>
      <c r="D12" s="7">
        <v>7000</v>
      </c>
      <c r="E12" s="7">
        <f>'Option source'!B771</f>
        <v>427.03</v>
      </c>
      <c r="F12" s="7">
        <v>6760</v>
      </c>
      <c r="G12" s="14">
        <v>30</v>
      </c>
      <c r="H12" s="7">
        <f t="shared" si="0"/>
        <v>240</v>
      </c>
      <c r="I12" s="7">
        <f t="shared" si="1"/>
        <v>187.02999999999997</v>
      </c>
      <c r="J12" s="9">
        <f t="shared" si="2"/>
        <v>1.0355029585798816</v>
      </c>
      <c r="K12" s="9">
        <v>0.47075018839267918</v>
      </c>
      <c r="L12" s="13">
        <v>-0.50331849142142615</v>
      </c>
      <c r="M12" s="13">
        <v>7.7313606311029703</v>
      </c>
      <c r="N12" s="7">
        <f>'Option source'!C771</f>
        <v>45682320</v>
      </c>
      <c r="O12" s="7">
        <f>'Option source'!G771</f>
        <v>385</v>
      </c>
      <c r="P12" s="7">
        <f>'Option source'!F771</f>
        <v>465</v>
      </c>
      <c r="Q12" s="1" t="s">
        <v>88</v>
      </c>
      <c r="R12" s="1">
        <v>766</v>
      </c>
    </row>
    <row r="13" spans="1:18" ht="21" customHeight="1">
      <c r="A13" s="8">
        <v>46281</v>
      </c>
      <c r="B13" s="1" t="s">
        <v>95</v>
      </c>
      <c r="C13" s="39" t="s">
        <v>87</v>
      </c>
      <c r="D13" s="7">
        <v>6400</v>
      </c>
      <c r="E13" s="7">
        <f>'Option source'!B220</f>
        <v>616.1</v>
      </c>
      <c r="F13" s="7">
        <v>6760</v>
      </c>
      <c r="G13" s="14">
        <v>30</v>
      </c>
      <c r="H13" s="7">
        <f t="shared" si="0"/>
        <v>360</v>
      </c>
      <c r="I13" s="7">
        <f t="shared" si="1"/>
        <v>256.10000000000002</v>
      </c>
      <c r="J13" s="9">
        <f t="shared" si="2"/>
        <v>0.94674556213017746</v>
      </c>
      <c r="K13" s="9">
        <v>0.38698395651466128</v>
      </c>
      <c r="L13" s="13">
        <v>0.77964208126946777</v>
      </c>
      <c r="M13" s="13">
        <v>5.7437398963792452</v>
      </c>
      <c r="N13" s="7">
        <f>'Option source'!C220</f>
        <v>27128652</v>
      </c>
      <c r="O13" s="7">
        <f>'Option source'!G220</f>
        <v>570</v>
      </c>
      <c r="P13" s="7">
        <f>'Option source'!F220</f>
        <v>670</v>
      </c>
      <c r="Q13" s="1" t="s">
        <v>88</v>
      </c>
      <c r="R13" s="1">
        <v>215</v>
      </c>
    </row>
    <row r="14" spans="1:18" ht="21" customHeight="1">
      <c r="A14" s="8">
        <v>46281</v>
      </c>
      <c r="B14" s="1" t="s">
        <v>96</v>
      </c>
      <c r="C14" s="39" t="s">
        <v>90</v>
      </c>
      <c r="D14" s="7">
        <v>6400</v>
      </c>
      <c r="E14" s="7">
        <f>'Option source'!B714</f>
        <v>150.25</v>
      </c>
      <c r="F14" s="7">
        <v>6760</v>
      </c>
      <c r="G14" s="14">
        <v>30</v>
      </c>
      <c r="H14" s="7">
        <f t="shared" si="0"/>
        <v>0</v>
      </c>
      <c r="I14" s="7">
        <f t="shared" si="1"/>
        <v>150.25</v>
      </c>
      <c r="J14" s="9">
        <f t="shared" si="2"/>
        <v>0.94674556213017746</v>
      </c>
      <c r="K14" s="9">
        <v>0.45952810417546824</v>
      </c>
      <c r="L14" s="13">
        <v>-0.25193011498704432</v>
      </c>
      <c r="M14" s="13">
        <v>6.1837276030372292</v>
      </c>
      <c r="N14" s="7">
        <f>'Option source'!C714</f>
        <v>109657352</v>
      </c>
      <c r="O14" s="7">
        <f>'Option source'!G714</f>
        <v>132.99</v>
      </c>
      <c r="P14" s="7">
        <f>'Option source'!F714</f>
        <v>171</v>
      </c>
      <c r="Q14" s="1" t="s">
        <v>88</v>
      </c>
      <c r="R14" s="1">
        <v>709</v>
      </c>
    </row>
    <row r="15" spans="1:18" ht="21" customHeight="1">
      <c r="A15" s="8">
        <v>46281</v>
      </c>
      <c r="B15" s="1" t="s">
        <v>97</v>
      </c>
      <c r="C15" s="39" t="s">
        <v>87</v>
      </c>
      <c r="D15" s="7">
        <v>7200</v>
      </c>
      <c r="E15" s="7">
        <f>'Option source'!B296</f>
        <v>213.18</v>
      </c>
      <c r="F15" s="7">
        <v>6760</v>
      </c>
      <c r="G15" s="14">
        <v>30</v>
      </c>
      <c r="H15" s="7">
        <f t="shared" si="0"/>
        <v>0</v>
      </c>
      <c r="I15" s="7">
        <f t="shared" si="1"/>
        <v>213.18</v>
      </c>
      <c r="J15" s="9">
        <f t="shared" si="2"/>
        <v>1.0650887573964498</v>
      </c>
      <c r="K15" s="9">
        <v>0.41725879716420727</v>
      </c>
      <c r="L15" s="13">
        <v>0.39697004851840029</v>
      </c>
      <c r="M15" s="13">
        <v>7.4723337000165539</v>
      </c>
      <c r="N15" s="7">
        <f>'Option source'!C296</f>
        <v>147861040</v>
      </c>
      <c r="O15" s="7">
        <f>'Option source'!G296</f>
        <v>181</v>
      </c>
      <c r="P15" s="7">
        <f>'Option source'!F296</f>
        <v>245</v>
      </c>
      <c r="Q15" s="1" t="s">
        <v>88</v>
      </c>
      <c r="R15" s="1">
        <v>291</v>
      </c>
    </row>
    <row r="16" spans="1:18" ht="21" customHeight="1">
      <c r="A16" s="8">
        <v>46281</v>
      </c>
      <c r="B16" s="1" t="s">
        <v>98</v>
      </c>
      <c r="C16" s="39" t="s">
        <v>90</v>
      </c>
      <c r="D16" s="7">
        <v>7200</v>
      </c>
      <c r="E16" s="7">
        <f>'Option source'!B790</f>
        <v>550.35</v>
      </c>
      <c r="F16" s="7">
        <v>6760</v>
      </c>
      <c r="G16" s="14">
        <v>30</v>
      </c>
      <c r="H16" s="7">
        <f t="shared" si="0"/>
        <v>440</v>
      </c>
      <c r="I16" s="7">
        <f t="shared" si="1"/>
        <v>110.35000000000002</v>
      </c>
      <c r="J16" s="9">
        <f t="shared" si="2"/>
        <v>1.0650887573964498</v>
      </c>
      <c r="K16" s="9">
        <v>0.46356595077901613</v>
      </c>
      <c r="L16" s="13">
        <v>-0.58803492782178024</v>
      </c>
      <c r="M16" s="13">
        <v>7.5426071851499827</v>
      </c>
      <c r="N16" s="7">
        <f>'Option source'!C790</f>
        <v>10836713</v>
      </c>
      <c r="O16" s="7">
        <f>'Option source'!G790</f>
        <v>521</v>
      </c>
      <c r="P16" s="7">
        <f>'Option source'!F790</f>
        <v>590</v>
      </c>
      <c r="Q16" s="1" t="s">
        <v>88</v>
      </c>
      <c r="R16" s="1">
        <v>785</v>
      </c>
    </row>
    <row r="17" spans="1:18" ht="21" customHeight="1">
      <c r="A17" s="8">
        <v>46281</v>
      </c>
      <c r="B17" s="1" t="s">
        <v>99</v>
      </c>
      <c r="C17" s="39" t="s">
        <v>87</v>
      </c>
      <c r="D17" s="7">
        <v>6200</v>
      </c>
      <c r="E17" s="7">
        <f>'Option source'!B201</f>
        <v>704.74</v>
      </c>
      <c r="F17" s="7">
        <v>6760</v>
      </c>
      <c r="G17" s="14">
        <v>30</v>
      </c>
      <c r="H17" s="7">
        <f t="shared" si="0"/>
        <v>560</v>
      </c>
      <c r="I17" s="7">
        <f t="shared" si="1"/>
        <v>144.74</v>
      </c>
      <c r="J17" s="9">
        <f t="shared" si="2"/>
        <v>0.91715976331360949</v>
      </c>
      <c r="K17" s="9"/>
      <c r="L17" s="13"/>
      <c r="M17" s="13"/>
      <c r="N17" s="7">
        <f>'Option source'!C201</f>
        <v>13875889</v>
      </c>
      <c r="O17" s="7">
        <f>'Option source'!G201</f>
        <v>700</v>
      </c>
      <c r="P17" s="7">
        <f>'Option source'!F201</f>
        <v>810</v>
      </c>
      <c r="Q17" s="1" t="s">
        <v>100</v>
      </c>
      <c r="R17" s="1">
        <v>196</v>
      </c>
    </row>
    <row r="18" spans="1:18" ht="21" customHeight="1">
      <c r="A18" s="8">
        <v>46281</v>
      </c>
      <c r="B18" s="1" t="s">
        <v>101</v>
      </c>
      <c r="C18" s="39" t="s">
        <v>90</v>
      </c>
      <c r="D18" s="7">
        <v>6200</v>
      </c>
      <c r="E18" s="7">
        <f>'Option source'!B695</f>
        <v>97.41</v>
      </c>
      <c r="F18" s="7">
        <v>6760</v>
      </c>
      <c r="G18" s="14">
        <v>30</v>
      </c>
      <c r="H18" s="7">
        <f t="shared" si="0"/>
        <v>0</v>
      </c>
      <c r="I18" s="7">
        <f t="shared" si="1"/>
        <v>97.41</v>
      </c>
      <c r="J18" s="9">
        <f t="shared" si="2"/>
        <v>0.91715976331360949</v>
      </c>
      <c r="K18" s="9">
        <v>0.45889877574325805</v>
      </c>
      <c r="L18" s="13">
        <v>-0.18128332108588019</v>
      </c>
      <c r="M18" s="13">
        <v>5.1081011638969525</v>
      </c>
      <c r="N18" s="7">
        <f>'Option source'!C695</f>
        <v>54669212</v>
      </c>
      <c r="O18" s="7">
        <f>'Option source'!G695</f>
        <v>83.05</v>
      </c>
      <c r="P18" s="7">
        <f>'Option source'!F695</f>
        <v>117.6</v>
      </c>
      <c r="Q18" s="1" t="s">
        <v>88</v>
      </c>
      <c r="R18" s="1">
        <v>690</v>
      </c>
    </row>
    <row r="19" spans="1:18" ht="21" customHeight="1">
      <c r="A19" s="8">
        <v>46281</v>
      </c>
      <c r="B19" s="1" t="s">
        <v>102</v>
      </c>
      <c r="C19" s="39" t="s">
        <v>87</v>
      </c>
      <c r="D19" s="7">
        <v>7400</v>
      </c>
      <c r="E19" s="7">
        <f>'Option source'!B315</f>
        <v>157.13999999999999</v>
      </c>
      <c r="F19" s="7">
        <v>6760</v>
      </c>
      <c r="G19" s="14">
        <v>30</v>
      </c>
      <c r="H19" s="7">
        <f t="shared" si="0"/>
        <v>0</v>
      </c>
      <c r="I19" s="7">
        <f t="shared" si="1"/>
        <v>157.13999999999999</v>
      </c>
      <c r="J19" s="9">
        <f t="shared" si="2"/>
        <v>1.0946745562130178</v>
      </c>
      <c r="K19" s="9">
        <v>0.42384091436363663</v>
      </c>
      <c r="L19" s="13">
        <v>0.31534577296766164</v>
      </c>
      <c r="M19" s="13">
        <v>6.8878390088223478</v>
      </c>
      <c r="N19" s="7">
        <f>'Option source'!C315</f>
        <v>192882096</v>
      </c>
      <c r="O19" s="7">
        <f>'Option source'!G315</f>
        <v>111</v>
      </c>
      <c r="P19" s="7">
        <f>'Option source'!F315</f>
        <v>177.99</v>
      </c>
      <c r="Q19" s="1" t="s">
        <v>88</v>
      </c>
      <c r="R19" s="1">
        <v>310</v>
      </c>
    </row>
    <row r="20" spans="1:18" ht="21" customHeight="1">
      <c r="A20" s="8">
        <v>46281</v>
      </c>
      <c r="B20" s="1" t="s">
        <v>103</v>
      </c>
      <c r="C20" s="39" t="s">
        <v>90</v>
      </c>
      <c r="D20" s="7">
        <v>7400</v>
      </c>
      <c r="E20" s="7">
        <f>'Option source'!B809</f>
        <v>677.83</v>
      </c>
      <c r="F20" s="7">
        <v>6760</v>
      </c>
      <c r="G20" s="14">
        <v>30</v>
      </c>
      <c r="H20" s="7">
        <f t="shared" si="0"/>
        <v>640</v>
      </c>
      <c r="I20" s="7">
        <f t="shared" si="1"/>
        <v>37.830000000000041</v>
      </c>
      <c r="J20" s="9">
        <f t="shared" si="2"/>
        <v>1.0946745562130178</v>
      </c>
      <c r="K20" s="9">
        <v>0.42688101271685724</v>
      </c>
      <c r="L20" s="13">
        <v>-0.68312718295568586</v>
      </c>
      <c r="M20" s="13">
        <v>6.9020031874113696</v>
      </c>
      <c r="N20" s="7">
        <f>'Option source'!C809</f>
        <v>6190239</v>
      </c>
      <c r="O20" s="7">
        <f>'Option source'!G809</f>
        <v>630.54999999999995</v>
      </c>
      <c r="P20" s="7">
        <f>'Option source'!F809</f>
        <v>715.55</v>
      </c>
      <c r="Q20" s="1" t="s">
        <v>88</v>
      </c>
      <c r="R20" s="1">
        <v>804</v>
      </c>
    </row>
    <row r="21" spans="1:18" ht="21" customHeight="1">
      <c r="A21" s="8">
        <v>46281</v>
      </c>
      <c r="B21" s="1" t="s">
        <v>104</v>
      </c>
      <c r="C21" s="39" t="s">
        <v>87</v>
      </c>
      <c r="D21" s="7">
        <v>6000</v>
      </c>
      <c r="E21" s="7">
        <f>'Option source'!B182</f>
        <v>916.41</v>
      </c>
      <c r="F21" s="7">
        <v>6760</v>
      </c>
      <c r="G21" s="14">
        <v>30</v>
      </c>
      <c r="H21" s="7">
        <f t="shared" si="0"/>
        <v>760</v>
      </c>
      <c r="I21" s="7">
        <f t="shared" si="1"/>
        <v>156.40999999999997</v>
      </c>
      <c r="J21" s="9">
        <f t="shared" si="2"/>
        <v>0.8875739644970414</v>
      </c>
      <c r="K21" s="9">
        <v>0.29844270352894725</v>
      </c>
      <c r="L21" s="13">
        <v>0.95772446266928424</v>
      </c>
      <c r="M21" s="13">
        <v>1.7467079536767682</v>
      </c>
      <c r="N21" s="7">
        <f>'Option source'!C182</f>
        <v>11611929</v>
      </c>
      <c r="O21" s="7">
        <f>'Option source'!G182</f>
        <v>856.28</v>
      </c>
      <c r="P21" s="7">
        <f>'Option source'!F182</f>
        <v>946.54</v>
      </c>
      <c r="Q21" s="1" t="s">
        <v>88</v>
      </c>
      <c r="R21" s="1">
        <v>177</v>
      </c>
    </row>
    <row r="22" spans="1:18" ht="21" customHeight="1">
      <c r="A22" s="8">
        <v>46281</v>
      </c>
      <c r="B22" s="1" t="s">
        <v>105</v>
      </c>
      <c r="C22" s="39" t="s">
        <v>90</v>
      </c>
      <c r="D22" s="7">
        <v>6000</v>
      </c>
      <c r="E22" s="7">
        <f>'Option source'!B676</f>
        <v>56.82</v>
      </c>
      <c r="F22" s="7">
        <v>6760</v>
      </c>
      <c r="G22" s="14">
        <v>30</v>
      </c>
      <c r="H22" s="7">
        <f t="shared" si="0"/>
        <v>0</v>
      </c>
      <c r="I22" s="7">
        <f t="shared" si="1"/>
        <v>56.82</v>
      </c>
      <c r="J22" s="9">
        <f t="shared" si="2"/>
        <v>0.8875739644970414</v>
      </c>
      <c r="K22" s="9">
        <v>0.45172074248788235</v>
      </c>
      <c r="L22" s="13">
        <v>-0.11978267731393377</v>
      </c>
      <c r="M22" s="13">
        <v>3.8718970414598628</v>
      </c>
      <c r="N22" s="7">
        <f>'Option source'!C676</f>
        <v>31602294</v>
      </c>
      <c r="O22" s="7">
        <f>'Option source'!G676</f>
        <v>48.93</v>
      </c>
      <c r="P22" s="7">
        <f>'Option source'!F676</f>
        <v>69.709999999999994</v>
      </c>
      <c r="Q22" s="1" t="s">
        <v>88</v>
      </c>
      <c r="R22" s="1">
        <v>671</v>
      </c>
    </row>
    <row r="23" spans="1:18" ht="21" customHeight="1">
      <c r="A23" s="8">
        <v>46281</v>
      </c>
      <c r="B23" s="1" t="s">
        <v>106</v>
      </c>
      <c r="C23" s="39" t="s">
        <v>87</v>
      </c>
      <c r="D23" s="7">
        <v>7600</v>
      </c>
      <c r="E23" s="7">
        <f>'Option source'!B334</f>
        <v>107.66</v>
      </c>
      <c r="F23" s="7">
        <v>6760</v>
      </c>
      <c r="G23" s="14">
        <v>30</v>
      </c>
      <c r="H23" s="7">
        <f t="shared" si="0"/>
        <v>0</v>
      </c>
      <c r="I23" s="7">
        <f t="shared" si="1"/>
        <v>107.66</v>
      </c>
      <c r="J23" s="9">
        <f t="shared" si="2"/>
        <v>1.1242603550295858</v>
      </c>
      <c r="K23" s="9">
        <v>0.41897013963643642</v>
      </c>
      <c r="L23" s="13">
        <v>0.23892341875770259</v>
      </c>
      <c r="M23" s="13">
        <v>6.010048439546301</v>
      </c>
      <c r="N23" s="7">
        <f>'Option source'!C334</f>
        <v>235477376</v>
      </c>
      <c r="O23" s="7">
        <f>'Option source'!G334</f>
        <v>95</v>
      </c>
      <c r="P23" s="7">
        <f>'Option source'!F334</f>
        <v>127</v>
      </c>
      <c r="Q23" s="1" t="s">
        <v>88</v>
      </c>
      <c r="R23" s="1">
        <v>329</v>
      </c>
    </row>
    <row r="24" spans="1:18" ht="21" customHeight="1">
      <c r="A24" s="8">
        <v>46281</v>
      </c>
      <c r="B24" s="1" t="s">
        <v>107</v>
      </c>
      <c r="C24" s="39" t="s">
        <v>90</v>
      </c>
      <c r="D24" s="7">
        <v>7600</v>
      </c>
      <c r="E24" s="7">
        <f>'Option source'!B828</f>
        <v>857</v>
      </c>
      <c r="F24" s="7">
        <v>6760</v>
      </c>
      <c r="G24" s="14">
        <v>30</v>
      </c>
      <c r="H24" s="7">
        <f t="shared" si="0"/>
        <v>840</v>
      </c>
      <c r="I24" s="7">
        <f t="shared" si="1"/>
        <v>17</v>
      </c>
      <c r="J24" s="9">
        <f t="shared" si="2"/>
        <v>1.1242603550295858</v>
      </c>
      <c r="K24" s="9">
        <v>0.44896149599338425</v>
      </c>
      <c r="L24" s="13">
        <v>-0.74345861003276992</v>
      </c>
      <c r="M24" s="13">
        <v>6.2428199667532347</v>
      </c>
      <c r="N24" s="7">
        <f>'Option source'!C828</f>
        <v>4665704</v>
      </c>
      <c r="O24" s="7">
        <f>'Option source'!G828</f>
        <v>753.12</v>
      </c>
      <c r="P24" s="7">
        <f>'Option source'!F828</f>
        <v>916</v>
      </c>
      <c r="Q24" s="1" t="s">
        <v>88</v>
      </c>
      <c r="R24" s="1">
        <v>823</v>
      </c>
    </row>
    <row r="25" spans="1:18" ht="21" customHeight="1">
      <c r="A25" s="8">
        <v>46281</v>
      </c>
      <c r="B25" s="1" t="s">
        <v>108</v>
      </c>
      <c r="C25" s="39" t="s">
        <v>87</v>
      </c>
      <c r="D25" s="7">
        <v>5800</v>
      </c>
      <c r="E25" s="7">
        <f>'Option source'!B163</f>
        <v>1049.9000000000001</v>
      </c>
      <c r="F25" s="7">
        <v>6760</v>
      </c>
      <c r="G25" s="14">
        <v>30</v>
      </c>
      <c r="H25" s="7">
        <f t="shared" si="0"/>
        <v>960</v>
      </c>
      <c r="I25" s="7">
        <f t="shared" si="1"/>
        <v>89.900000000000091</v>
      </c>
      <c r="J25" s="9">
        <f t="shared" si="2"/>
        <v>0.85798816568047342</v>
      </c>
      <c r="K25" s="9"/>
      <c r="L25" s="13"/>
      <c r="M25" s="13"/>
      <c r="N25" s="7">
        <f>'Option source'!C163</f>
        <v>1980739.25</v>
      </c>
      <c r="O25" s="7">
        <f>'Option source'!G163</f>
        <v>1059.3</v>
      </c>
      <c r="P25" s="7">
        <f>'Option source'!F163</f>
        <v>1142.92</v>
      </c>
      <c r="Q25" s="1" t="s">
        <v>109</v>
      </c>
      <c r="R25" s="1">
        <v>158</v>
      </c>
    </row>
    <row r="26" spans="1:18" ht="21" customHeight="1">
      <c r="A26" s="8">
        <v>46281</v>
      </c>
      <c r="B26" s="1" t="s">
        <v>110</v>
      </c>
      <c r="C26" s="39" t="s">
        <v>90</v>
      </c>
      <c r="D26" s="7">
        <v>5800</v>
      </c>
      <c r="E26" s="7">
        <f>'Option source'!B657</f>
        <v>31.98</v>
      </c>
      <c r="F26" s="7">
        <v>6760</v>
      </c>
      <c r="G26" s="14">
        <v>30</v>
      </c>
      <c r="H26" s="7">
        <f t="shared" si="0"/>
        <v>0</v>
      </c>
      <c r="I26" s="7">
        <f t="shared" si="1"/>
        <v>31.98</v>
      </c>
      <c r="J26" s="9">
        <f t="shared" si="2"/>
        <v>0.85798816568047342</v>
      </c>
      <c r="K26" s="9">
        <v>0.45084665351652214</v>
      </c>
      <c r="L26" s="13">
        <v>-7.4878539864817961E-2</v>
      </c>
      <c r="M26" s="13">
        <v>2.7399994756111874</v>
      </c>
      <c r="N26" s="7">
        <f>'Option source'!C657</f>
        <v>14883324</v>
      </c>
      <c r="O26" s="7">
        <f>'Option source'!G657</f>
        <v>26.55</v>
      </c>
      <c r="P26" s="7">
        <f>'Option source'!F657</f>
        <v>37.89</v>
      </c>
      <c r="Q26" s="1" t="s">
        <v>88</v>
      </c>
      <c r="R26" s="1">
        <v>652</v>
      </c>
    </row>
    <row r="27" spans="1:18" ht="21" customHeight="1">
      <c r="A27" s="8">
        <v>46281</v>
      </c>
      <c r="B27" s="1" t="s">
        <v>111</v>
      </c>
      <c r="C27" s="39" t="s">
        <v>87</v>
      </c>
      <c r="D27" s="7">
        <v>7800</v>
      </c>
      <c r="E27" s="7">
        <f>'Option source'!B353</f>
        <v>75.86</v>
      </c>
      <c r="F27" s="7">
        <v>6760</v>
      </c>
      <c r="G27" s="14">
        <v>30</v>
      </c>
      <c r="H27" s="7">
        <f t="shared" si="0"/>
        <v>0</v>
      </c>
      <c r="I27" s="7">
        <f t="shared" si="1"/>
        <v>75.86</v>
      </c>
      <c r="J27" s="9">
        <f t="shared" si="2"/>
        <v>1.1538461538461537</v>
      </c>
      <c r="K27" s="9">
        <v>0.42340313037798077</v>
      </c>
      <c r="L27" s="13">
        <v>0.18007865112930005</v>
      </c>
      <c r="M27" s="13">
        <v>5.0867907390760907</v>
      </c>
      <c r="N27" s="7">
        <f>'Option source'!C353</f>
        <v>97534584</v>
      </c>
      <c r="O27" s="7">
        <f>'Option source'!G353</f>
        <v>67.010000000000005</v>
      </c>
      <c r="P27" s="7">
        <f>'Option source'!F353</f>
        <v>89.99</v>
      </c>
      <c r="Q27" s="1" t="s">
        <v>88</v>
      </c>
      <c r="R27" s="1">
        <v>348</v>
      </c>
    </row>
    <row r="28" spans="1:18" ht="21" customHeight="1">
      <c r="A28" s="8">
        <v>46281</v>
      </c>
      <c r="B28" s="1" t="s">
        <v>112</v>
      </c>
      <c r="C28" s="39" t="s">
        <v>90</v>
      </c>
      <c r="D28" s="7">
        <v>7800</v>
      </c>
      <c r="E28" s="7">
        <f>'Option source'!B847</f>
        <v>1000</v>
      </c>
      <c r="F28" s="7">
        <v>6760</v>
      </c>
      <c r="G28" s="14">
        <v>30</v>
      </c>
      <c r="H28" s="7">
        <f t="shared" si="0"/>
        <v>1040</v>
      </c>
      <c r="I28" s="7">
        <f t="shared" si="1"/>
        <v>-40</v>
      </c>
      <c r="J28" s="9">
        <f t="shared" si="2"/>
        <v>1.1538461538461537</v>
      </c>
      <c r="K28" s="9"/>
      <c r="L28" s="13"/>
      <c r="M28" s="13"/>
      <c r="N28" s="7">
        <f>'Option source'!C847</f>
        <v>302000</v>
      </c>
      <c r="O28" s="7">
        <f>'Option source'!G847</f>
        <v>1020</v>
      </c>
      <c r="P28" s="7">
        <f>'Option source'!F847</f>
        <v>1020</v>
      </c>
      <c r="Q28" s="1" t="s">
        <v>113</v>
      </c>
      <c r="R28" s="1">
        <v>842</v>
      </c>
    </row>
    <row r="29" spans="1:18" ht="21" customHeight="1">
      <c r="A29" s="8">
        <v>46281</v>
      </c>
      <c r="B29" s="1" t="s">
        <v>114</v>
      </c>
      <c r="C29" s="39" t="s">
        <v>87</v>
      </c>
      <c r="D29" s="7">
        <v>5600</v>
      </c>
      <c r="E29" s="7">
        <f>'Option source'!B153</f>
        <v>1233.1300000000001</v>
      </c>
      <c r="F29" s="7">
        <v>6760</v>
      </c>
      <c r="G29" s="14">
        <v>30</v>
      </c>
      <c r="H29" s="7">
        <f t="shared" si="0"/>
        <v>1160</v>
      </c>
      <c r="I29" s="7">
        <f t="shared" si="1"/>
        <v>73.130000000000109</v>
      </c>
      <c r="J29" s="9">
        <f t="shared" si="2"/>
        <v>0.82840236686390534</v>
      </c>
      <c r="K29" s="9"/>
      <c r="L29" s="13"/>
      <c r="M29" s="13"/>
      <c r="N29" s="7">
        <f>'Option source'!C153</f>
        <v>1870673.75</v>
      </c>
      <c r="O29" s="7">
        <f>'Option source'!G153</f>
        <v>1227.44</v>
      </c>
      <c r="P29" s="7">
        <f>'Option source'!F153</f>
        <v>1335.39</v>
      </c>
      <c r="Q29" s="1" t="s">
        <v>100</v>
      </c>
      <c r="R29" s="1">
        <v>148</v>
      </c>
    </row>
    <row r="30" spans="1:18" ht="21" customHeight="1">
      <c r="A30" s="8">
        <v>46281</v>
      </c>
      <c r="B30" s="1" t="s">
        <v>115</v>
      </c>
      <c r="C30" s="39" t="s">
        <v>90</v>
      </c>
      <c r="D30" s="7">
        <v>5600</v>
      </c>
      <c r="E30" s="7">
        <f>'Option source'!B638</f>
        <v>17.149999999999999</v>
      </c>
      <c r="F30" s="7">
        <v>6760</v>
      </c>
      <c r="G30" s="14">
        <v>30</v>
      </c>
      <c r="H30" s="7">
        <f t="shared" si="0"/>
        <v>0</v>
      </c>
      <c r="I30" s="7">
        <f t="shared" si="1"/>
        <v>17.149999999999999</v>
      </c>
      <c r="J30" s="9">
        <f t="shared" si="2"/>
        <v>0.82840236686390534</v>
      </c>
      <c r="K30" s="9">
        <v>0.45291432335443466</v>
      </c>
      <c r="L30" s="13">
        <v>-4.4129108598363498E-2</v>
      </c>
      <c r="M30" s="13">
        <v>1.8083049649206464</v>
      </c>
      <c r="N30" s="7">
        <f>'Option source'!C638</f>
        <v>7799133.5</v>
      </c>
      <c r="O30" s="7">
        <f>'Option source'!G638</f>
        <v>14.36</v>
      </c>
      <c r="P30" s="7">
        <f>'Option source'!F638</f>
        <v>22.99</v>
      </c>
      <c r="Q30" s="1" t="s">
        <v>88</v>
      </c>
      <c r="R30" s="1">
        <v>633</v>
      </c>
    </row>
    <row r="31" spans="1:18" ht="21" customHeight="1">
      <c r="A31" s="8">
        <v>46281</v>
      </c>
      <c r="B31" s="1" t="s">
        <v>116</v>
      </c>
      <c r="C31" s="39" t="s">
        <v>87</v>
      </c>
      <c r="D31" s="7">
        <v>8000</v>
      </c>
      <c r="E31" s="7">
        <f>'Option source'!B372</f>
        <v>54.71</v>
      </c>
      <c r="F31" s="7">
        <v>6760</v>
      </c>
      <c r="G31" s="14">
        <v>30</v>
      </c>
      <c r="H31" s="7">
        <f t="shared" si="0"/>
        <v>0</v>
      </c>
      <c r="I31" s="7">
        <f t="shared" si="1"/>
        <v>54.71</v>
      </c>
      <c r="J31" s="9">
        <f t="shared" si="2"/>
        <v>1.1834319526627219</v>
      </c>
      <c r="K31" s="9">
        <v>0.43226053552172777</v>
      </c>
      <c r="L31" s="13">
        <v>0.13608028228410621</v>
      </c>
      <c r="M31" s="13">
        <v>4.2308672808798233</v>
      </c>
      <c r="N31" s="7">
        <f>'Option source'!C372</f>
        <v>66091964</v>
      </c>
      <c r="O31" s="7">
        <f>'Option source'!G372</f>
        <v>46.6</v>
      </c>
      <c r="P31" s="7">
        <f>'Option source'!F372</f>
        <v>62.99</v>
      </c>
      <c r="Q31" s="1" t="s">
        <v>88</v>
      </c>
      <c r="R31" s="1">
        <v>367</v>
      </c>
    </row>
    <row r="32" spans="1:18" ht="21" customHeight="1">
      <c r="A32" s="8">
        <v>46281</v>
      </c>
      <c r="B32" s="1" t="s">
        <v>117</v>
      </c>
      <c r="C32" s="39" t="s">
        <v>90</v>
      </c>
      <c r="D32" s="7">
        <v>8000</v>
      </c>
      <c r="E32" s="7">
        <f>'Option source'!B866</f>
        <v>1230</v>
      </c>
      <c r="F32" s="7">
        <v>6760</v>
      </c>
      <c r="G32" s="14">
        <v>30</v>
      </c>
      <c r="H32" s="7">
        <f t="shared" si="0"/>
        <v>1240</v>
      </c>
      <c r="I32" s="7">
        <f t="shared" si="1"/>
        <v>-10</v>
      </c>
      <c r="J32" s="9">
        <f t="shared" si="2"/>
        <v>1.1834319526627219</v>
      </c>
      <c r="K32" s="9"/>
      <c r="L32" s="13"/>
      <c r="M32" s="13"/>
      <c r="N32" s="7">
        <f>'Option source'!C866</f>
        <v>0</v>
      </c>
      <c r="O32" s="7">
        <f>'Option source'!G866</f>
        <v>1109</v>
      </c>
      <c r="P32" s="7">
        <f>'Option source'!F866</f>
        <v>1250</v>
      </c>
      <c r="Q32" s="1" t="s">
        <v>118</v>
      </c>
      <c r="R32" s="1">
        <v>861</v>
      </c>
    </row>
    <row r="33" spans="1:18" ht="21" customHeight="1">
      <c r="A33" s="8">
        <v>46281</v>
      </c>
      <c r="B33" s="1" t="s">
        <v>119</v>
      </c>
      <c r="C33" s="39" t="s">
        <v>87</v>
      </c>
      <c r="D33" s="7">
        <v>5400</v>
      </c>
      <c r="E33" s="7">
        <f>'Option source'!B135</f>
        <v>1470</v>
      </c>
      <c r="F33" s="7">
        <v>6760</v>
      </c>
      <c r="G33" s="14">
        <v>30</v>
      </c>
      <c r="H33" s="7">
        <f t="shared" si="0"/>
        <v>1360</v>
      </c>
      <c r="I33" s="7">
        <f t="shared" si="1"/>
        <v>110</v>
      </c>
      <c r="J33" s="9">
        <f t="shared" si="2"/>
        <v>0.79881656804733725</v>
      </c>
      <c r="K33" s="9"/>
      <c r="L33" s="13"/>
      <c r="M33" s="13"/>
      <c r="N33" s="7">
        <f>'Option source'!C135</f>
        <v>0</v>
      </c>
      <c r="O33" s="7">
        <f>'Option source'!G135</f>
        <v>1424.19</v>
      </c>
      <c r="P33" s="7">
        <f>'Option source'!F135</f>
        <v>1532.25</v>
      </c>
      <c r="Q33" s="1" t="s">
        <v>25</v>
      </c>
      <c r="R33" s="1">
        <v>130</v>
      </c>
    </row>
    <row r="34" spans="1:18" ht="21" customHeight="1">
      <c r="A34" s="8">
        <v>46281</v>
      </c>
      <c r="B34" s="1" t="s">
        <v>120</v>
      </c>
      <c r="C34" s="39" t="s">
        <v>90</v>
      </c>
      <c r="D34" s="7">
        <v>5400</v>
      </c>
      <c r="E34" s="7">
        <f>'Option source'!B619</f>
        <v>9.02</v>
      </c>
      <c r="F34" s="7">
        <v>6760</v>
      </c>
      <c r="G34" s="14">
        <v>30</v>
      </c>
      <c r="H34" s="7">
        <f t="shared" si="0"/>
        <v>0</v>
      </c>
      <c r="I34" s="7">
        <f t="shared" si="1"/>
        <v>9.02</v>
      </c>
      <c r="J34" s="9">
        <f t="shared" si="2"/>
        <v>0.79881656804733725</v>
      </c>
      <c r="K34" s="9">
        <v>0.45968662692499124</v>
      </c>
      <c r="L34" s="13">
        <v>-2.5148638724061034E-2</v>
      </c>
      <c r="M34" s="13">
        <v>1.1383263620540112</v>
      </c>
      <c r="N34" s="7">
        <f>'Option source'!C619</f>
        <v>1795599.12</v>
      </c>
      <c r="O34" s="7">
        <f>'Option source'!G619</f>
        <v>7.3</v>
      </c>
      <c r="P34" s="7">
        <f>'Option source'!F619</f>
        <v>12.63</v>
      </c>
      <c r="Q34" s="1" t="s">
        <v>88</v>
      </c>
      <c r="R34" s="1">
        <v>614</v>
      </c>
    </row>
    <row r="35" spans="1:18" ht="21" customHeight="1">
      <c r="A35" s="8">
        <v>46281</v>
      </c>
      <c r="B35" s="1" t="s">
        <v>121</v>
      </c>
      <c r="C35" s="39" t="s">
        <v>87</v>
      </c>
      <c r="D35" s="7">
        <v>8300</v>
      </c>
      <c r="E35" s="7">
        <f>'Option source'!B391</f>
        <v>32.200000000000003</v>
      </c>
      <c r="F35" s="7">
        <v>6760</v>
      </c>
      <c r="G35" s="14">
        <v>30</v>
      </c>
      <c r="H35" s="7">
        <f t="shared" si="0"/>
        <v>0</v>
      </c>
      <c r="I35" s="7">
        <f t="shared" si="1"/>
        <v>32.200000000000003</v>
      </c>
      <c r="J35" s="9">
        <f t="shared" si="2"/>
        <v>1.2278106508875739</v>
      </c>
      <c r="K35" s="9">
        <v>0.44108035174217802</v>
      </c>
      <c r="L35" s="13">
        <v>8.6163363710670876E-2</v>
      </c>
      <c r="M35" s="13">
        <v>3.0466019778882685</v>
      </c>
      <c r="N35" s="7">
        <f>'Option source'!C391</f>
        <v>26771796</v>
      </c>
      <c r="O35" s="7">
        <f>'Option source'!G391</f>
        <v>27</v>
      </c>
      <c r="P35" s="7">
        <f>'Option source'!F391</f>
        <v>38</v>
      </c>
      <c r="Q35" s="1" t="s">
        <v>88</v>
      </c>
      <c r="R35" s="1">
        <v>386</v>
      </c>
    </row>
    <row r="36" spans="1:18" ht="21" customHeight="1">
      <c r="A36" s="8">
        <v>46281</v>
      </c>
      <c r="B36" s="1" t="s">
        <v>122</v>
      </c>
      <c r="C36" s="39" t="s">
        <v>90</v>
      </c>
      <c r="D36" s="7">
        <v>8300</v>
      </c>
      <c r="E36" s="7">
        <f>'Option source'!B885</f>
        <v>1520</v>
      </c>
      <c r="F36" s="7">
        <v>6760</v>
      </c>
      <c r="G36" s="14">
        <v>30</v>
      </c>
      <c r="H36" s="7">
        <f t="shared" si="0"/>
        <v>1540</v>
      </c>
      <c r="I36" s="7">
        <f t="shared" si="1"/>
        <v>-20</v>
      </c>
      <c r="J36" s="9">
        <f t="shared" si="2"/>
        <v>1.2278106508875739</v>
      </c>
      <c r="K36" s="9"/>
      <c r="L36" s="13"/>
      <c r="M36" s="13"/>
      <c r="N36" s="7">
        <f>'Option source'!C885</f>
        <v>0</v>
      </c>
      <c r="O36" s="7">
        <f>'Option source'!G885</f>
        <v>1520</v>
      </c>
      <c r="P36" s="7">
        <f>'Option source'!F885</f>
        <v>1520</v>
      </c>
      <c r="Q36" s="1" t="s">
        <v>118</v>
      </c>
      <c r="R36" s="1">
        <v>880</v>
      </c>
    </row>
    <row r="37" spans="1:18" ht="21" customHeight="1">
      <c r="A37" s="8">
        <v>46281</v>
      </c>
      <c r="B37" s="1" t="s">
        <v>123</v>
      </c>
      <c r="C37" s="39" t="s">
        <v>87</v>
      </c>
      <c r="D37" s="7">
        <v>5200</v>
      </c>
      <c r="E37" s="7">
        <f>'Option source'!B116</f>
        <v>1678.07</v>
      </c>
      <c r="F37" s="7">
        <v>6760</v>
      </c>
      <c r="G37" s="14">
        <v>30</v>
      </c>
      <c r="H37" s="7">
        <f t="shared" si="0"/>
        <v>1560</v>
      </c>
      <c r="I37" s="7">
        <f t="shared" si="1"/>
        <v>118.06999999999994</v>
      </c>
      <c r="J37" s="9">
        <f t="shared" si="2"/>
        <v>0.76923076923076927</v>
      </c>
      <c r="K37" s="9"/>
      <c r="L37" s="13"/>
      <c r="M37" s="13"/>
      <c r="N37" s="7">
        <f>'Option source'!C116</f>
        <v>0</v>
      </c>
      <c r="O37" s="7">
        <f>'Option source'!G116</f>
        <v>1653.01</v>
      </c>
      <c r="P37" s="7">
        <f>'Option source'!F116</f>
        <v>1700</v>
      </c>
      <c r="Q37" s="1" t="s">
        <v>25</v>
      </c>
      <c r="R37" s="1">
        <v>111</v>
      </c>
    </row>
    <row r="38" spans="1:18" ht="21" customHeight="1">
      <c r="A38" s="8">
        <v>46281</v>
      </c>
      <c r="B38" s="1" t="s">
        <v>124</v>
      </c>
      <c r="C38" s="39" t="s">
        <v>90</v>
      </c>
      <c r="D38" s="7">
        <v>5200</v>
      </c>
      <c r="E38" s="7">
        <f>'Option source'!B600</f>
        <v>6.01</v>
      </c>
      <c r="F38" s="7">
        <v>6760</v>
      </c>
      <c r="G38" s="14">
        <v>30</v>
      </c>
      <c r="H38" s="7">
        <f t="shared" si="0"/>
        <v>0</v>
      </c>
      <c r="I38" s="7">
        <f t="shared" si="1"/>
        <v>6.01</v>
      </c>
      <c r="J38" s="9">
        <f t="shared" si="2"/>
        <v>0.76923076923076927</v>
      </c>
      <c r="K38" s="9">
        <v>0.48616180507639256</v>
      </c>
      <c r="L38" s="13">
        <v>-1.6627534551743706E-2</v>
      </c>
      <c r="M38" s="13">
        <v>0.80173253337122841</v>
      </c>
      <c r="N38" s="7">
        <f>'Option source'!C600</f>
        <v>533764.68999999994</v>
      </c>
      <c r="O38" s="7">
        <f>'Option source'!G600</f>
        <v>3.59</v>
      </c>
      <c r="P38" s="7">
        <f>'Option source'!F600</f>
        <v>7.7</v>
      </c>
      <c r="Q38" s="1" t="s">
        <v>88</v>
      </c>
      <c r="R38" s="1">
        <v>595</v>
      </c>
    </row>
    <row r="39" spans="1:18" ht="21" customHeight="1">
      <c r="A39" s="8">
        <v>46281</v>
      </c>
      <c r="B39" s="1" t="s">
        <v>125</v>
      </c>
      <c r="C39" s="39" t="s">
        <v>87</v>
      </c>
      <c r="D39" s="7">
        <v>5000</v>
      </c>
      <c r="E39" s="7">
        <f>'Option source'!B97</f>
        <v>1808.85</v>
      </c>
      <c r="F39" s="7">
        <v>6760</v>
      </c>
      <c r="G39" s="14">
        <v>30</v>
      </c>
      <c r="H39" s="7">
        <f t="shared" si="0"/>
        <v>1760</v>
      </c>
      <c r="I39" s="7">
        <f t="shared" si="1"/>
        <v>48.849999999999909</v>
      </c>
      <c r="J39" s="9">
        <f t="shared" si="2"/>
        <v>0.73964497041420119</v>
      </c>
      <c r="K39" s="9"/>
      <c r="L39" s="13"/>
      <c r="M39" s="13"/>
      <c r="N39" s="7">
        <f>'Option source'!C97</f>
        <v>361770.59</v>
      </c>
      <c r="O39" s="7">
        <f>'Option source'!G97</f>
        <v>0</v>
      </c>
      <c r="P39" s="7">
        <f>'Option source'!F97</f>
        <v>0</v>
      </c>
      <c r="Q39" s="1" t="s">
        <v>109</v>
      </c>
      <c r="R39" s="1">
        <v>92</v>
      </c>
    </row>
    <row r="40" spans="1:18" ht="21" customHeight="1">
      <c r="A40" s="8">
        <v>46281</v>
      </c>
      <c r="B40" s="1" t="s">
        <v>126</v>
      </c>
      <c r="C40" s="39" t="s">
        <v>90</v>
      </c>
      <c r="D40" s="7">
        <v>5000</v>
      </c>
      <c r="E40" s="7">
        <f>'Option source'!B581</f>
        <v>3.18</v>
      </c>
      <c r="F40" s="7">
        <v>6760</v>
      </c>
      <c r="G40" s="14">
        <v>30</v>
      </c>
      <c r="H40" s="7">
        <f t="shared" si="0"/>
        <v>0</v>
      </c>
      <c r="I40" s="7">
        <f t="shared" si="1"/>
        <v>3.18</v>
      </c>
      <c r="J40" s="9">
        <f t="shared" si="2"/>
        <v>0.73964497041420119</v>
      </c>
      <c r="K40" s="9">
        <v>0.49860677110259216</v>
      </c>
      <c r="L40" s="13">
        <v>-9.292573546693994E-3</v>
      </c>
      <c r="M40" s="13">
        <v>0.48444657439593569</v>
      </c>
      <c r="N40" s="7">
        <f>'Option source'!C581</f>
        <v>745490.69</v>
      </c>
      <c r="O40" s="7">
        <f>'Option source'!G581</f>
        <v>2</v>
      </c>
      <c r="P40" s="7">
        <f>'Option source'!F581</f>
        <v>3.99</v>
      </c>
      <c r="Q40" s="1" t="s">
        <v>88</v>
      </c>
      <c r="R40" s="1">
        <v>576</v>
      </c>
    </row>
    <row r="41" spans="1:18" ht="21" customHeight="1">
      <c r="A41" s="8">
        <v>46281</v>
      </c>
      <c r="B41" s="1" t="s">
        <v>127</v>
      </c>
      <c r="C41" s="39" t="s">
        <v>87</v>
      </c>
      <c r="D41" s="7">
        <v>8600</v>
      </c>
      <c r="E41" s="7">
        <f>'Option source'!B410</f>
        <v>17.940000000000001</v>
      </c>
      <c r="F41" s="7">
        <v>6760</v>
      </c>
      <c r="G41" s="14">
        <v>30</v>
      </c>
      <c r="H41" s="7">
        <f t="shared" si="0"/>
        <v>0</v>
      </c>
      <c r="I41" s="7">
        <f t="shared" si="1"/>
        <v>17.940000000000001</v>
      </c>
      <c r="J41" s="9">
        <f t="shared" si="2"/>
        <v>1.2721893491124261</v>
      </c>
      <c r="K41" s="9">
        <v>0.44561207270690256</v>
      </c>
      <c r="L41" s="13">
        <v>5.1812701732649909E-2</v>
      </c>
      <c r="M41" s="13">
        <v>2.0562805873537697</v>
      </c>
      <c r="N41" s="7">
        <f>'Option source'!C410</f>
        <v>7674966</v>
      </c>
      <c r="O41" s="7">
        <f>'Option source'!G410</f>
        <v>16</v>
      </c>
      <c r="P41" s="7">
        <f>'Option source'!F410</f>
        <v>24</v>
      </c>
      <c r="Q41" s="1" t="s">
        <v>88</v>
      </c>
      <c r="R41" s="1">
        <v>405</v>
      </c>
    </row>
    <row r="42" spans="1:18" ht="21" customHeight="1">
      <c r="A42" s="8">
        <v>46281</v>
      </c>
      <c r="B42" s="1" t="s">
        <v>128</v>
      </c>
      <c r="C42" s="39" t="s">
        <v>90</v>
      </c>
      <c r="D42" s="7">
        <v>8600</v>
      </c>
      <c r="E42" s="7">
        <f>'Option source'!B904</f>
        <v>1648.65</v>
      </c>
      <c r="F42" s="7">
        <v>6760</v>
      </c>
      <c r="G42" s="14">
        <v>30</v>
      </c>
      <c r="H42" s="7">
        <f t="shared" si="0"/>
        <v>1840</v>
      </c>
      <c r="I42" s="7">
        <f t="shared" si="1"/>
        <v>-191.34999999999991</v>
      </c>
      <c r="J42" s="9">
        <f t="shared" si="2"/>
        <v>1.2721893491124261</v>
      </c>
      <c r="K42" s="9"/>
      <c r="L42" s="13"/>
      <c r="M42" s="13"/>
      <c r="N42" s="7">
        <f>'Option source'!C904</f>
        <v>0</v>
      </c>
      <c r="O42" s="7">
        <f>'Option source'!G904</f>
        <v>1648.65</v>
      </c>
      <c r="P42" s="7">
        <f>'Option source'!F904</f>
        <v>1648.65</v>
      </c>
      <c r="Q42" s="1" t="s">
        <v>118</v>
      </c>
      <c r="R42" s="1">
        <v>899</v>
      </c>
    </row>
    <row r="43" spans="1:18" ht="21" customHeight="1">
      <c r="A43" s="8">
        <v>46281</v>
      </c>
      <c r="B43" s="1" t="s">
        <v>129</v>
      </c>
      <c r="C43" s="39" t="s">
        <v>87</v>
      </c>
      <c r="D43" s="7">
        <v>4800</v>
      </c>
      <c r="E43" s="7">
        <f>'Option source'!B80</f>
        <v>2084.21</v>
      </c>
      <c r="F43" s="7">
        <v>6760</v>
      </c>
      <c r="G43" s="14">
        <v>30</v>
      </c>
      <c r="H43" s="7">
        <f t="shared" si="0"/>
        <v>1960</v>
      </c>
      <c r="I43" s="7">
        <f t="shared" si="1"/>
        <v>124.21000000000004</v>
      </c>
      <c r="J43" s="9">
        <f t="shared" si="2"/>
        <v>0.7100591715976331</v>
      </c>
      <c r="K43" s="9"/>
      <c r="L43" s="13"/>
      <c r="M43" s="13"/>
      <c r="N43" s="7">
        <f>'Option source'!C80</f>
        <v>0</v>
      </c>
      <c r="O43" s="7">
        <f>'Option source'!G80</f>
        <v>2009.47</v>
      </c>
      <c r="P43" s="7">
        <f>'Option source'!F80</f>
        <v>2064.2800000000002</v>
      </c>
      <c r="Q43" s="1" t="s">
        <v>130</v>
      </c>
      <c r="R43" s="1">
        <v>75</v>
      </c>
    </row>
    <row r="44" spans="1:18" ht="21" customHeight="1">
      <c r="A44" s="8">
        <v>46281</v>
      </c>
      <c r="B44" s="1" t="s">
        <v>131</v>
      </c>
      <c r="C44" s="39" t="s">
        <v>90</v>
      </c>
      <c r="D44" s="7">
        <v>4800</v>
      </c>
      <c r="E44" s="7">
        <f>'Option source'!B562</f>
        <v>1.93</v>
      </c>
      <c r="F44" s="7">
        <v>6760</v>
      </c>
      <c r="G44" s="14">
        <v>30</v>
      </c>
      <c r="H44" s="7">
        <f t="shared" si="0"/>
        <v>0</v>
      </c>
      <c r="I44" s="7">
        <f t="shared" si="1"/>
        <v>1.93</v>
      </c>
      <c r="J44" s="9">
        <f t="shared" si="2"/>
        <v>0.7100591715976331</v>
      </c>
      <c r="K44" s="9">
        <v>0.52122828000290178</v>
      </c>
      <c r="L44" s="13">
        <v>-5.6849117188211284E-3</v>
      </c>
      <c r="M44" s="13">
        <v>0.31412311255618058</v>
      </c>
      <c r="N44" s="7">
        <f>'Option source'!C562</f>
        <v>271169.31</v>
      </c>
      <c r="O44" s="7">
        <f>'Option source'!G562</f>
        <v>1.75</v>
      </c>
      <c r="P44" s="7">
        <f>'Option source'!F562</f>
        <v>2.9</v>
      </c>
      <c r="Q44" s="1" t="s">
        <v>88</v>
      </c>
      <c r="R44" s="1">
        <v>557</v>
      </c>
    </row>
    <row r="45" spans="1:18" ht="21" customHeight="1">
      <c r="A45" s="8">
        <v>46281</v>
      </c>
      <c r="B45" s="1" t="s">
        <v>132</v>
      </c>
      <c r="C45" s="39" t="s">
        <v>87</v>
      </c>
      <c r="D45" s="7">
        <v>8900</v>
      </c>
      <c r="E45" s="7">
        <f>'Option source'!B429</f>
        <v>9.99</v>
      </c>
      <c r="F45" s="7">
        <v>6760</v>
      </c>
      <c r="G45" s="14">
        <v>30</v>
      </c>
      <c r="H45" s="7">
        <f t="shared" si="0"/>
        <v>0</v>
      </c>
      <c r="I45" s="7">
        <f t="shared" si="1"/>
        <v>9.99</v>
      </c>
      <c r="J45" s="9">
        <f t="shared" si="2"/>
        <v>1.3165680473372781</v>
      </c>
      <c r="K45" s="9">
        <v>0.45136294542413397</v>
      </c>
      <c r="L45" s="13">
        <v>3.0732678750993576E-2</v>
      </c>
      <c r="M45" s="13">
        <v>1.3453051088319929</v>
      </c>
      <c r="N45" s="7">
        <f>'Option source'!C429</f>
        <v>1861800.12</v>
      </c>
      <c r="O45" s="7">
        <f>'Option source'!G429</f>
        <v>8.01</v>
      </c>
      <c r="P45" s="7">
        <f>'Option source'!F429</f>
        <v>11</v>
      </c>
      <c r="Q45" s="1" t="s">
        <v>88</v>
      </c>
      <c r="R45" s="1">
        <v>424</v>
      </c>
    </row>
    <row r="46" spans="1:18" ht="21" customHeight="1">
      <c r="A46" s="8">
        <v>46281</v>
      </c>
      <c r="B46" s="1" t="s">
        <v>133</v>
      </c>
      <c r="C46" s="39" t="s">
        <v>90</v>
      </c>
      <c r="D46" s="7">
        <v>8900</v>
      </c>
      <c r="E46" s="7">
        <f>'Option source'!B919</f>
        <v>2022.5</v>
      </c>
      <c r="F46" s="7">
        <v>6760</v>
      </c>
      <c r="G46" s="14">
        <v>30</v>
      </c>
      <c r="H46" s="7">
        <f t="shared" si="0"/>
        <v>2140</v>
      </c>
      <c r="I46" s="7">
        <f t="shared" si="1"/>
        <v>-117.5</v>
      </c>
      <c r="J46" s="9">
        <f t="shared" si="2"/>
        <v>1.3165680473372781</v>
      </c>
      <c r="K46" s="9"/>
      <c r="L46" s="13"/>
      <c r="M46" s="13"/>
      <c r="N46" s="7">
        <f>'Option source'!C919</f>
        <v>0</v>
      </c>
      <c r="O46" s="7">
        <f>'Option source'!G919</f>
        <v>2022.5</v>
      </c>
      <c r="P46" s="7">
        <f>'Option source'!F919</f>
        <v>2037.67</v>
      </c>
      <c r="Q46" s="1" t="s">
        <v>118</v>
      </c>
      <c r="R46" s="1">
        <v>914</v>
      </c>
    </row>
    <row r="47" spans="1:18" ht="21" customHeight="1">
      <c r="A47" s="8">
        <v>46281</v>
      </c>
      <c r="B47" s="1" t="s">
        <v>134</v>
      </c>
      <c r="C47" s="39" t="s">
        <v>87</v>
      </c>
      <c r="D47" s="7">
        <v>4600</v>
      </c>
      <c r="E47" s="7">
        <f>'Option source'!B63</f>
        <v>2280.1</v>
      </c>
      <c r="F47" s="7">
        <v>6760</v>
      </c>
      <c r="G47" s="14">
        <v>30</v>
      </c>
      <c r="H47" s="7">
        <f t="shared" si="0"/>
        <v>2160</v>
      </c>
      <c r="I47" s="7">
        <f t="shared" si="1"/>
        <v>120.09999999999991</v>
      </c>
      <c r="J47" s="9">
        <f t="shared" si="2"/>
        <v>0.68047337278106512</v>
      </c>
      <c r="K47" s="9"/>
      <c r="L47" s="13"/>
      <c r="M47" s="13"/>
      <c r="N47" s="7">
        <f>'Option source'!C63</f>
        <v>0</v>
      </c>
      <c r="O47" s="7">
        <f>'Option source'!G63</f>
        <v>2200.39</v>
      </c>
      <c r="P47" s="7">
        <f>'Option source'!F63</f>
        <v>2265.16</v>
      </c>
      <c r="Q47" s="1" t="s">
        <v>130</v>
      </c>
      <c r="R47" s="1">
        <v>58</v>
      </c>
    </row>
    <row r="48" spans="1:18" ht="21" customHeight="1">
      <c r="A48" s="8">
        <v>46281</v>
      </c>
      <c r="B48" s="1" t="s">
        <v>135</v>
      </c>
      <c r="C48" s="39" t="s">
        <v>90</v>
      </c>
      <c r="D48" s="7">
        <v>4600</v>
      </c>
      <c r="E48" s="7">
        <f>'Option source'!B543</f>
        <v>1.62</v>
      </c>
      <c r="F48" s="7">
        <v>6760</v>
      </c>
      <c r="G48" s="14">
        <v>30</v>
      </c>
      <c r="H48" s="7">
        <f t="shared" si="0"/>
        <v>0</v>
      </c>
      <c r="I48" s="7">
        <f t="shared" si="1"/>
        <v>1.62</v>
      </c>
      <c r="J48" s="9">
        <f t="shared" si="2"/>
        <v>0.68047337278106512</v>
      </c>
      <c r="K48" s="9">
        <v>0.56450648822638883</v>
      </c>
      <c r="L48" s="13">
        <v>-4.5009866535062892E-3</v>
      </c>
      <c r="M48" s="13">
        <v>0.25515140000168929</v>
      </c>
      <c r="N48" s="7">
        <f>'Option source'!C543</f>
        <v>59280.800000000003</v>
      </c>
      <c r="O48" s="7">
        <f>'Option source'!G543</f>
        <v>1.1100000000000001</v>
      </c>
      <c r="P48" s="7">
        <f>'Option source'!F543</f>
        <v>2.6</v>
      </c>
      <c r="Q48" s="1" t="s">
        <v>88</v>
      </c>
      <c r="R48" s="1">
        <v>538</v>
      </c>
    </row>
    <row r="49" spans="1:18" ht="21" customHeight="1">
      <c r="A49" s="8">
        <v>46281</v>
      </c>
      <c r="B49" s="1" t="s">
        <v>136</v>
      </c>
      <c r="C49" s="39" t="s">
        <v>87</v>
      </c>
      <c r="D49" s="7">
        <v>4400</v>
      </c>
      <c r="E49" s="7">
        <f>'Option source'!B44</f>
        <v>2422</v>
      </c>
      <c r="F49" s="7">
        <v>6760</v>
      </c>
      <c r="G49" s="14">
        <v>30</v>
      </c>
      <c r="H49" s="7">
        <f t="shared" si="0"/>
        <v>2360</v>
      </c>
      <c r="I49" s="7">
        <f t="shared" si="1"/>
        <v>62</v>
      </c>
      <c r="J49" s="9">
        <f t="shared" si="2"/>
        <v>0.65088757396449703</v>
      </c>
      <c r="K49" s="9"/>
      <c r="L49" s="13"/>
      <c r="M49" s="13"/>
      <c r="N49" s="7">
        <f>'Option source'!C44</f>
        <v>0</v>
      </c>
      <c r="O49" s="7">
        <f>'Option source'!G44</f>
        <v>2391.3000000000002</v>
      </c>
      <c r="P49" s="7">
        <f>'Option source'!F44</f>
        <v>2418.17</v>
      </c>
      <c r="Q49" s="1" t="s">
        <v>130</v>
      </c>
      <c r="R49" s="1">
        <v>39</v>
      </c>
    </row>
    <row r="50" spans="1:18" ht="21" customHeight="1">
      <c r="A50" s="8">
        <v>46281</v>
      </c>
      <c r="B50" s="1" t="s">
        <v>137</v>
      </c>
      <c r="C50" s="39" t="s">
        <v>90</v>
      </c>
      <c r="D50" s="7">
        <v>4400</v>
      </c>
      <c r="E50" s="7">
        <f>'Option source'!B524</f>
        <v>0.91</v>
      </c>
      <c r="F50" s="7">
        <v>6760</v>
      </c>
      <c r="G50" s="14">
        <v>30</v>
      </c>
      <c r="H50" s="7">
        <f t="shared" si="0"/>
        <v>0</v>
      </c>
      <c r="I50" s="7">
        <f t="shared" si="1"/>
        <v>0.91</v>
      </c>
      <c r="J50" s="9">
        <f t="shared" si="2"/>
        <v>0.65088757396449703</v>
      </c>
      <c r="K50" s="9">
        <v>0.58433587776535267</v>
      </c>
      <c r="L50" s="13">
        <v>-2.600801884573456E-3</v>
      </c>
      <c r="M50" s="13">
        <v>0.15587978795079815</v>
      </c>
      <c r="N50" s="7">
        <f>'Option source'!C524</f>
        <v>174142.09</v>
      </c>
      <c r="O50" s="7">
        <f>'Option source'!G524</f>
        <v>0.9</v>
      </c>
      <c r="P50" s="7">
        <f>'Option source'!F524</f>
        <v>2</v>
      </c>
      <c r="Q50" s="1" t="s">
        <v>88</v>
      </c>
      <c r="R50" s="1">
        <v>519</v>
      </c>
    </row>
    <row r="51" spans="1:18" ht="21" customHeight="1">
      <c r="A51" s="8">
        <v>46281</v>
      </c>
      <c r="B51" s="1" t="s">
        <v>138</v>
      </c>
      <c r="C51" s="39" t="s">
        <v>87</v>
      </c>
      <c r="D51" s="7">
        <v>9200</v>
      </c>
      <c r="E51" s="7">
        <f>'Option source'!B448</f>
        <v>3.53</v>
      </c>
      <c r="F51" s="7">
        <v>6760</v>
      </c>
      <c r="G51" s="14">
        <v>30</v>
      </c>
      <c r="H51" s="7">
        <f t="shared" si="0"/>
        <v>0</v>
      </c>
      <c r="I51" s="7">
        <f t="shared" si="1"/>
        <v>3.53</v>
      </c>
      <c r="J51" s="9">
        <f t="shared" si="2"/>
        <v>1.3609467455621302</v>
      </c>
      <c r="K51" s="9">
        <v>0.43028624732226489</v>
      </c>
      <c r="L51" s="13">
        <v>1.2653848377904823E-2</v>
      </c>
      <c r="M51" s="13">
        <v>0.63379204534229816</v>
      </c>
      <c r="N51" s="7">
        <f>'Option source'!C448</f>
        <v>825675.38</v>
      </c>
      <c r="O51" s="7">
        <f>'Option source'!G448</f>
        <v>3</v>
      </c>
      <c r="P51" s="7">
        <f>'Option source'!F448</f>
        <v>6.99</v>
      </c>
      <c r="Q51" s="1" t="s">
        <v>88</v>
      </c>
      <c r="R51" s="1">
        <v>443</v>
      </c>
    </row>
    <row r="52" spans="1:18" ht="21" customHeight="1">
      <c r="A52" s="8">
        <v>46281</v>
      </c>
      <c r="B52" s="1" t="s">
        <v>139</v>
      </c>
      <c r="C52" s="39" t="s">
        <v>90</v>
      </c>
      <c r="D52" s="7">
        <v>9200</v>
      </c>
      <c r="E52" s="7">
        <f>'Option source'!B926</f>
        <v>2268.5100000000002</v>
      </c>
      <c r="F52" s="7">
        <v>6760</v>
      </c>
      <c r="G52" s="14">
        <v>30</v>
      </c>
      <c r="H52" s="7">
        <f t="shared" si="0"/>
        <v>2440</v>
      </c>
      <c r="I52" s="7">
        <f t="shared" si="1"/>
        <v>-171.48999999999978</v>
      </c>
      <c r="J52" s="9">
        <f t="shared" si="2"/>
        <v>1.3609467455621302</v>
      </c>
      <c r="K52" s="9"/>
      <c r="L52" s="13"/>
      <c r="M52" s="13"/>
      <c r="N52" s="7">
        <f>'Option source'!C926</f>
        <v>660601</v>
      </c>
      <c r="O52" s="7">
        <f>'Option source'!G926</f>
        <v>2168.75</v>
      </c>
      <c r="P52" s="7">
        <f>'Option source'!F926</f>
        <v>2168.75</v>
      </c>
      <c r="Q52" s="1" t="s">
        <v>113</v>
      </c>
      <c r="R52" s="1">
        <v>921</v>
      </c>
    </row>
    <row r="53" spans="1:18" ht="21" customHeight="1">
      <c r="A53" s="8">
        <v>46281</v>
      </c>
      <c r="B53" s="1" t="s">
        <v>140</v>
      </c>
      <c r="C53" s="39" t="s">
        <v>87</v>
      </c>
      <c r="D53" s="7">
        <v>4200</v>
      </c>
      <c r="E53" s="7">
        <f>'Option source'!B25</f>
        <v>2587.4899999999998</v>
      </c>
      <c r="F53" s="7">
        <v>6760</v>
      </c>
      <c r="G53" s="14">
        <v>30</v>
      </c>
      <c r="H53" s="7">
        <f t="shared" si="0"/>
        <v>2560</v>
      </c>
      <c r="I53" s="7">
        <f t="shared" si="1"/>
        <v>27.489999999999782</v>
      </c>
      <c r="J53" s="9">
        <f t="shared" si="2"/>
        <v>0.62130177514792895</v>
      </c>
      <c r="K53" s="9"/>
      <c r="L53" s="13"/>
      <c r="M53" s="13"/>
      <c r="N53" s="7">
        <f>'Option source'!C25</f>
        <v>258749</v>
      </c>
      <c r="O53" s="7">
        <f>'Option source'!G25</f>
        <v>0</v>
      </c>
      <c r="P53" s="7">
        <f>'Option source'!F25</f>
        <v>0</v>
      </c>
      <c r="Q53" s="1" t="s">
        <v>109</v>
      </c>
      <c r="R53" s="1">
        <v>20</v>
      </c>
    </row>
    <row r="54" spans="1:18" ht="21" customHeight="1">
      <c r="A54" s="8">
        <v>46281</v>
      </c>
      <c r="B54" s="1" t="s">
        <v>141</v>
      </c>
      <c r="C54" s="39" t="s">
        <v>90</v>
      </c>
      <c r="D54" s="7">
        <v>4200</v>
      </c>
      <c r="E54" s="7">
        <f>'Option source'!B505</f>
        <v>1.21</v>
      </c>
      <c r="F54" s="7">
        <v>6760</v>
      </c>
      <c r="G54" s="14">
        <v>30</v>
      </c>
      <c r="H54" s="7">
        <f t="shared" si="0"/>
        <v>0</v>
      </c>
      <c r="I54" s="7">
        <f t="shared" si="1"/>
        <v>1.21</v>
      </c>
      <c r="J54" s="9">
        <f t="shared" si="2"/>
        <v>0.62130177514792895</v>
      </c>
      <c r="K54" s="9">
        <v>0.65798905214453907</v>
      </c>
      <c r="L54" s="13">
        <v>-2.9976741584560873E-3</v>
      </c>
      <c r="M54" s="13">
        <v>0.17719036695399495</v>
      </c>
      <c r="N54" s="7">
        <f>'Option source'!C505</f>
        <v>32093.200000000001</v>
      </c>
      <c r="O54" s="7">
        <f>'Option source'!G505</f>
        <v>0.67</v>
      </c>
      <c r="P54" s="7">
        <f>'Option source'!F505</f>
        <v>1.59</v>
      </c>
      <c r="Q54" s="1" t="s">
        <v>88</v>
      </c>
      <c r="R54" s="1">
        <v>500</v>
      </c>
    </row>
    <row r="55" spans="1:18" ht="21" customHeight="1">
      <c r="A55" s="8">
        <v>46281</v>
      </c>
      <c r="B55" s="1" t="s">
        <v>142</v>
      </c>
      <c r="C55" s="39" t="s">
        <v>87</v>
      </c>
      <c r="D55" s="7">
        <v>9500</v>
      </c>
      <c r="E55" s="7">
        <f>'Option source'!B467</f>
        <v>3.44</v>
      </c>
      <c r="F55" s="7">
        <v>6760</v>
      </c>
      <c r="G55" s="14">
        <v>30</v>
      </c>
      <c r="H55" s="7">
        <f t="shared" si="0"/>
        <v>0</v>
      </c>
      <c r="I55" s="7">
        <f t="shared" si="1"/>
        <v>3.44</v>
      </c>
      <c r="J55" s="9">
        <f t="shared" si="2"/>
        <v>1.4053254437869822</v>
      </c>
      <c r="K55" s="9">
        <v>0.46997575053126145</v>
      </c>
      <c r="L55" s="13">
        <v>1.1451718928825596E-2</v>
      </c>
      <c r="M55" s="13">
        <v>0.58124231302867624</v>
      </c>
      <c r="N55" s="7">
        <f>'Option source'!C467</f>
        <v>1701123.5</v>
      </c>
      <c r="O55" s="7">
        <f>'Option source'!G467</f>
        <v>3.05</v>
      </c>
      <c r="P55" s="7">
        <f>'Option source'!F467</f>
        <v>4.95</v>
      </c>
      <c r="Q55" s="1" t="s">
        <v>88</v>
      </c>
      <c r="R55" s="1">
        <v>462</v>
      </c>
    </row>
    <row r="56" spans="1:18" ht="21" customHeight="1">
      <c r="A56" s="8">
        <v>46281</v>
      </c>
      <c r="B56" s="1" t="s">
        <v>143</v>
      </c>
      <c r="C56" s="39" t="s">
        <v>87</v>
      </c>
      <c r="D56" s="7">
        <v>9900</v>
      </c>
      <c r="E56" s="7">
        <f>'Option source'!B486</f>
        <v>2.06</v>
      </c>
      <c r="F56" s="7">
        <v>6760</v>
      </c>
      <c r="G56" s="14">
        <v>30</v>
      </c>
      <c r="H56" s="7">
        <f t="shared" si="0"/>
        <v>0</v>
      </c>
      <c r="I56" s="7">
        <f t="shared" si="1"/>
        <v>2.06</v>
      </c>
      <c r="J56" s="9">
        <f t="shared" si="2"/>
        <v>1.4644970414201184</v>
      </c>
      <c r="K56" s="9">
        <v>0.49155383891858911</v>
      </c>
      <c r="L56" s="13">
        <v>6.9124191361484687E-3</v>
      </c>
      <c r="M56" s="13">
        <v>0.37348864821462635</v>
      </c>
      <c r="N56" s="7">
        <f>'Option source'!C486</f>
        <v>1364921.25</v>
      </c>
      <c r="O56" s="7">
        <f>'Option source'!G486</f>
        <v>1.82</v>
      </c>
      <c r="P56" s="7">
        <f>'Option source'!F486</f>
        <v>2.7</v>
      </c>
      <c r="Q56" s="1" t="s">
        <v>88</v>
      </c>
      <c r="R56" s="1">
        <v>481</v>
      </c>
    </row>
    <row r="57" spans="1:18" ht="21" customHeight="1">
      <c r="A57" s="8">
        <v>46280</v>
      </c>
      <c r="B57" s="1" t="s">
        <v>86</v>
      </c>
      <c r="C57" s="39" t="s">
        <v>87</v>
      </c>
      <c r="D57" s="7">
        <v>6800</v>
      </c>
      <c r="E57" s="7">
        <f>'Option source'!B257</f>
        <v>380.09</v>
      </c>
      <c r="F57" s="7">
        <v>6725</v>
      </c>
      <c r="G57" s="14">
        <v>31</v>
      </c>
      <c r="H57" s="7">
        <f t="shared" si="0"/>
        <v>0</v>
      </c>
      <c r="I57" s="7">
        <f t="shared" si="1"/>
        <v>380.09</v>
      </c>
      <c r="J57" s="9">
        <f t="shared" si="2"/>
        <v>1.0111524163568772</v>
      </c>
      <c r="K57" s="9">
        <v>0.42515927661685099</v>
      </c>
      <c r="L57" s="13">
        <v>0.57067002105868903</v>
      </c>
      <c r="M57" s="13">
        <v>7.6957415026625471</v>
      </c>
      <c r="N57" s="7">
        <f>'Option source'!C257</f>
        <v>189504416</v>
      </c>
      <c r="O57" s="7">
        <f>'Option source'!G257</f>
        <v>350</v>
      </c>
      <c r="P57" s="7">
        <f>'Option source'!F257</f>
        <v>419.9</v>
      </c>
      <c r="Q57" s="1" t="s">
        <v>88</v>
      </c>
      <c r="R57" s="1">
        <v>252</v>
      </c>
    </row>
    <row r="58" spans="1:18" ht="21" customHeight="1">
      <c r="A58" s="8">
        <v>46280</v>
      </c>
      <c r="B58" s="1" t="s">
        <v>89</v>
      </c>
      <c r="C58" s="39" t="s">
        <v>90</v>
      </c>
      <c r="D58" s="7">
        <v>6800</v>
      </c>
      <c r="E58" s="7">
        <f>'Option source'!B751</f>
        <v>311.72000000000003</v>
      </c>
      <c r="F58" s="7">
        <v>6725</v>
      </c>
      <c r="G58" s="14">
        <v>31</v>
      </c>
      <c r="H58" s="7">
        <f t="shared" si="0"/>
        <v>75</v>
      </c>
      <c r="I58" s="7">
        <f t="shared" si="1"/>
        <v>236.72000000000003</v>
      </c>
      <c r="J58" s="9">
        <f t="shared" si="2"/>
        <v>1.0111524163568772</v>
      </c>
      <c r="K58" s="9">
        <v>0.43554011228126149</v>
      </c>
      <c r="L58" s="13">
        <v>-0.42982290880103258</v>
      </c>
      <c r="M58" s="13">
        <v>7.6974558319517543</v>
      </c>
      <c r="N58" s="7">
        <f>'Option source'!C751</f>
        <v>177815008</v>
      </c>
      <c r="O58" s="7">
        <f>'Option source'!G751</f>
        <v>286</v>
      </c>
      <c r="P58" s="7">
        <f>'Option source'!F751</f>
        <v>340</v>
      </c>
      <c r="Q58" s="1" t="s">
        <v>88</v>
      </c>
      <c r="R58" s="1">
        <v>746</v>
      </c>
    </row>
    <row r="59" spans="1:18" ht="21" customHeight="1">
      <c r="A59" s="8">
        <v>46280</v>
      </c>
      <c r="B59" s="1" t="s">
        <v>91</v>
      </c>
      <c r="C59" s="39" t="s">
        <v>87</v>
      </c>
      <c r="D59" s="7">
        <v>6600</v>
      </c>
      <c r="E59" s="7">
        <f>'Option source'!B238</f>
        <v>490</v>
      </c>
      <c r="F59" s="7">
        <v>6725</v>
      </c>
      <c r="G59" s="14">
        <v>31</v>
      </c>
      <c r="H59" s="7">
        <f t="shared" si="0"/>
        <v>125</v>
      </c>
      <c r="I59" s="7">
        <f t="shared" si="1"/>
        <v>365</v>
      </c>
      <c r="J59" s="9">
        <f t="shared" si="2"/>
        <v>0.98141263940520451</v>
      </c>
      <c r="K59" s="9">
        <v>0.42374677640943137</v>
      </c>
      <c r="L59" s="13">
        <v>0.66275744204088494</v>
      </c>
      <c r="M59" s="13">
        <v>7.1586628914577251</v>
      </c>
      <c r="N59" s="7">
        <f>'Option source'!C238</f>
        <v>51367756</v>
      </c>
      <c r="O59" s="7">
        <f>'Option source'!G238</f>
        <v>450</v>
      </c>
      <c r="P59" s="7">
        <f>'Option source'!F238</f>
        <v>536.65</v>
      </c>
      <c r="Q59" s="1" t="s">
        <v>88</v>
      </c>
      <c r="R59" s="1">
        <v>233</v>
      </c>
    </row>
    <row r="60" spans="1:18" ht="21" customHeight="1">
      <c r="A60" s="8">
        <v>46280</v>
      </c>
      <c r="B60" s="1" t="s">
        <v>92</v>
      </c>
      <c r="C60" s="39" t="s">
        <v>90</v>
      </c>
      <c r="D60" s="7">
        <v>6600</v>
      </c>
      <c r="E60" s="7">
        <f>'Option source'!B732</f>
        <v>220.68</v>
      </c>
      <c r="F60" s="7">
        <v>6725</v>
      </c>
      <c r="G60" s="14">
        <v>31</v>
      </c>
      <c r="H60" s="7">
        <f t="shared" si="0"/>
        <v>0</v>
      </c>
      <c r="I60" s="7">
        <f t="shared" si="1"/>
        <v>220.68</v>
      </c>
      <c r="J60" s="9">
        <f t="shared" si="2"/>
        <v>0.98141263940520451</v>
      </c>
      <c r="K60" s="9">
        <v>0.43720596286568458</v>
      </c>
      <c r="L60" s="13">
        <v>-0.3405608405096413</v>
      </c>
      <c r="M60" s="13">
        <v>7.1856821440830716</v>
      </c>
      <c r="N60" s="7">
        <f>'Option source'!C732</f>
        <v>232898432</v>
      </c>
      <c r="O60" s="7">
        <f>'Option source'!G732</f>
        <v>184.95</v>
      </c>
      <c r="P60" s="7">
        <f>'Option source'!F732</f>
        <v>249</v>
      </c>
      <c r="Q60" s="1" t="s">
        <v>88</v>
      </c>
      <c r="R60" s="1">
        <v>727</v>
      </c>
    </row>
    <row r="61" spans="1:18" ht="21" customHeight="1">
      <c r="A61" s="8">
        <v>46280</v>
      </c>
      <c r="B61" s="1" t="s">
        <v>93</v>
      </c>
      <c r="C61" s="39" t="s">
        <v>87</v>
      </c>
      <c r="D61" s="7">
        <v>7000</v>
      </c>
      <c r="E61" s="7">
        <f>'Option source'!B276</f>
        <v>277.07</v>
      </c>
      <c r="F61" s="7">
        <v>6725</v>
      </c>
      <c r="G61" s="14">
        <v>31</v>
      </c>
      <c r="H61" s="7">
        <f t="shared" si="0"/>
        <v>0</v>
      </c>
      <c r="I61" s="7">
        <f t="shared" si="1"/>
        <v>277.07</v>
      </c>
      <c r="J61" s="9">
        <f t="shared" si="2"/>
        <v>1.0408921933085502</v>
      </c>
      <c r="K61" s="9">
        <v>0.41177099701244996</v>
      </c>
      <c r="L61" s="13">
        <v>0.47541970523199478</v>
      </c>
      <c r="M61" s="13">
        <v>7.8038943379462005</v>
      </c>
      <c r="N61" s="7">
        <f>'Option source'!C276</f>
        <v>418205024</v>
      </c>
      <c r="O61" s="7">
        <f>'Option source'!G276</f>
        <v>260</v>
      </c>
      <c r="P61" s="7">
        <f>'Option source'!F276</f>
        <v>315</v>
      </c>
      <c r="Q61" s="1" t="s">
        <v>88</v>
      </c>
      <c r="R61" s="1">
        <v>271</v>
      </c>
    </row>
    <row r="62" spans="1:18" ht="21" customHeight="1">
      <c r="A62" s="8">
        <v>46280</v>
      </c>
      <c r="B62" s="1" t="s">
        <v>94</v>
      </c>
      <c r="C62" s="39" t="s">
        <v>90</v>
      </c>
      <c r="D62" s="7">
        <v>7000</v>
      </c>
      <c r="E62" s="7">
        <f>'Option source'!B770</f>
        <v>418.29</v>
      </c>
      <c r="F62" s="7">
        <v>6725</v>
      </c>
      <c r="G62" s="14">
        <v>31</v>
      </c>
      <c r="H62" s="7">
        <f t="shared" si="0"/>
        <v>275</v>
      </c>
      <c r="I62" s="7">
        <f t="shared" si="1"/>
        <v>143.29000000000002</v>
      </c>
      <c r="J62" s="9">
        <f t="shared" si="2"/>
        <v>1.0408921933085502</v>
      </c>
      <c r="K62" s="9">
        <v>0.42724476405218037</v>
      </c>
      <c r="L62" s="13">
        <v>-0.5219275521806771</v>
      </c>
      <c r="M62" s="13">
        <v>7.8069265176650857</v>
      </c>
      <c r="N62" s="7">
        <f>'Option source'!C770</f>
        <v>127203152</v>
      </c>
      <c r="O62" s="7">
        <f>'Option source'!G770</f>
        <v>382.99</v>
      </c>
      <c r="P62" s="7">
        <f>'Option source'!F770</f>
        <v>453.97</v>
      </c>
      <c r="Q62" s="1" t="s">
        <v>88</v>
      </c>
      <c r="R62" s="1">
        <v>765</v>
      </c>
    </row>
    <row r="63" spans="1:18" ht="21" customHeight="1">
      <c r="A63" s="8">
        <v>46280</v>
      </c>
      <c r="B63" s="1" t="s">
        <v>95</v>
      </c>
      <c r="C63" s="39" t="s">
        <v>87</v>
      </c>
      <c r="D63" s="7">
        <v>6400</v>
      </c>
      <c r="E63" s="7">
        <f>'Option source'!B219</f>
        <v>600.20000000000005</v>
      </c>
      <c r="F63" s="7">
        <v>6725</v>
      </c>
      <c r="G63" s="14">
        <v>31</v>
      </c>
      <c r="H63" s="7">
        <f t="shared" si="0"/>
        <v>325</v>
      </c>
      <c r="I63" s="7">
        <f t="shared" si="1"/>
        <v>275.20000000000005</v>
      </c>
      <c r="J63" s="9">
        <f t="shared" si="2"/>
        <v>0.95167286245353155</v>
      </c>
      <c r="K63" s="9">
        <v>0.39295603176914407</v>
      </c>
      <c r="L63" s="13">
        <v>0.76185690309298248</v>
      </c>
      <c r="M63" s="13">
        <v>6.0668893734128195</v>
      </c>
      <c r="N63" s="7">
        <f>'Option source'!C219</f>
        <v>52725424</v>
      </c>
      <c r="O63" s="7">
        <f>'Option source'!G219</f>
        <v>580</v>
      </c>
      <c r="P63" s="7">
        <f>'Option source'!F219</f>
        <v>675.13</v>
      </c>
      <c r="Q63" s="1" t="s">
        <v>88</v>
      </c>
      <c r="R63" s="1">
        <v>214</v>
      </c>
    </row>
    <row r="64" spans="1:18" ht="21" customHeight="1">
      <c r="A64" s="8">
        <v>46280</v>
      </c>
      <c r="B64" s="1" t="s">
        <v>96</v>
      </c>
      <c r="C64" s="39" t="s">
        <v>90</v>
      </c>
      <c r="D64" s="7">
        <v>6400</v>
      </c>
      <c r="E64" s="7">
        <f>'Option source'!B713</f>
        <v>151.43</v>
      </c>
      <c r="F64" s="7">
        <v>6725</v>
      </c>
      <c r="G64" s="14">
        <v>31</v>
      </c>
      <c r="H64" s="7">
        <f t="shared" si="0"/>
        <v>0</v>
      </c>
      <c r="I64" s="7">
        <f t="shared" si="1"/>
        <v>151.43</v>
      </c>
      <c r="J64" s="9">
        <f t="shared" si="2"/>
        <v>0.95167286245353155</v>
      </c>
      <c r="K64" s="9">
        <v>0.44063736894663935</v>
      </c>
      <c r="L64" s="13">
        <v>-0.25837746160386854</v>
      </c>
      <c r="M64" s="13">
        <v>6.3365905854758298</v>
      </c>
      <c r="N64" s="7">
        <f>'Option source'!C713</f>
        <v>154461408</v>
      </c>
      <c r="O64" s="7">
        <f>'Option source'!G713</f>
        <v>130.15</v>
      </c>
      <c r="P64" s="7">
        <f>'Option source'!F713</f>
        <v>172</v>
      </c>
      <c r="Q64" s="1" t="s">
        <v>88</v>
      </c>
      <c r="R64" s="1">
        <v>708</v>
      </c>
    </row>
    <row r="65" spans="1:18" ht="21" customHeight="1">
      <c r="A65" s="8">
        <v>46280</v>
      </c>
      <c r="B65" s="1" t="s">
        <v>97</v>
      </c>
      <c r="C65" s="39" t="s">
        <v>87</v>
      </c>
      <c r="D65" s="7">
        <v>7200</v>
      </c>
      <c r="E65" s="7">
        <f>'Option source'!B295</f>
        <v>205.53</v>
      </c>
      <c r="F65" s="7">
        <v>6725</v>
      </c>
      <c r="G65" s="14">
        <v>31</v>
      </c>
      <c r="H65" s="7">
        <f t="shared" si="0"/>
        <v>0</v>
      </c>
      <c r="I65" s="7">
        <f t="shared" si="1"/>
        <v>205.53</v>
      </c>
      <c r="J65" s="9">
        <f t="shared" si="2"/>
        <v>1.0706319702602229</v>
      </c>
      <c r="K65" s="9">
        <v>0.41582763539839585</v>
      </c>
      <c r="L65" s="13">
        <v>0.38501444051298395</v>
      </c>
      <c r="M65" s="13">
        <v>7.4916788296217973</v>
      </c>
      <c r="N65" s="7">
        <f>'Option source'!C295</f>
        <v>191148784</v>
      </c>
      <c r="O65" s="7">
        <f>'Option source'!G295</f>
        <v>187.08</v>
      </c>
      <c r="P65" s="7">
        <f>'Option source'!F295</f>
        <v>260</v>
      </c>
      <c r="Q65" s="1" t="s">
        <v>88</v>
      </c>
      <c r="R65" s="1">
        <v>290</v>
      </c>
    </row>
    <row r="66" spans="1:18" ht="21" customHeight="1">
      <c r="A66" s="8">
        <v>46280</v>
      </c>
      <c r="B66" s="1" t="s">
        <v>98</v>
      </c>
      <c r="C66" s="39" t="s">
        <v>90</v>
      </c>
      <c r="D66" s="7">
        <v>7200</v>
      </c>
      <c r="E66" s="7">
        <f>'Option source'!B789</f>
        <v>542</v>
      </c>
      <c r="F66" s="7">
        <v>6725</v>
      </c>
      <c r="G66" s="14">
        <v>31</v>
      </c>
      <c r="H66" s="7">
        <f t="shared" si="0"/>
        <v>475</v>
      </c>
      <c r="I66" s="7">
        <f t="shared" si="1"/>
        <v>67</v>
      </c>
      <c r="J66" s="9">
        <f t="shared" si="2"/>
        <v>1.0706319702602229</v>
      </c>
      <c r="K66" s="9">
        <v>0.41087568057386581</v>
      </c>
      <c r="L66" s="13">
        <v>-0.61688594209060676</v>
      </c>
      <c r="M66" s="13">
        <v>7.4806981123446272</v>
      </c>
      <c r="N66" s="7">
        <f>'Option source'!C789</f>
        <v>51121128</v>
      </c>
      <c r="O66" s="7">
        <f>'Option source'!G789</f>
        <v>495</v>
      </c>
      <c r="P66" s="7">
        <f>'Option source'!F789</f>
        <v>590</v>
      </c>
      <c r="Q66" s="1" t="s">
        <v>88</v>
      </c>
      <c r="R66" s="1">
        <v>784</v>
      </c>
    </row>
    <row r="67" spans="1:18" ht="21" customHeight="1">
      <c r="A67" s="8">
        <v>46280</v>
      </c>
      <c r="B67" s="1" t="s">
        <v>99</v>
      </c>
      <c r="C67" s="39" t="s">
        <v>87</v>
      </c>
      <c r="D67" s="7">
        <v>6200</v>
      </c>
      <c r="E67" s="7">
        <f>'Option source'!B200</f>
        <v>757.6</v>
      </c>
      <c r="F67" s="7">
        <v>6725</v>
      </c>
      <c r="G67" s="14">
        <v>31</v>
      </c>
      <c r="H67" s="7">
        <f t="shared" si="0"/>
        <v>525</v>
      </c>
      <c r="I67" s="7">
        <f t="shared" si="1"/>
        <v>232.60000000000002</v>
      </c>
      <c r="J67" s="9">
        <f t="shared" si="2"/>
        <v>0.92193308550185871</v>
      </c>
      <c r="K67" s="9">
        <v>0.40856138994532382</v>
      </c>
      <c r="L67" s="13">
        <v>0.83051147402436598</v>
      </c>
      <c r="M67" s="13">
        <v>4.9499390750363723</v>
      </c>
      <c r="N67" s="7">
        <f>'Option source'!C200</f>
        <v>13415150</v>
      </c>
      <c r="O67" s="7">
        <f>'Option source'!G200</f>
        <v>730</v>
      </c>
      <c r="P67" s="7">
        <f>'Option source'!F200</f>
        <v>822.13</v>
      </c>
      <c r="Q67" s="1" t="s">
        <v>88</v>
      </c>
      <c r="R67" s="1">
        <v>195</v>
      </c>
    </row>
    <row r="68" spans="1:18" ht="21" customHeight="1">
      <c r="A68" s="8">
        <v>46280</v>
      </c>
      <c r="B68" s="1" t="s">
        <v>101</v>
      </c>
      <c r="C68" s="39" t="s">
        <v>90</v>
      </c>
      <c r="D68" s="7">
        <v>6200</v>
      </c>
      <c r="E68" s="7">
        <f>'Option source'!B694</f>
        <v>97.24</v>
      </c>
      <c r="F68" s="7">
        <v>6725</v>
      </c>
      <c r="G68" s="14">
        <v>31</v>
      </c>
      <c r="H68" s="7">
        <f t="shared" si="0"/>
        <v>0</v>
      </c>
      <c r="I68" s="7">
        <f t="shared" si="1"/>
        <v>97.24</v>
      </c>
      <c r="J68" s="9">
        <f t="shared" si="2"/>
        <v>0.92193308550185871</v>
      </c>
      <c r="K68" s="9">
        <v>0.44021781581102448</v>
      </c>
      <c r="L68" s="13">
        <v>-0.18504039503286829</v>
      </c>
      <c r="M68" s="13">
        <v>5.2321736793986897</v>
      </c>
      <c r="N68" s="7">
        <f>'Option source'!C694</f>
        <v>62372620</v>
      </c>
      <c r="O68" s="7">
        <f>'Option source'!G694</f>
        <v>80</v>
      </c>
      <c r="P68" s="7">
        <f>'Option source'!F694</f>
        <v>112</v>
      </c>
      <c r="Q68" s="1" t="s">
        <v>88</v>
      </c>
      <c r="R68" s="1">
        <v>689</v>
      </c>
    </row>
    <row r="69" spans="1:18" ht="21" customHeight="1">
      <c r="A69" s="8">
        <v>46280</v>
      </c>
      <c r="B69" s="1" t="s">
        <v>102</v>
      </c>
      <c r="C69" s="39" t="s">
        <v>87</v>
      </c>
      <c r="D69" s="7">
        <v>7400</v>
      </c>
      <c r="E69" s="7">
        <f>'Option source'!B314</f>
        <v>148.96</v>
      </c>
      <c r="F69" s="7">
        <v>6725</v>
      </c>
      <c r="G69" s="14">
        <v>31</v>
      </c>
      <c r="H69" s="7">
        <f t="shared" si="0"/>
        <v>0</v>
      </c>
      <c r="I69" s="7">
        <f t="shared" si="1"/>
        <v>148.96</v>
      </c>
      <c r="J69" s="9">
        <f t="shared" si="2"/>
        <v>1.1003717472118959</v>
      </c>
      <c r="K69" s="9">
        <v>0.41847945678033688</v>
      </c>
      <c r="L69" s="13">
        <v>0.30349517603391424</v>
      </c>
      <c r="M69" s="13">
        <v>6.849892585832154</v>
      </c>
      <c r="N69" s="7">
        <f>'Option source'!C314</f>
        <v>138135056</v>
      </c>
      <c r="O69" s="7">
        <f>'Option source'!G314</f>
        <v>134.4</v>
      </c>
      <c r="P69" s="7">
        <f>'Option source'!F314</f>
        <v>180</v>
      </c>
      <c r="Q69" s="1" t="s">
        <v>88</v>
      </c>
      <c r="R69" s="1">
        <v>309</v>
      </c>
    </row>
    <row r="70" spans="1:18" ht="21" customHeight="1">
      <c r="A70" s="8">
        <v>46280</v>
      </c>
      <c r="B70" s="1" t="s">
        <v>103</v>
      </c>
      <c r="C70" s="39" t="s">
        <v>90</v>
      </c>
      <c r="D70" s="7">
        <v>7400</v>
      </c>
      <c r="E70" s="7">
        <f>'Option source'!B808</f>
        <v>663.54</v>
      </c>
      <c r="F70" s="7">
        <v>6725</v>
      </c>
      <c r="G70" s="14">
        <v>31</v>
      </c>
      <c r="H70" s="7">
        <f t="shared" si="0"/>
        <v>675</v>
      </c>
      <c r="I70" s="7">
        <f t="shared" si="1"/>
        <v>-11.460000000000036</v>
      </c>
      <c r="J70" s="9">
        <f t="shared" si="2"/>
        <v>1.1003717472118959</v>
      </c>
      <c r="K70" s="9"/>
      <c r="L70" s="13"/>
      <c r="M70" s="13"/>
      <c r="N70" s="7">
        <f>'Option source'!C808</f>
        <v>42596096</v>
      </c>
      <c r="O70" s="7">
        <f>'Option source'!G808</f>
        <v>649.5</v>
      </c>
      <c r="P70" s="7">
        <f>'Option source'!F808</f>
        <v>721.1</v>
      </c>
      <c r="Q70" s="1" t="s">
        <v>144</v>
      </c>
      <c r="R70" s="1">
        <v>803</v>
      </c>
    </row>
    <row r="71" spans="1:18" ht="21" customHeight="1">
      <c r="A71" s="8">
        <v>46280</v>
      </c>
      <c r="B71" s="1" t="s">
        <v>104</v>
      </c>
      <c r="C71" s="39" t="s">
        <v>87</v>
      </c>
      <c r="D71" s="7">
        <v>6000</v>
      </c>
      <c r="E71" s="7">
        <f>'Option source'!B181</f>
        <v>930</v>
      </c>
      <c r="F71" s="7">
        <v>6725</v>
      </c>
      <c r="G71" s="14">
        <v>31</v>
      </c>
      <c r="H71" s="7">
        <f t="shared" ref="H71:H134" si="3">MAX(IF(C71="call",F71-D71,D71-F71),0)</f>
        <v>725</v>
      </c>
      <c r="I71" s="7">
        <f t="shared" ref="I71:I134" si="4">E71-H71</f>
        <v>205</v>
      </c>
      <c r="J71" s="9">
        <f t="shared" ref="J71:J134" si="5">D71/F71</f>
        <v>0.89219330855018586</v>
      </c>
      <c r="K71" s="9">
        <v>0.43413027235976992</v>
      </c>
      <c r="L71" s="13">
        <v>0.87824815914910415</v>
      </c>
      <c r="M71" s="13">
        <v>3.9607202456482056</v>
      </c>
      <c r="N71" s="7">
        <f>'Option source'!C181</f>
        <v>2821693.25</v>
      </c>
      <c r="O71" s="7">
        <f>'Option source'!G181</f>
        <v>890</v>
      </c>
      <c r="P71" s="7">
        <f>'Option source'!F181</f>
        <v>990</v>
      </c>
      <c r="Q71" s="1" t="s">
        <v>88</v>
      </c>
      <c r="R71" s="1">
        <v>176</v>
      </c>
    </row>
    <row r="72" spans="1:18" ht="21" customHeight="1">
      <c r="A72" s="8">
        <v>46280</v>
      </c>
      <c r="B72" s="1" t="s">
        <v>105</v>
      </c>
      <c r="C72" s="39" t="s">
        <v>90</v>
      </c>
      <c r="D72" s="7">
        <v>6000</v>
      </c>
      <c r="E72" s="7">
        <f>'Option source'!B675</f>
        <v>59.49</v>
      </c>
      <c r="F72" s="7">
        <v>6725</v>
      </c>
      <c r="G72" s="14">
        <v>31</v>
      </c>
      <c r="H72" s="7">
        <f t="shared" si="3"/>
        <v>0</v>
      </c>
      <c r="I72" s="7">
        <f t="shared" si="4"/>
        <v>59.49</v>
      </c>
      <c r="J72" s="9">
        <f t="shared" si="5"/>
        <v>0.89219330855018586</v>
      </c>
      <c r="K72" s="9">
        <v>0.44176461394931665</v>
      </c>
      <c r="L72" s="13">
        <v>-0.12541726803707209</v>
      </c>
      <c r="M72" s="13">
        <v>4.0438555237520726</v>
      </c>
      <c r="N72" s="7">
        <f>'Option source'!C675</f>
        <v>67548216</v>
      </c>
      <c r="O72" s="7">
        <f>'Option source'!G675</f>
        <v>47</v>
      </c>
      <c r="P72" s="7">
        <f>'Option source'!F675</f>
        <v>68</v>
      </c>
      <c r="Q72" s="1" t="s">
        <v>88</v>
      </c>
      <c r="R72" s="1">
        <v>670</v>
      </c>
    </row>
    <row r="73" spans="1:18" ht="21" customHeight="1">
      <c r="A73" s="8">
        <v>46280</v>
      </c>
      <c r="B73" s="1" t="s">
        <v>106</v>
      </c>
      <c r="C73" s="39" t="s">
        <v>87</v>
      </c>
      <c r="D73" s="7">
        <v>7600</v>
      </c>
      <c r="E73" s="7">
        <f>'Option source'!B333</f>
        <v>106.1</v>
      </c>
      <c r="F73" s="7">
        <v>6725</v>
      </c>
      <c r="G73" s="14">
        <v>31</v>
      </c>
      <c r="H73" s="7">
        <f t="shared" si="3"/>
        <v>0</v>
      </c>
      <c r="I73" s="7">
        <f t="shared" si="4"/>
        <v>106.1</v>
      </c>
      <c r="J73" s="9">
        <f t="shared" si="5"/>
        <v>1.1301115241635689</v>
      </c>
      <c r="K73" s="9">
        <v>0.42121598873551885</v>
      </c>
      <c r="L73" s="13">
        <v>0.23346436005350865</v>
      </c>
      <c r="M73" s="13">
        <v>6.0008791488999842</v>
      </c>
      <c r="N73" s="7">
        <f>'Option source'!C333</f>
        <v>340337472</v>
      </c>
      <c r="O73" s="7">
        <f>'Option source'!G333</f>
        <v>95.1</v>
      </c>
      <c r="P73" s="7">
        <f>'Option source'!F333</f>
        <v>130</v>
      </c>
      <c r="Q73" s="1" t="s">
        <v>88</v>
      </c>
      <c r="R73" s="1">
        <v>328</v>
      </c>
    </row>
    <row r="74" spans="1:18" ht="21" customHeight="1">
      <c r="A74" s="8">
        <v>46280</v>
      </c>
      <c r="B74" s="1" t="s">
        <v>107</v>
      </c>
      <c r="C74" s="39" t="s">
        <v>90</v>
      </c>
      <c r="D74" s="7">
        <v>7600</v>
      </c>
      <c r="E74" s="7">
        <f>'Option source'!B827</f>
        <v>860.85</v>
      </c>
      <c r="F74" s="7">
        <v>6725</v>
      </c>
      <c r="G74" s="14">
        <v>31</v>
      </c>
      <c r="H74" s="7">
        <f t="shared" si="3"/>
        <v>875</v>
      </c>
      <c r="I74" s="7">
        <f t="shared" si="4"/>
        <v>-14.149999999999977</v>
      </c>
      <c r="J74" s="9">
        <f t="shared" si="5"/>
        <v>1.1301115241635689</v>
      </c>
      <c r="K74" s="9"/>
      <c r="L74" s="13"/>
      <c r="M74" s="13"/>
      <c r="N74" s="7">
        <f>'Option source'!C827</f>
        <v>1079927</v>
      </c>
      <c r="O74" s="7">
        <f>'Option source'!G827</f>
        <v>799.5</v>
      </c>
      <c r="P74" s="7">
        <f>'Option source'!F827</f>
        <v>879.55</v>
      </c>
      <c r="Q74" s="1" t="s">
        <v>144</v>
      </c>
      <c r="R74" s="1">
        <v>822</v>
      </c>
    </row>
    <row r="75" spans="1:18" ht="21" customHeight="1">
      <c r="A75" s="8">
        <v>46280</v>
      </c>
      <c r="B75" s="1" t="s">
        <v>108</v>
      </c>
      <c r="C75" s="39" t="s">
        <v>87</v>
      </c>
      <c r="D75" s="7">
        <v>5800</v>
      </c>
      <c r="E75" s="7">
        <f>'Option source'!B162</f>
        <v>1198.6500000000001</v>
      </c>
      <c r="F75" s="7">
        <v>6725</v>
      </c>
      <c r="G75" s="14">
        <v>31</v>
      </c>
      <c r="H75" s="7">
        <f t="shared" si="3"/>
        <v>925</v>
      </c>
      <c r="I75" s="7">
        <f t="shared" si="4"/>
        <v>273.65000000000009</v>
      </c>
      <c r="J75" s="9">
        <f t="shared" si="5"/>
        <v>0.86245353159851301</v>
      </c>
      <c r="K75" s="9"/>
      <c r="L75" s="13"/>
      <c r="M75" s="13"/>
      <c r="N75" s="7">
        <f>'Option source'!C162</f>
        <v>0</v>
      </c>
      <c r="O75" s="7">
        <f>'Option source'!G162</f>
        <v>1163.54</v>
      </c>
      <c r="P75" s="7">
        <f>'Option source'!F162</f>
        <v>1337.15</v>
      </c>
      <c r="Q75" s="1" t="s">
        <v>25</v>
      </c>
      <c r="R75" s="1">
        <v>157</v>
      </c>
    </row>
    <row r="76" spans="1:18" ht="21" customHeight="1">
      <c r="A76" s="8">
        <v>46280</v>
      </c>
      <c r="B76" s="1" t="s">
        <v>110</v>
      </c>
      <c r="C76" s="39" t="s">
        <v>90</v>
      </c>
      <c r="D76" s="7">
        <v>5800</v>
      </c>
      <c r="E76" s="7">
        <f>'Option source'!B656</f>
        <v>32.86</v>
      </c>
      <c r="F76" s="7">
        <v>6725</v>
      </c>
      <c r="G76" s="14">
        <v>31</v>
      </c>
      <c r="H76" s="7">
        <f t="shared" si="3"/>
        <v>0</v>
      </c>
      <c r="I76" s="7">
        <f t="shared" si="4"/>
        <v>32.86</v>
      </c>
      <c r="J76" s="9">
        <f t="shared" si="5"/>
        <v>0.86245353159851301</v>
      </c>
      <c r="K76" s="9">
        <v>0.43872428850318712</v>
      </c>
      <c r="L76" s="13">
        <v>-7.7724605068291819E-2</v>
      </c>
      <c r="M76" s="13">
        <v>2.8506584700605067</v>
      </c>
      <c r="N76" s="7">
        <f>'Option source'!C656</f>
        <v>20763368</v>
      </c>
      <c r="O76" s="7">
        <f>'Option source'!G656</f>
        <v>28</v>
      </c>
      <c r="P76" s="7">
        <f>'Option source'!F656</f>
        <v>39.5</v>
      </c>
      <c r="Q76" s="1" t="s">
        <v>88</v>
      </c>
      <c r="R76" s="1">
        <v>651</v>
      </c>
    </row>
    <row r="77" spans="1:18" ht="21" customHeight="1">
      <c r="A77" s="8">
        <v>46280</v>
      </c>
      <c r="B77" s="1" t="s">
        <v>111</v>
      </c>
      <c r="C77" s="39" t="s">
        <v>87</v>
      </c>
      <c r="D77" s="7">
        <v>7800</v>
      </c>
      <c r="E77" s="7">
        <f>'Option source'!B352</f>
        <v>74.959999999999994</v>
      </c>
      <c r="F77" s="7">
        <v>6725</v>
      </c>
      <c r="G77" s="14">
        <v>31</v>
      </c>
      <c r="H77" s="7">
        <f t="shared" si="3"/>
        <v>0</v>
      </c>
      <c r="I77" s="7">
        <f t="shared" si="4"/>
        <v>74.959999999999994</v>
      </c>
      <c r="J77" s="9">
        <f t="shared" si="5"/>
        <v>1.1598513011152416</v>
      </c>
      <c r="K77" s="9">
        <v>0.42512835776921137</v>
      </c>
      <c r="L77" s="13">
        <v>0.17636361048405591</v>
      </c>
      <c r="M77" s="13">
        <v>5.076960016378413</v>
      </c>
      <c r="N77" s="7">
        <f>'Option source'!C352</f>
        <v>103323992</v>
      </c>
      <c r="O77" s="7">
        <f>'Option source'!G352</f>
        <v>67.03</v>
      </c>
      <c r="P77" s="7">
        <f>'Option source'!F352</f>
        <v>95</v>
      </c>
      <c r="Q77" s="1" t="s">
        <v>88</v>
      </c>
      <c r="R77" s="1">
        <v>347</v>
      </c>
    </row>
    <row r="78" spans="1:18" ht="21" customHeight="1">
      <c r="A78" s="8">
        <v>46280</v>
      </c>
      <c r="B78" s="1" t="s">
        <v>112</v>
      </c>
      <c r="C78" s="39" t="s">
        <v>90</v>
      </c>
      <c r="D78" s="7">
        <v>7800</v>
      </c>
      <c r="E78" s="7">
        <f>'Option source'!B846</f>
        <v>1064.72</v>
      </c>
      <c r="F78" s="7">
        <v>6725</v>
      </c>
      <c r="G78" s="14">
        <v>31</v>
      </c>
      <c r="H78" s="7">
        <f t="shared" si="3"/>
        <v>1075</v>
      </c>
      <c r="I78" s="7">
        <f t="shared" si="4"/>
        <v>-10.279999999999973</v>
      </c>
      <c r="J78" s="9">
        <f t="shared" si="5"/>
        <v>1.1598513011152416</v>
      </c>
      <c r="K78" s="9"/>
      <c r="L78" s="13"/>
      <c r="M78" s="13"/>
      <c r="N78" s="7">
        <f>'Option source'!C846</f>
        <v>2107901.5</v>
      </c>
      <c r="O78" s="7">
        <f>'Option source'!G846</f>
        <v>967.62</v>
      </c>
      <c r="P78" s="7">
        <f>'Option source'!F846</f>
        <v>1088.22</v>
      </c>
      <c r="Q78" s="1" t="s">
        <v>144</v>
      </c>
      <c r="R78" s="1">
        <v>841</v>
      </c>
    </row>
    <row r="79" spans="1:18" ht="21" customHeight="1">
      <c r="A79" s="8">
        <v>46280</v>
      </c>
      <c r="B79" s="1" t="s">
        <v>114</v>
      </c>
      <c r="C79" s="39" t="s">
        <v>87</v>
      </c>
      <c r="D79" s="7">
        <v>5600</v>
      </c>
      <c r="E79" s="7">
        <f>'Option source'!B152</f>
        <v>1455</v>
      </c>
      <c r="F79" s="7">
        <v>6725</v>
      </c>
      <c r="G79" s="14">
        <v>31</v>
      </c>
      <c r="H79" s="7">
        <f t="shared" si="3"/>
        <v>1125</v>
      </c>
      <c r="I79" s="7">
        <f t="shared" si="4"/>
        <v>330</v>
      </c>
      <c r="J79" s="9">
        <f t="shared" si="5"/>
        <v>0.83271375464684017</v>
      </c>
      <c r="K79" s="9"/>
      <c r="L79" s="13"/>
      <c r="M79" s="13"/>
      <c r="N79" s="7">
        <f>'Option source'!C152</f>
        <v>0</v>
      </c>
      <c r="O79" s="7">
        <f>'Option source'!G152</f>
        <v>1455</v>
      </c>
      <c r="P79" s="7">
        <f>'Option source'!F152</f>
        <v>1455</v>
      </c>
      <c r="Q79" s="1" t="s">
        <v>25</v>
      </c>
      <c r="R79" s="1">
        <v>147</v>
      </c>
    </row>
    <row r="80" spans="1:18" ht="21" customHeight="1">
      <c r="A80" s="8">
        <v>46280</v>
      </c>
      <c r="B80" s="1" t="s">
        <v>115</v>
      </c>
      <c r="C80" s="39" t="s">
        <v>90</v>
      </c>
      <c r="D80" s="7">
        <v>5600</v>
      </c>
      <c r="E80" s="7">
        <f>'Option source'!B637</f>
        <v>17.760000000000002</v>
      </c>
      <c r="F80" s="7">
        <v>6725</v>
      </c>
      <c r="G80" s="14">
        <v>31</v>
      </c>
      <c r="H80" s="7">
        <f t="shared" si="3"/>
        <v>0</v>
      </c>
      <c r="I80" s="7">
        <f t="shared" si="4"/>
        <v>17.760000000000002</v>
      </c>
      <c r="J80" s="9">
        <f t="shared" si="5"/>
        <v>0.83271375464684017</v>
      </c>
      <c r="K80" s="9">
        <v>0.44199417988185141</v>
      </c>
      <c r="L80" s="13">
        <v>-4.6147793952215244E-2</v>
      </c>
      <c r="M80" s="13">
        <v>1.8956985472493917</v>
      </c>
      <c r="N80" s="7">
        <f>'Option source'!C637</f>
        <v>6115640</v>
      </c>
      <c r="O80" s="7">
        <f>'Option source'!G637</f>
        <v>15</v>
      </c>
      <c r="P80" s="7">
        <f>'Option source'!F637</f>
        <v>21.42</v>
      </c>
      <c r="Q80" s="1" t="s">
        <v>88</v>
      </c>
      <c r="R80" s="1">
        <v>632</v>
      </c>
    </row>
    <row r="81" spans="1:18" ht="21" customHeight="1">
      <c r="A81" s="8">
        <v>46280</v>
      </c>
      <c r="B81" s="1" t="s">
        <v>116</v>
      </c>
      <c r="C81" s="39" t="s">
        <v>87</v>
      </c>
      <c r="D81" s="7">
        <v>8000</v>
      </c>
      <c r="E81" s="7">
        <f>'Option source'!B371</f>
        <v>53.36</v>
      </c>
      <c r="F81" s="7">
        <v>6725</v>
      </c>
      <c r="G81" s="14">
        <v>31</v>
      </c>
      <c r="H81" s="7">
        <f t="shared" si="3"/>
        <v>0</v>
      </c>
      <c r="I81" s="7">
        <f t="shared" si="4"/>
        <v>53.36</v>
      </c>
      <c r="J81" s="9">
        <f t="shared" si="5"/>
        <v>1.1895910780669146</v>
      </c>
      <c r="K81" s="9">
        <v>0.43146370778483595</v>
      </c>
      <c r="L81" s="13">
        <v>0.13238617358549809</v>
      </c>
      <c r="M81" s="13">
        <v>4.1984177494627737</v>
      </c>
      <c r="N81" s="7">
        <f>'Option source'!C371</f>
        <v>111552832</v>
      </c>
      <c r="O81" s="7">
        <f>'Option source'!G371</f>
        <v>48.9</v>
      </c>
      <c r="P81" s="7">
        <f>'Option source'!F371</f>
        <v>72.099999999999994</v>
      </c>
      <c r="Q81" s="1" t="s">
        <v>88</v>
      </c>
      <c r="R81" s="1">
        <v>366</v>
      </c>
    </row>
    <row r="82" spans="1:18" ht="21" customHeight="1">
      <c r="A82" s="8">
        <v>46280</v>
      </c>
      <c r="B82" s="1" t="s">
        <v>117</v>
      </c>
      <c r="C82" s="39" t="s">
        <v>90</v>
      </c>
      <c r="D82" s="7">
        <v>8000</v>
      </c>
      <c r="E82" s="7">
        <f>'Option source'!B865</f>
        <v>1230</v>
      </c>
      <c r="F82" s="7">
        <v>6725</v>
      </c>
      <c r="G82" s="14">
        <v>31</v>
      </c>
      <c r="H82" s="7">
        <f t="shared" si="3"/>
        <v>1275</v>
      </c>
      <c r="I82" s="7">
        <f t="shared" si="4"/>
        <v>-45</v>
      </c>
      <c r="J82" s="9">
        <f t="shared" si="5"/>
        <v>1.1895910780669146</v>
      </c>
      <c r="K82" s="9"/>
      <c r="L82" s="13"/>
      <c r="M82" s="13"/>
      <c r="N82" s="7">
        <f>'Option source'!C865</f>
        <v>21339940</v>
      </c>
      <c r="O82" s="7">
        <f>'Option source'!G865</f>
        <v>1109</v>
      </c>
      <c r="P82" s="7">
        <f>'Option source'!F865</f>
        <v>1250</v>
      </c>
      <c r="Q82" s="1" t="s">
        <v>144</v>
      </c>
      <c r="R82" s="1">
        <v>860</v>
      </c>
    </row>
    <row r="83" spans="1:18" ht="21" customHeight="1">
      <c r="A83" s="8">
        <v>46280</v>
      </c>
      <c r="B83" s="1" t="s">
        <v>119</v>
      </c>
      <c r="C83" s="39" t="s">
        <v>87</v>
      </c>
      <c r="D83" s="7">
        <v>5400</v>
      </c>
      <c r="E83" s="7">
        <f>'Option source'!B134</f>
        <v>1470</v>
      </c>
      <c r="F83" s="7">
        <v>6725</v>
      </c>
      <c r="G83" s="14">
        <v>31</v>
      </c>
      <c r="H83" s="7">
        <f t="shared" si="3"/>
        <v>1325</v>
      </c>
      <c r="I83" s="7">
        <f t="shared" si="4"/>
        <v>145</v>
      </c>
      <c r="J83" s="9">
        <f t="shared" si="5"/>
        <v>0.80297397769516732</v>
      </c>
      <c r="K83" s="9">
        <v>0.44819310187752109</v>
      </c>
      <c r="L83" s="13">
        <v>0.97383150619083825</v>
      </c>
      <c r="M83" s="13">
        <v>1.1901049021996253</v>
      </c>
      <c r="N83" s="7">
        <f>'Option source'!C134</f>
        <v>11837598</v>
      </c>
      <c r="O83" s="7">
        <f>'Option source'!G134</f>
        <v>1424.19</v>
      </c>
      <c r="P83" s="7">
        <f>'Option source'!F134</f>
        <v>1532.25</v>
      </c>
      <c r="Q83" s="1" t="s">
        <v>88</v>
      </c>
      <c r="R83" s="1">
        <v>129</v>
      </c>
    </row>
    <row r="84" spans="1:18" ht="21" customHeight="1">
      <c r="A84" s="8">
        <v>46280</v>
      </c>
      <c r="B84" s="1" t="s">
        <v>120</v>
      </c>
      <c r="C84" s="39" t="s">
        <v>90</v>
      </c>
      <c r="D84" s="7">
        <v>5400</v>
      </c>
      <c r="E84" s="7">
        <f>'Option source'!B618</f>
        <v>9.9</v>
      </c>
      <c r="F84" s="7">
        <v>6725</v>
      </c>
      <c r="G84" s="14">
        <v>31</v>
      </c>
      <c r="H84" s="7">
        <f t="shared" si="3"/>
        <v>0</v>
      </c>
      <c r="I84" s="7">
        <f t="shared" si="4"/>
        <v>9.9</v>
      </c>
      <c r="J84" s="9">
        <f t="shared" si="5"/>
        <v>0.80297397769516732</v>
      </c>
      <c r="K84" s="9">
        <v>0.4522475729675885</v>
      </c>
      <c r="L84" s="13">
        <v>-2.7169005486415765E-2</v>
      </c>
      <c r="M84" s="13">
        <v>1.2279928280975247</v>
      </c>
      <c r="N84" s="7">
        <f>'Option source'!C618</f>
        <v>1908707.12</v>
      </c>
      <c r="O84" s="7">
        <f>'Option source'!G618</f>
        <v>8</v>
      </c>
      <c r="P84" s="7">
        <f>'Option source'!F618</f>
        <v>11.38</v>
      </c>
      <c r="Q84" s="1" t="s">
        <v>88</v>
      </c>
      <c r="R84" s="1">
        <v>613</v>
      </c>
    </row>
    <row r="85" spans="1:18" ht="21" customHeight="1">
      <c r="A85" s="8">
        <v>46280</v>
      </c>
      <c r="B85" s="1" t="s">
        <v>123</v>
      </c>
      <c r="C85" s="39" t="s">
        <v>87</v>
      </c>
      <c r="D85" s="7">
        <v>5200</v>
      </c>
      <c r="E85" s="7">
        <f>'Option source'!B115</f>
        <v>1678.07</v>
      </c>
      <c r="F85" s="7">
        <v>6725</v>
      </c>
      <c r="G85" s="14">
        <v>31</v>
      </c>
      <c r="H85" s="7">
        <f t="shared" si="3"/>
        <v>1525</v>
      </c>
      <c r="I85" s="7">
        <f t="shared" si="4"/>
        <v>153.06999999999994</v>
      </c>
      <c r="J85" s="9">
        <f t="shared" si="5"/>
        <v>0.77323420074349447</v>
      </c>
      <c r="K85" s="9">
        <v>0.59721135286514282</v>
      </c>
      <c r="L85" s="13">
        <v>0.9564631675832227</v>
      </c>
      <c r="M85" s="13">
        <v>1.8088546867285331</v>
      </c>
      <c r="N85" s="7">
        <f>'Option source'!C115</f>
        <v>503108.09</v>
      </c>
      <c r="O85" s="7">
        <f>'Option source'!G115</f>
        <v>1653.01</v>
      </c>
      <c r="P85" s="7">
        <f>'Option source'!F115</f>
        <v>1700</v>
      </c>
      <c r="Q85" s="1" t="s">
        <v>88</v>
      </c>
      <c r="R85" s="1">
        <v>110</v>
      </c>
    </row>
    <row r="86" spans="1:18" ht="21" customHeight="1">
      <c r="A86" s="8">
        <v>46280</v>
      </c>
      <c r="B86" s="1" t="s">
        <v>124</v>
      </c>
      <c r="C86" s="39" t="s">
        <v>90</v>
      </c>
      <c r="D86" s="7">
        <v>5200</v>
      </c>
      <c r="E86" s="7">
        <f>'Option source'!B599</f>
        <v>5.46</v>
      </c>
      <c r="F86" s="7">
        <v>6725</v>
      </c>
      <c r="G86" s="14">
        <v>31</v>
      </c>
      <c r="H86" s="7">
        <f t="shared" si="3"/>
        <v>0</v>
      </c>
      <c r="I86" s="7">
        <f t="shared" si="4"/>
        <v>5.46</v>
      </c>
      <c r="J86" s="9">
        <f t="shared" si="5"/>
        <v>0.77323420074349447</v>
      </c>
      <c r="K86" s="9">
        <v>0.46526348695565134</v>
      </c>
      <c r="L86" s="13">
        <v>-1.5683641350411337E-2</v>
      </c>
      <c r="M86" s="13">
        <v>0.77116674475954239</v>
      </c>
      <c r="N86" s="7">
        <f>'Option source'!C599</f>
        <v>812441.62</v>
      </c>
      <c r="O86" s="7">
        <f>'Option source'!G599</f>
        <v>3.7</v>
      </c>
      <c r="P86" s="7">
        <f>'Option source'!F599</f>
        <v>6.64</v>
      </c>
      <c r="Q86" s="1" t="s">
        <v>88</v>
      </c>
      <c r="R86" s="1">
        <v>594</v>
      </c>
    </row>
    <row r="87" spans="1:18" ht="21" customHeight="1">
      <c r="A87" s="8">
        <v>46280</v>
      </c>
      <c r="B87" s="1" t="s">
        <v>121</v>
      </c>
      <c r="C87" s="39" t="s">
        <v>87</v>
      </c>
      <c r="D87" s="7">
        <v>8300</v>
      </c>
      <c r="E87" s="7">
        <f>'Option source'!B390</f>
        <v>31.45</v>
      </c>
      <c r="F87" s="7">
        <v>6725</v>
      </c>
      <c r="G87" s="14">
        <v>31</v>
      </c>
      <c r="H87" s="7">
        <f t="shared" si="3"/>
        <v>0</v>
      </c>
      <c r="I87" s="7">
        <f t="shared" si="4"/>
        <v>31.45</v>
      </c>
      <c r="J87" s="9">
        <f t="shared" si="5"/>
        <v>1.2342007434944238</v>
      </c>
      <c r="K87" s="9">
        <v>0.43973147647623623</v>
      </c>
      <c r="L87" s="13">
        <v>8.393224165964927E-2</v>
      </c>
      <c r="M87" s="13">
        <v>3.0209383905645821</v>
      </c>
      <c r="N87" s="7">
        <f>'Option source'!C390</f>
        <v>22569552</v>
      </c>
      <c r="O87" s="7">
        <f>'Option source'!G390</f>
        <v>27.21</v>
      </c>
      <c r="P87" s="7">
        <f>'Option source'!F390</f>
        <v>47</v>
      </c>
      <c r="Q87" s="1" t="s">
        <v>88</v>
      </c>
      <c r="R87" s="1">
        <v>385</v>
      </c>
    </row>
    <row r="88" spans="1:18" ht="21" customHeight="1">
      <c r="A88" s="8">
        <v>46280</v>
      </c>
      <c r="B88" s="1" t="s">
        <v>122</v>
      </c>
      <c r="C88" s="39" t="s">
        <v>90</v>
      </c>
      <c r="D88" s="7">
        <v>8300</v>
      </c>
      <c r="E88" s="7">
        <f>'Option source'!B884</f>
        <v>1520</v>
      </c>
      <c r="F88" s="7">
        <v>6725</v>
      </c>
      <c r="G88" s="14">
        <v>31</v>
      </c>
      <c r="H88" s="7">
        <f t="shared" si="3"/>
        <v>1575</v>
      </c>
      <c r="I88" s="7">
        <f t="shared" si="4"/>
        <v>-55</v>
      </c>
      <c r="J88" s="9">
        <f t="shared" si="5"/>
        <v>1.2342007434944238</v>
      </c>
      <c r="K88" s="9"/>
      <c r="L88" s="13"/>
      <c r="M88" s="13"/>
      <c r="N88" s="7">
        <f>'Option source'!C884</f>
        <v>760000</v>
      </c>
      <c r="O88" s="7">
        <f>'Option source'!G884</f>
        <v>1520</v>
      </c>
      <c r="P88" s="7">
        <f>'Option source'!F884</f>
        <v>1520</v>
      </c>
      <c r="Q88" s="1" t="s">
        <v>144</v>
      </c>
      <c r="R88" s="1">
        <v>879</v>
      </c>
    </row>
    <row r="89" spans="1:18" ht="21" customHeight="1">
      <c r="A89" s="8">
        <v>46280</v>
      </c>
      <c r="B89" s="1" t="s">
        <v>125</v>
      </c>
      <c r="C89" s="39" t="s">
        <v>87</v>
      </c>
      <c r="D89" s="7">
        <v>5000</v>
      </c>
      <c r="E89" s="7">
        <f>'Option source'!B96</f>
        <v>1851</v>
      </c>
      <c r="F89" s="7">
        <v>6725</v>
      </c>
      <c r="G89" s="14">
        <v>31</v>
      </c>
      <c r="H89" s="7">
        <f t="shared" si="3"/>
        <v>1725</v>
      </c>
      <c r="I89" s="7">
        <f t="shared" si="4"/>
        <v>126</v>
      </c>
      <c r="J89" s="9">
        <f t="shared" si="5"/>
        <v>0.74349442379182151</v>
      </c>
      <c r="K89" s="9"/>
      <c r="L89" s="13"/>
      <c r="M89" s="13"/>
      <c r="N89" s="7">
        <f>'Option source'!C96</f>
        <v>2212747.25</v>
      </c>
      <c r="O89" s="7">
        <f>'Option source'!G96</f>
        <v>1840.71</v>
      </c>
      <c r="P89" s="7">
        <f>'Option source'!F96</f>
        <v>1848.45</v>
      </c>
      <c r="Q89" s="1" t="s">
        <v>109</v>
      </c>
      <c r="R89" s="1">
        <v>91</v>
      </c>
    </row>
    <row r="90" spans="1:18" ht="21" customHeight="1">
      <c r="A90" s="8">
        <v>46280</v>
      </c>
      <c r="B90" s="1" t="s">
        <v>126</v>
      </c>
      <c r="C90" s="39" t="s">
        <v>90</v>
      </c>
      <c r="D90" s="7">
        <v>5000</v>
      </c>
      <c r="E90" s="7">
        <f>'Option source'!B580</f>
        <v>3.46</v>
      </c>
      <c r="F90" s="7">
        <v>6725</v>
      </c>
      <c r="G90" s="14">
        <v>31</v>
      </c>
      <c r="H90" s="7">
        <f t="shared" si="3"/>
        <v>0</v>
      </c>
      <c r="I90" s="7">
        <f t="shared" si="4"/>
        <v>3.46</v>
      </c>
      <c r="J90" s="9">
        <f t="shared" si="5"/>
        <v>0.74349442379182151</v>
      </c>
      <c r="K90" s="9">
        <v>0.48967188939671746</v>
      </c>
      <c r="L90" s="13">
        <v>-9.9861757489116965E-3</v>
      </c>
      <c r="M90" s="13">
        <v>0.52171629970191324</v>
      </c>
      <c r="N90" s="7">
        <f>'Option source'!C580</f>
        <v>1247591.5</v>
      </c>
      <c r="O90" s="7">
        <f>'Option source'!G580</f>
        <v>2.42</v>
      </c>
      <c r="P90" s="7">
        <f>'Option source'!F580</f>
        <v>4.3499999999999996</v>
      </c>
      <c r="Q90" s="1" t="s">
        <v>88</v>
      </c>
      <c r="R90" s="1">
        <v>575</v>
      </c>
    </row>
    <row r="91" spans="1:18" ht="21" customHeight="1">
      <c r="A91" s="8">
        <v>46280</v>
      </c>
      <c r="B91" s="1" t="s">
        <v>127</v>
      </c>
      <c r="C91" s="39" t="s">
        <v>87</v>
      </c>
      <c r="D91" s="7">
        <v>8600</v>
      </c>
      <c r="E91" s="7">
        <f>'Option source'!B409</f>
        <v>19.149999999999999</v>
      </c>
      <c r="F91" s="7">
        <v>6725</v>
      </c>
      <c r="G91" s="14">
        <v>31</v>
      </c>
      <c r="H91" s="7">
        <f t="shared" si="3"/>
        <v>0</v>
      </c>
      <c r="I91" s="7">
        <f t="shared" si="4"/>
        <v>19.149999999999999</v>
      </c>
      <c r="J91" s="9">
        <f t="shared" si="5"/>
        <v>1.278810408921933</v>
      </c>
      <c r="K91" s="9">
        <v>0.45150603221768598</v>
      </c>
      <c r="L91" s="13">
        <v>5.3743648411727969E-2</v>
      </c>
      <c r="M91" s="13">
        <v>2.1406996607633233</v>
      </c>
      <c r="N91" s="7">
        <f>'Option source'!C409</f>
        <v>16742308</v>
      </c>
      <c r="O91" s="7">
        <f>'Option source'!G409</f>
        <v>17</v>
      </c>
      <c r="P91" s="7">
        <f>'Option source'!F409</f>
        <v>25</v>
      </c>
      <c r="Q91" s="1" t="s">
        <v>88</v>
      </c>
      <c r="R91" s="1">
        <v>404</v>
      </c>
    </row>
    <row r="92" spans="1:18" ht="21" customHeight="1">
      <c r="A92" s="8">
        <v>46280</v>
      </c>
      <c r="B92" s="1" t="s">
        <v>128</v>
      </c>
      <c r="C92" s="39" t="s">
        <v>90</v>
      </c>
      <c r="D92" s="7">
        <v>8600</v>
      </c>
      <c r="E92" s="7">
        <f>'Option source'!B903</f>
        <v>1648.65</v>
      </c>
      <c r="F92" s="7">
        <v>6725</v>
      </c>
      <c r="G92" s="14">
        <v>31</v>
      </c>
      <c r="H92" s="7">
        <f t="shared" si="3"/>
        <v>1875</v>
      </c>
      <c r="I92" s="7">
        <f t="shared" si="4"/>
        <v>-226.34999999999991</v>
      </c>
      <c r="J92" s="9">
        <f t="shared" si="5"/>
        <v>1.278810408921933</v>
      </c>
      <c r="K92" s="9"/>
      <c r="L92" s="13"/>
      <c r="M92" s="13"/>
      <c r="N92" s="7">
        <f>'Option source'!C903</f>
        <v>164865</v>
      </c>
      <c r="O92" s="7">
        <f>'Option source'!G903</f>
        <v>0</v>
      </c>
      <c r="P92" s="7">
        <f>'Option source'!F903</f>
        <v>0</v>
      </c>
      <c r="Q92" s="1" t="s">
        <v>113</v>
      </c>
      <c r="R92" s="1">
        <v>898</v>
      </c>
    </row>
    <row r="93" spans="1:18" ht="21" customHeight="1">
      <c r="A93" s="8">
        <v>46280</v>
      </c>
      <c r="B93" s="1" t="s">
        <v>129</v>
      </c>
      <c r="C93" s="39" t="s">
        <v>87</v>
      </c>
      <c r="D93" s="7">
        <v>4800</v>
      </c>
      <c r="E93" s="7">
        <f>'Option source'!B79</f>
        <v>2084.21</v>
      </c>
      <c r="F93" s="7">
        <v>6725</v>
      </c>
      <c r="G93" s="14">
        <v>31</v>
      </c>
      <c r="H93" s="7">
        <f t="shared" si="3"/>
        <v>1925</v>
      </c>
      <c r="I93" s="7">
        <f t="shared" si="4"/>
        <v>159.21000000000004</v>
      </c>
      <c r="J93" s="9">
        <f t="shared" si="5"/>
        <v>0.71375464684014867</v>
      </c>
      <c r="K93" s="9"/>
      <c r="L93" s="13"/>
      <c r="M93" s="13"/>
      <c r="N93" s="7">
        <f>'Option source'!C79</f>
        <v>18354320</v>
      </c>
      <c r="O93" s="7">
        <f>'Option source'!G79</f>
        <v>2009.47</v>
      </c>
      <c r="P93" s="7">
        <f>'Option source'!F79</f>
        <v>2064.2800000000002</v>
      </c>
      <c r="Q93" s="1" t="s">
        <v>109</v>
      </c>
      <c r="R93" s="1">
        <v>74</v>
      </c>
    </row>
    <row r="94" spans="1:18" ht="21" customHeight="1">
      <c r="A94" s="8">
        <v>46280</v>
      </c>
      <c r="B94" s="1" t="s">
        <v>131</v>
      </c>
      <c r="C94" s="39" t="s">
        <v>90</v>
      </c>
      <c r="D94" s="7">
        <v>4800</v>
      </c>
      <c r="E94" s="7">
        <f>'Option source'!B561</f>
        <v>2.64</v>
      </c>
      <c r="F94" s="7">
        <v>6725</v>
      </c>
      <c r="G94" s="14">
        <v>31</v>
      </c>
      <c r="H94" s="7">
        <f t="shared" si="3"/>
        <v>0</v>
      </c>
      <c r="I94" s="7">
        <f t="shared" si="4"/>
        <v>2.64</v>
      </c>
      <c r="J94" s="9">
        <f t="shared" si="5"/>
        <v>0.71375464684014867</v>
      </c>
      <c r="K94" s="9">
        <v>0.52642344183871348</v>
      </c>
      <c r="L94" s="13">
        <v>-7.3264920839080094E-3</v>
      </c>
      <c r="M94" s="13">
        <v>0.39758909457673325</v>
      </c>
      <c r="N94" s="7">
        <f>'Option source'!C561</f>
        <v>235711.3</v>
      </c>
      <c r="O94" s="7">
        <f>'Option source'!G561</f>
        <v>1.5</v>
      </c>
      <c r="P94" s="7">
        <f>'Option source'!F561</f>
        <v>3.7</v>
      </c>
      <c r="Q94" s="1" t="s">
        <v>88</v>
      </c>
      <c r="R94" s="1">
        <v>556</v>
      </c>
    </row>
    <row r="95" spans="1:18" ht="21" customHeight="1">
      <c r="A95" s="8">
        <v>46280</v>
      </c>
      <c r="B95" s="1" t="s">
        <v>134</v>
      </c>
      <c r="C95" s="39" t="s">
        <v>87</v>
      </c>
      <c r="D95" s="7">
        <v>4600</v>
      </c>
      <c r="E95" s="7">
        <f>'Option source'!B62</f>
        <v>2280.1</v>
      </c>
      <c r="F95" s="7">
        <v>6725</v>
      </c>
      <c r="G95" s="14">
        <v>31</v>
      </c>
      <c r="H95" s="7">
        <f t="shared" si="3"/>
        <v>2125</v>
      </c>
      <c r="I95" s="7">
        <f t="shared" si="4"/>
        <v>155.09999999999991</v>
      </c>
      <c r="J95" s="9">
        <f t="shared" si="5"/>
        <v>0.68401486988847582</v>
      </c>
      <c r="K95" s="9"/>
      <c r="L95" s="13"/>
      <c r="M95" s="13"/>
      <c r="N95" s="7">
        <f>'Option source'!C62</f>
        <v>27287726</v>
      </c>
      <c r="O95" s="7">
        <f>'Option source'!G62</f>
        <v>2200.39</v>
      </c>
      <c r="P95" s="7">
        <f>'Option source'!F62</f>
        <v>2265.16</v>
      </c>
      <c r="Q95" s="1" t="s">
        <v>109</v>
      </c>
      <c r="R95" s="1">
        <v>57</v>
      </c>
    </row>
    <row r="96" spans="1:18" ht="21" customHeight="1">
      <c r="A96" s="8">
        <v>46280</v>
      </c>
      <c r="B96" s="1" t="s">
        <v>135</v>
      </c>
      <c r="C96" s="39" t="s">
        <v>90</v>
      </c>
      <c r="D96" s="7">
        <v>4600</v>
      </c>
      <c r="E96" s="7">
        <f>'Option source'!B542</f>
        <v>1.8</v>
      </c>
      <c r="F96" s="7">
        <v>6725</v>
      </c>
      <c r="G96" s="14">
        <v>31</v>
      </c>
      <c r="H96" s="7">
        <f t="shared" si="3"/>
        <v>0</v>
      </c>
      <c r="I96" s="7">
        <f t="shared" si="4"/>
        <v>1.8</v>
      </c>
      <c r="J96" s="9">
        <f t="shared" si="5"/>
        <v>0.68401486988847582</v>
      </c>
      <c r="K96" s="9">
        <v>0.55632046063095442</v>
      </c>
      <c r="L96" s="13">
        <v>-4.9306449956274534E-3</v>
      </c>
      <c r="M96" s="13">
        <v>0.27988728813155239</v>
      </c>
      <c r="N96" s="7">
        <f>'Option source'!C542</f>
        <v>192004.59</v>
      </c>
      <c r="O96" s="7">
        <f>'Option source'!G542</f>
        <v>1</v>
      </c>
      <c r="P96" s="7">
        <f>'Option source'!F542</f>
        <v>2</v>
      </c>
      <c r="Q96" s="1" t="s">
        <v>88</v>
      </c>
      <c r="R96" s="1">
        <v>537</v>
      </c>
    </row>
    <row r="97" spans="1:18" ht="21" customHeight="1">
      <c r="A97" s="8">
        <v>46280</v>
      </c>
      <c r="B97" s="1" t="s">
        <v>132</v>
      </c>
      <c r="C97" s="39" t="s">
        <v>87</v>
      </c>
      <c r="D97" s="7">
        <v>8900</v>
      </c>
      <c r="E97" s="7">
        <f>'Option source'!B428</f>
        <v>9.81</v>
      </c>
      <c r="F97" s="7">
        <v>6725</v>
      </c>
      <c r="G97" s="14">
        <v>31</v>
      </c>
      <c r="H97" s="7">
        <f t="shared" si="3"/>
        <v>0</v>
      </c>
      <c r="I97" s="7">
        <f t="shared" si="4"/>
        <v>9.81</v>
      </c>
      <c r="J97" s="9">
        <f t="shared" si="5"/>
        <v>1.3234200743494424</v>
      </c>
      <c r="K97" s="9">
        <v>0.44937695702061192</v>
      </c>
      <c r="L97" s="13">
        <v>3.0077009448900276E-2</v>
      </c>
      <c r="M97" s="13">
        <v>1.3363698647810747</v>
      </c>
      <c r="N97" s="7">
        <f>'Option source'!C428</f>
        <v>3391931.75</v>
      </c>
      <c r="O97" s="7">
        <f>'Option source'!G428</f>
        <v>9</v>
      </c>
      <c r="P97" s="7">
        <f>'Option source'!F428</f>
        <v>13</v>
      </c>
      <c r="Q97" s="1" t="s">
        <v>88</v>
      </c>
      <c r="R97" s="1">
        <v>423</v>
      </c>
    </row>
    <row r="98" spans="1:18" ht="21" customHeight="1">
      <c r="A98" s="8">
        <v>46280</v>
      </c>
      <c r="B98" s="1" t="s">
        <v>133</v>
      </c>
      <c r="C98" s="39" t="s">
        <v>90</v>
      </c>
      <c r="D98" s="7">
        <v>8900</v>
      </c>
      <c r="E98" s="7">
        <f>'Option source'!B918</f>
        <v>2022.5</v>
      </c>
      <c r="F98" s="7">
        <v>6725</v>
      </c>
      <c r="G98" s="14">
        <v>31</v>
      </c>
      <c r="H98" s="7">
        <f t="shared" si="3"/>
        <v>2175</v>
      </c>
      <c r="I98" s="7">
        <f t="shared" si="4"/>
        <v>-152.5</v>
      </c>
      <c r="J98" s="9">
        <f t="shared" si="5"/>
        <v>1.3234200743494424</v>
      </c>
      <c r="K98" s="9"/>
      <c r="L98" s="13"/>
      <c r="M98" s="13"/>
      <c r="N98" s="7">
        <f>'Option source'!C918</f>
        <v>0</v>
      </c>
      <c r="O98" s="7">
        <f>'Option source'!G918</f>
        <v>2022.5</v>
      </c>
      <c r="P98" s="7">
        <f>'Option source'!F918</f>
        <v>2037.67</v>
      </c>
      <c r="Q98" s="1" t="s">
        <v>118</v>
      </c>
      <c r="R98" s="1">
        <v>913</v>
      </c>
    </row>
    <row r="99" spans="1:18" ht="21" customHeight="1">
      <c r="A99" s="8">
        <v>46280</v>
      </c>
      <c r="B99" s="1" t="s">
        <v>136</v>
      </c>
      <c r="C99" s="39" t="s">
        <v>87</v>
      </c>
      <c r="D99" s="7">
        <v>4400</v>
      </c>
      <c r="E99" s="7">
        <f>'Option source'!B43</f>
        <v>2422</v>
      </c>
      <c r="F99" s="7">
        <v>6725</v>
      </c>
      <c r="G99" s="14">
        <v>31</v>
      </c>
      <c r="H99" s="7">
        <f t="shared" si="3"/>
        <v>2325</v>
      </c>
      <c r="I99" s="7">
        <f t="shared" si="4"/>
        <v>97</v>
      </c>
      <c r="J99" s="9">
        <f t="shared" si="5"/>
        <v>0.65427509293680297</v>
      </c>
      <c r="K99" s="9"/>
      <c r="L99" s="13"/>
      <c r="M99" s="13"/>
      <c r="N99" s="7">
        <f>'Option source'!C43</f>
        <v>1446295</v>
      </c>
      <c r="O99" s="7">
        <f>'Option source'!G43</f>
        <v>2391.3000000000002</v>
      </c>
      <c r="P99" s="7">
        <f>'Option source'!F43</f>
        <v>2418.17</v>
      </c>
      <c r="Q99" s="1" t="s">
        <v>109</v>
      </c>
      <c r="R99" s="1">
        <v>38</v>
      </c>
    </row>
    <row r="100" spans="1:18" ht="21" customHeight="1">
      <c r="A100" s="8">
        <v>46280</v>
      </c>
      <c r="B100" s="1" t="s">
        <v>137</v>
      </c>
      <c r="C100" s="39" t="s">
        <v>90</v>
      </c>
      <c r="D100" s="7">
        <v>4400</v>
      </c>
      <c r="E100" s="7">
        <f>'Option source'!B523</f>
        <v>1.71</v>
      </c>
      <c r="F100" s="7">
        <v>6725</v>
      </c>
      <c r="G100" s="14">
        <v>31</v>
      </c>
      <c r="H100" s="7">
        <f t="shared" si="3"/>
        <v>0</v>
      </c>
      <c r="I100" s="7">
        <f t="shared" si="4"/>
        <v>1.71</v>
      </c>
      <c r="J100" s="9">
        <f t="shared" si="5"/>
        <v>0.65427509293680297</v>
      </c>
      <c r="K100" s="9"/>
      <c r="L100" s="13"/>
      <c r="M100" s="13"/>
      <c r="N100" s="7">
        <f>'Option source'!C523</f>
        <v>288556.09000000003</v>
      </c>
      <c r="O100" s="7">
        <f>'Option source'!G523</f>
        <v>0.71</v>
      </c>
      <c r="P100" s="7">
        <f>'Option source'!F523</f>
        <v>1.7</v>
      </c>
      <c r="Q100" s="1" t="s">
        <v>109</v>
      </c>
      <c r="R100" s="1">
        <v>518</v>
      </c>
    </row>
    <row r="101" spans="1:18" ht="21" customHeight="1">
      <c r="A101" s="8">
        <v>46280</v>
      </c>
      <c r="B101" s="1" t="s">
        <v>138</v>
      </c>
      <c r="C101" s="39" t="s">
        <v>87</v>
      </c>
      <c r="D101" s="7">
        <v>9200</v>
      </c>
      <c r="E101" s="7">
        <f>'Option source'!B447</f>
        <v>5.93</v>
      </c>
      <c r="F101" s="7">
        <v>6725</v>
      </c>
      <c r="G101" s="14">
        <v>31</v>
      </c>
      <c r="H101" s="7">
        <f t="shared" si="3"/>
        <v>0</v>
      </c>
      <c r="I101" s="7">
        <f t="shared" si="4"/>
        <v>5.93</v>
      </c>
      <c r="J101" s="9">
        <f t="shared" si="5"/>
        <v>1.3680297397769516</v>
      </c>
      <c r="K101" s="9">
        <v>0.46044639746563587</v>
      </c>
      <c r="L101" s="13">
        <v>1.8838774949759191E-2</v>
      </c>
      <c r="M101" s="13">
        <v>0.90191358538141841</v>
      </c>
      <c r="N101" s="7">
        <f>'Option source'!C447</f>
        <v>1086758.3799999999</v>
      </c>
      <c r="O101" s="7">
        <f>'Option source'!G447</f>
        <v>5.8</v>
      </c>
      <c r="P101" s="7">
        <f>'Option source'!F447</f>
        <v>7.9</v>
      </c>
      <c r="Q101" s="1" t="s">
        <v>88</v>
      </c>
      <c r="R101" s="1">
        <v>442</v>
      </c>
    </row>
    <row r="102" spans="1:18" ht="21" customHeight="1">
      <c r="A102" s="8">
        <v>46280</v>
      </c>
      <c r="B102" s="1" t="s">
        <v>139</v>
      </c>
      <c r="C102" s="39" t="s">
        <v>90</v>
      </c>
      <c r="D102" s="7">
        <v>9200</v>
      </c>
      <c r="E102" s="7">
        <f>'Option source'!B925</f>
        <v>2041.57</v>
      </c>
      <c r="F102" s="7">
        <v>6725</v>
      </c>
      <c r="G102" s="14">
        <v>31</v>
      </c>
      <c r="H102" s="7">
        <f t="shared" si="3"/>
        <v>2475</v>
      </c>
      <c r="I102" s="7">
        <f t="shared" si="4"/>
        <v>-433.43000000000006</v>
      </c>
      <c r="J102" s="9">
        <f t="shared" si="5"/>
        <v>1.3680297397769516</v>
      </c>
      <c r="K102" s="9"/>
      <c r="L102" s="13"/>
      <c r="M102" s="13"/>
      <c r="N102" s="7">
        <f>'Option source'!C925</f>
        <v>0</v>
      </c>
      <c r="O102" s="7">
        <f>'Option source'!G925</f>
        <v>2041.57</v>
      </c>
      <c r="P102" s="7">
        <f>'Option source'!F925</f>
        <v>2041.57</v>
      </c>
      <c r="Q102" s="1" t="s">
        <v>118</v>
      </c>
      <c r="R102" s="1">
        <v>920</v>
      </c>
    </row>
    <row r="103" spans="1:18" ht="21" customHeight="1">
      <c r="A103" s="8">
        <v>46280</v>
      </c>
      <c r="B103" s="1" t="s">
        <v>140</v>
      </c>
      <c r="C103" s="39" t="s">
        <v>87</v>
      </c>
      <c r="D103" s="7">
        <v>4200</v>
      </c>
      <c r="E103" s="7">
        <f>'Option source'!B24</f>
        <v>2597.16</v>
      </c>
      <c r="F103" s="7">
        <v>6725</v>
      </c>
      <c r="G103" s="14">
        <v>31</v>
      </c>
      <c r="H103" s="7">
        <f t="shared" si="3"/>
        <v>2525</v>
      </c>
      <c r="I103" s="7">
        <f t="shared" si="4"/>
        <v>72.159999999999854</v>
      </c>
      <c r="J103" s="9">
        <f t="shared" si="5"/>
        <v>0.62453531598513012</v>
      </c>
      <c r="K103" s="9"/>
      <c r="L103" s="13"/>
      <c r="M103" s="13"/>
      <c r="N103" s="7">
        <f>'Option source'!C24</f>
        <v>2869639.25</v>
      </c>
      <c r="O103" s="7">
        <f>'Option source'!G24</f>
        <v>2597.16</v>
      </c>
      <c r="P103" s="7">
        <f>'Option source'!F24</f>
        <v>2663.71</v>
      </c>
      <c r="Q103" s="1" t="s">
        <v>100</v>
      </c>
      <c r="R103" s="1">
        <v>19</v>
      </c>
    </row>
    <row r="104" spans="1:18" ht="21" customHeight="1">
      <c r="A104" s="8">
        <v>46280</v>
      </c>
      <c r="B104" s="1" t="s">
        <v>141</v>
      </c>
      <c r="C104" s="39" t="s">
        <v>90</v>
      </c>
      <c r="D104" s="7">
        <v>4200</v>
      </c>
      <c r="E104" s="7">
        <f>'Option source'!B504</f>
        <v>1.19</v>
      </c>
      <c r="F104" s="7">
        <v>6725</v>
      </c>
      <c r="G104" s="14">
        <v>31</v>
      </c>
      <c r="H104" s="7">
        <f t="shared" si="3"/>
        <v>0</v>
      </c>
      <c r="I104" s="7">
        <f t="shared" si="4"/>
        <v>1.19</v>
      </c>
      <c r="J104" s="9">
        <f t="shared" si="5"/>
        <v>0.62453531598513012</v>
      </c>
      <c r="K104" s="9">
        <v>0.64114604938090514</v>
      </c>
      <c r="L104" s="13">
        <v>-2.987183335114052E-3</v>
      </c>
      <c r="M104" s="13">
        <v>0.17862162991921732</v>
      </c>
      <c r="N104" s="7">
        <f>'Option source'!C504</f>
        <v>209747.8</v>
      </c>
      <c r="O104" s="7">
        <f>'Option source'!G504</f>
        <v>0.65</v>
      </c>
      <c r="P104" s="7">
        <f>'Option source'!F504</f>
        <v>1.61</v>
      </c>
      <c r="Q104" s="1" t="s">
        <v>88</v>
      </c>
      <c r="R104" s="1">
        <v>499</v>
      </c>
    </row>
    <row r="105" spans="1:18" ht="21" customHeight="1">
      <c r="A105" s="8">
        <v>46280</v>
      </c>
      <c r="B105" s="1" t="s">
        <v>142</v>
      </c>
      <c r="C105" s="39" t="s">
        <v>87</v>
      </c>
      <c r="D105" s="7">
        <v>9500</v>
      </c>
      <c r="E105" s="7">
        <f>'Option source'!B466</f>
        <v>3.7</v>
      </c>
      <c r="F105" s="7">
        <v>6725</v>
      </c>
      <c r="G105" s="14">
        <v>31</v>
      </c>
      <c r="H105" s="7">
        <f t="shared" si="3"/>
        <v>0</v>
      </c>
      <c r="I105" s="7">
        <f t="shared" si="4"/>
        <v>3.7</v>
      </c>
      <c r="J105" s="9">
        <f t="shared" si="5"/>
        <v>1.4126394052044611</v>
      </c>
      <c r="K105" s="9">
        <v>0.47243900363619729</v>
      </c>
      <c r="L105" s="13">
        <v>1.2060494424974925E-2</v>
      </c>
      <c r="M105" s="13">
        <v>0.61481582472925378</v>
      </c>
      <c r="N105" s="7">
        <f>'Option source'!C466</f>
        <v>174398.3</v>
      </c>
      <c r="O105" s="7">
        <f>'Option source'!G466</f>
        <v>3.65</v>
      </c>
      <c r="P105" s="7">
        <f>'Option source'!F466</f>
        <v>5</v>
      </c>
      <c r="Q105" s="1" t="s">
        <v>88</v>
      </c>
      <c r="R105" s="1">
        <v>461</v>
      </c>
    </row>
    <row r="106" spans="1:18" ht="21" customHeight="1">
      <c r="A106" s="8">
        <v>46280</v>
      </c>
      <c r="B106" s="1" t="s">
        <v>143</v>
      </c>
      <c r="C106" s="39" t="s">
        <v>87</v>
      </c>
      <c r="D106" s="7">
        <v>9900</v>
      </c>
      <c r="E106" s="7">
        <f>'Option source'!B485</f>
        <v>2.44</v>
      </c>
      <c r="F106" s="7">
        <v>6725</v>
      </c>
      <c r="G106" s="14">
        <v>31</v>
      </c>
      <c r="H106" s="7">
        <f t="shared" si="3"/>
        <v>0</v>
      </c>
      <c r="I106" s="7">
        <f t="shared" si="4"/>
        <v>2.44</v>
      </c>
      <c r="J106" s="9">
        <f t="shared" si="5"/>
        <v>1.4721189591078068</v>
      </c>
      <c r="K106" s="9">
        <v>0.4984812216101609</v>
      </c>
      <c r="L106" s="13">
        <v>7.8916639145187786E-3</v>
      </c>
      <c r="M106" s="13">
        <v>0.4244744725273788</v>
      </c>
      <c r="N106" s="7">
        <f>'Option source'!C485</f>
        <v>504513.91</v>
      </c>
      <c r="O106" s="7">
        <f>'Option source'!G485</f>
        <v>2.2000000000000002</v>
      </c>
      <c r="P106" s="7">
        <f>'Option source'!F485</f>
        <v>3.5</v>
      </c>
      <c r="Q106" s="1" t="s">
        <v>88</v>
      </c>
      <c r="R106" s="1">
        <v>480</v>
      </c>
    </row>
    <row r="107" spans="1:18" ht="21" customHeight="1">
      <c r="A107" s="8">
        <v>46279</v>
      </c>
      <c r="B107" s="1" t="s">
        <v>86</v>
      </c>
      <c r="C107" s="39" t="s">
        <v>87</v>
      </c>
      <c r="D107" s="7">
        <v>6800</v>
      </c>
      <c r="E107" s="7">
        <f>'Option source'!B256</f>
        <v>449.91</v>
      </c>
      <c r="F107" s="7">
        <v>6840</v>
      </c>
      <c r="G107" s="14">
        <v>32</v>
      </c>
      <c r="H107" s="7">
        <f t="shared" si="3"/>
        <v>40</v>
      </c>
      <c r="I107" s="7">
        <f t="shared" si="4"/>
        <v>409.91</v>
      </c>
      <c r="J107" s="9">
        <f t="shared" si="5"/>
        <v>0.99415204678362568</v>
      </c>
      <c r="K107" s="9">
        <v>0.41583221466494913</v>
      </c>
      <c r="L107" s="13">
        <v>0.62658155516055525</v>
      </c>
      <c r="M107" s="13">
        <v>7.6694849291905491</v>
      </c>
      <c r="N107" s="7">
        <f>'Option source'!C256</f>
        <v>135067376</v>
      </c>
      <c r="O107" s="7">
        <f>'Option source'!G256</f>
        <v>430</v>
      </c>
      <c r="P107" s="7">
        <f>'Option source'!F256</f>
        <v>533</v>
      </c>
      <c r="Q107" s="1" t="s">
        <v>88</v>
      </c>
      <c r="R107" s="1">
        <v>251</v>
      </c>
    </row>
    <row r="108" spans="1:18" ht="21" customHeight="1">
      <c r="A108" s="8">
        <v>46279</v>
      </c>
      <c r="B108" s="1" t="s">
        <v>89</v>
      </c>
      <c r="C108" s="39" t="s">
        <v>90</v>
      </c>
      <c r="D108" s="7">
        <v>6800</v>
      </c>
      <c r="E108" s="7">
        <f>'Option source'!B750</f>
        <v>275.35000000000002</v>
      </c>
      <c r="F108" s="7">
        <v>6840</v>
      </c>
      <c r="G108" s="14">
        <v>32</v>
      </c>
      <c r="H108" s="7">
        <f t="shared" si="3"/>
        <v>0</v>
      </c>
      <c r="I108" s="7">
        <f t="shared" si="4"/>
        <v>275.35000000000002</v>
      </c>
      <c r="J108" s="9">
        <f t="shared" si="5"/>
        <v>0.99415204678362568</v>
      </c>
      <c r="K108" s="9">
        <v>0.44951159454033329</v>
      </c>
      <c r="L108" s="13">
        <v>-0.37895554130101206</v>
      </c>
      <c r="M108" s="13">
        <v>7.7048671090681964</v>
      </c>
      <c r="N108" s="7">
        <f>'Option source'!C750</f>
        <v>155947568</v>
      </c>
      <c r="O108" s="7">
        <f>'Option source'!G750</f>
        <v>214</v>
      </c>
      <c r="P108" s="7">
        <f>'Option source'!F750</f>
        <v>299</v>
      </c>
      <c r="Q108" s="1" t="s">
        <v>88</v>
      </c>
      <c r="R108" s="1">
        <v>745</v>
      </c>
    </row>
    <row r="109" spans="1:18" ht="21" customHeight="1">
      <c r="A109" s="8">
        <v>46279</v>
      </c>
      <c r="B109" s="1" t="s">
        <v>93</v>
      </c>
      <c r="C109" s="39" t="s">
        <v>87</v>
      </c>
      <c r="D109" s="7">
        <v>7000</v>
      </c>
      <c r="E109" s="7">
        <f>'Option source'!B275</f>
        <v>351.33</v>
      </c>
      <c r="F109" s="7">
        <v>6840</v>
      </c>
      <c r="G109" s="14">
        <v>32</v>
      </c>
      <c r="H109" s="7">
        <f t="shared" si="3"/>
        <v>0</v>
      </c>
      <c r="I109" s="7">
        <f t="shared" si="4"/>
        <v>351.33</v>
      </c>
      <c r="J109" s="9">
        <f t="shared" si="5"/>
        <v>1.0233918128654971</v>
      </c>
      <c r="K109" s="9">
        <v>0.42220472883207549</v>
      </c>
      <c r="L109" s="13">
        <v>0.53503589988734479</v>
      </c>
      <c r="M109" s="13">
        <v>8.0485123139928607</v>
      </c>
      <c r="N109" s="7">
        <f>'Option source'!C275</f>
        <v>212083968</v>
      </c>
      <c r="O109" s="7">
        <f>'Option source'!G275</f>
        <v>337.5</v>
      </c>
      <c r="P109" s="7">
        <f>'Option source'!F275</f>
        <v>425</v>
      </c>
      <c r="Q109" s="1" t="s">
        <v>88</v>
      </c>
      <c r="R109" s="1">
        <v>270</v>
      </c>
    </row>
    <row r="110" spans="1:18" ht="21" customHeight="1">
      <c r="A110" s="8">
        <v>46279</v>
      </c>
      <c r="B110" s="1" t="s">
        <v>94</v>
      </c>
      <c r="C110" s="39" t="s">
        <v>90</v>
      </c>
      <c r="D110" s="7">
        <v>7000</v>
      </c>
      <c r="E110" s="7">
        <f>'Option source'!B769</f>
        <v>374.39</v>
      </c>
      <c r="F110" s="7">
        <v>6840</v>
      </c>
      <c r="G110" s="14">
        <v>32</v>
      </c>
      <c r="H110" s="7">
        <f t="shared" si="3"/>
        <v>160</v>
      </c>
      <c r="I110" s="7">
        <f t="shared" si="4"/>
        <v>214.39</v>
      </c>
      <c r="J110" s="9">
        <f t="shared" si="5"/>
        <v>1.0233918128654971</v>
      </c>
      <c r="K110" s="9">
        <v>0.44764884531992</v>
      </c>
      <c r="L110" s="13">
        <v>-0.46404161045500059</v>
      </c>
      <c r="M110" s="13">
        <v>8.0468477369895233</v>
      </c>
      <c r="N110" s="7">
        <f>'Option source'!C769</f>
        <v>147142976</v>
      </c>
      <c r="O110" s="7">
        <f>'Option source'!G769</f>
        <v>300</v>
      </c>
      <c r="P110" s="7">
        <f>'Option source'!F769</f>
        <v>392</v>
      </c>
      <c r="Q110" s="1" t="s">
        <v>88</v>
      </c>
      <c r="R110" s="1">
        <v>764</v>
      </c>
    </row>
    <row r="111" spans="1:18" ht="21" customHeight="1">
      <c r="A111" s="8">
        <v>46279</v>
      </c>
      <c r="B111" s="1" t="s">
        <v>91</v>
      </c>
      <c r="C111" s="39" t="s">
        <v>87</v>
      </c>
      <c r="D111" s="7">
        <v>6600</v>
      </c>
      <c r="E111" s="7">
        <f>'Option source'!B237</f>
        <v>574.6</v>
      </c>
      <c r="F111" s="7">
        <v>6840</v>
      </c>
      <c r="G111" s="14">
        <v>32</v>
      </c>
      <c r="H111" s="7">
        <f t="shared" si="3"/>
        <v>240</v>
      </c>
      <c r="I111" s="7">
        <f t="shared" si="4"/>
        <v>334.6</v>
      </c>
      <c r="J111" s="9">
        <f t="shared" si="5"/>
        <v>0.96491228070175439</v>
      </c>
      <c r="K111" s="9">
        <v>0.41999296818045251</v>
      </c>
      <c r="L111" s="13">
        <v>0.71256687208233471</v>
      </c>
      <c r="M111" s="13">
        <v>6.903645532214945</v>
      </c>
      <c r="N111" s="7">
        <f>'Option source'!C237</f>
        <v>79085528</v>
      </c>
      <c r="O111" s="7">
        <f>'Option source'!G237</f>
        <v>540</v>
      </c>
      <c r="P111" s="7">
        <f>'Option source'!F237</f>
        <v>665</v>
      </c>
      <c r="Q111" s="1" t="s">
        <v>88</v>
      </c>
      <c r="R111" s="1">
        <v>232</v>
      </c>
    </row>
    <row r="112" spans="1:18" ht="21" customHeight="1">
      <c r="A112" s="8">
        <v>46279</v>
      </c>
      <c r="B112" s="1" t="s">
        <v>92</v>
      </c>
      <c r="C112" s="39" t="s">
        <v>90</v>
      </c>
      <c r="D112" s="7">
        <v>6600</v>
      </c>
      <c r="E112" s="7">
        <f>'Option source'!B731</f>
        <v>192.29</v>
      </c>
      <c r="F112" s="7">
        <v>6840</v>
      </c>
      <c r="G112" s="14">
        <v>32</v>
      </c>
      <c r="H112" s="7">
        <f t="shared" si="3"/>
        <v>0</v>
      </c>
      <c r="I112" s="7">
        <f t="shared" si="4"/>
        <v>192.29</v>
      </c>
      <c r="J112" s="9">
        <f t="shared" si="5"/>
        <v>0.96491228070175439</v>
      </c>
      <c r="K112" s="9">
        <v>0.44736773494536591</v>
      </c>
      <c r="L112" s="13">
        <v>-0.29652035595760684</v>
      </c>
      <c r="M112" s="13">
        <v>7.0044331850851451</v>
      </c>
      <c r="N112" s="7">
        <f>'Option source'!C731</f>
        <v>115791792</v>
      </c>
      <c r="O112" s="7">
        <f>'Option source'!G731</f>
        <v>137.47999999999999</v>
      </c>
      <c r="P112" s="7">
        <f>'Option source'!F731</f>
        <v>200</v>
      </c>
      <c r="Q112" s="1" t="s">
        <v>88</v>
      </c>
      <c r="R112" s="1">
        <v>726</v>
      </c>
    </row>
    <row r="113" spans="1:18" ht="21" customHeight="1">
      <c r="A113" s="8">
        <v>46279</v>
      </c>
      <c r="B113" s="1" t="s">
        <v>97</v>
      </c>
      <c r="C113" s="39" t="s">
        <v>87</v>
      </c>
      <c r="D113" s="7">
        <v>7200</v>
      </c>
      <c r="E113" s="7">
        <f>'Option source'!B294</f>
        <v>261.93</v>
      </c>
      <c r="F113" s="7">
        <v>6840</v>
      </c>
      <c r="G113" s="14">
        <v>32</v>
      </c>
      <c r="H113" s="7">
        <f t="shared" si="3"/>
        <v>0</v>
      </c>
      <c r="I113" s="7">
        <f t="shared" si="4"/>
        <v>261.93</v>
      </c>
      <c r="J113" s="9">
        <f t="shared" si="5"/>
        <v>1.0526315789473684</v>
      </c>
      <c r="K113" s="9">
        <v>0.41769731716855879</v>
      </c>
      <c r="L113" s="13">
        <v>0.44423721541445127</v>
      </c>
      <c r="M113" s="13">
        <v>8.0006329575730746</v>
      </c>
      <c r="N113" s="7">
        <f>'Option source'!C294</f>
        <v>225884640</v>
      </c>
      <c r="O113" s="7">
        <f>'Option source'!G294</f>
        <v>255</v>
      </c>
      <c r="P113" s="7">
        <f>'Option source'!F294</f>
        <v>324</v>
      </c>
      <c r="Q113" s="1" t="s">
        <v>88</v>
      </c>
      <c r="R113" s="1">
        <v>289</v>
      </c>
    </row>
    <row r="114" spans="1:18" ht="21" customHeight="1">
      <c r="A114" s="8">
        <v>46279</v>
      </c>
      <c r="B114" s="1" t="s">
        <v>98</v>
      </c>
      <c r="C114" s="39" t="s">
        <v>90</v>
      </c>
      <c r="D114" s="7">
        <v>7200</v>
      </c>
      <c r="E114" s="7">
        <f>'Option source'!B788</f>
        <v>494.18</v>
      </c>
      <c r="F114" s="7">
        <v>6840</v>
      </c>
      <c r="G114" s="14">
        <v>32</v>
      </c>
      <c r="H114" s="7">
        <f t="shared" si="3"/>
        <v>360</v>
      </c>
      <c r="I114" s="7">
        <f t="shared" si="4"/>
        <v>134.18</v>
      </c>
      <c r="J114" s="9">
        <f t="shared" si="5"/>
        <v>1.0526315789473684</v>
      </c>
      <c r="K114" s="9">
        <v>0.44716043208924505</v>
      </c>
      <c r="L114" s="13">
        <v>-0.5487716195293405</v>
      </c>
      <c r="M114" s="13">
        <v>8.0192369951464428</v>
      </c>
      <c r="N114" s="7">
        <f>'Option source'!C788</f>
        <v>43380644</v>
      </c>
      <c r="O114" s="7">
        <f>'Option source'!G788</f>
        <v>393.3</v>
      </c>
      <c r="P114" s="7">
        <f>'Option source'!F788</f>
        <v>510</v>
      </c>
      <c r="Q114" s="1" t="s">
        <v>88</v>
      </c>
      <c r="R114" s="1">
        <v>783</v>
      </c>
    </row>
    <row r="115" spans="1:18" ht="21" customHeight="1">
      <c r="A115" s="8">
        <v>46279</v>
      </c>
      <c r="B115" s="1" t="s">
        <v>95</v>
      </c>
      <c r="C115" s="39" t="s">
        <v>87</v>
      </c>
      <c r="D115" s="7">
        <v>6400</v>
      </c>
      <c r="E115" s="7">
        <f>'Option source'!B218</f>
        <v>675.11</v>
      </c>
      <c r="F115" s="7">
        <v>6840</v>
      </c>
      <c r="G115" s="14">
        <v>32</v>
      </c>
      <c r="H115" s="7">
        <f t="shared" si="3"/>
        <v>440</v>
      </c>
      <c r="I115" s="7">
        <f t="shared" si="4"/>
        <v>235.11</v>
      </c>
      <c r="J115" s="9">
        <f t="shared" si="5"/>
        <v>0.93567251461988299</v>
      </c>
      <c r="K115" s="9">
        <v>0.3509531177896113</v>
      </c>
      <c r="L115" s="13">
        <v>0.82764775618590436</v>
      </c>
      <c r="M115" s="13">
        <v>5.1702729711309496</v>
      </c>
      <c r="N115" s="7">
        <f>'Option source'!C218</f>
        <v>29115720</v>
      </c>
      <c r="O115" s="7">
        <f>'Option source'!G218</f>
        <v>671</v>
      </c>
      <c r="P115" s="7">
        <f>'Option source'!F218</f>
        <v>800</v>
      </c>
      <c r="Q115" s="1" t="s">
        <v>88</v>
      </c>
      <c r="R115" s="1">
        <v>213</v>
      </c>
    </row>
    <row r="116" spans="1:18" ht="21" customHeight="1">
      <c r="A116" s="8">
        <v>46279</v>
      </c>
      <c r="B116" s="1" t="s">
        <v>96</v>
      </c>
      <c r="C116" s="39" t="s">
        <v>90</v>
      </c>
      <c r="D116" s="7">
        <v>6400</v>
      </c>
      <c r="E116" s="7">
        <f>'Option source'!B712</f>
        <v>130.18</v>
      </c>
      <c r="F116" s="7">
        <v>6840</v>
      </c>
      <c r="G116" s="14">
        <v>32</v>
      </c>
      <c r="H116" s="7">
        <f t="shared" si="3"/>
        <v>0</v>
      </c>
      <c r="I116" s="7">
        <f t="shared" si="4"/>
        <v>130.18</v>
      </c>
      <c r="J116" s="9">
        <f t="shared" si="5"/>
        <v>0.93567251461988299</v>
      </c>
      <c r="K116" s="9">
        <v>0.44822309292741946</v>
      </c>
      <c r="L116" s="13">
        <v>-0.22197823694412522</v>
      </c>
      <c r="M116" s="13">
        <v>6.0275225544580175</v>
      </c>
      <c r="N116" s="7">
        <f>'Option source'!C712</f>
        <v>76737328</v>
      </c>
      <c r="O116" s="7">
        <f>'Option source'!G712</f>
        <v>97</v>
      </c>
      <c r="P116" s="7">
        <f>'Option source'!F712</f>
        <v>134.69</v>
      </c>
      <c r="Q116" s="1" t="s">
        <v>88</v>
      </c>
      <c r="R116" s="1">
        <v>707</v>
      </c>
    </row>
    <row r="117" spans="1:18" ht="21" customHeight="1">
      <c r="A117" s="8">
        <v>46279</v>
      </c>
      <c r="B117" s="1" t="s">
        <v>102</v>
      </c>
      <c r="C117" s="39" t="s">
        <v>87</v>
      </c>
      <c r="D117" s="7">
        <v>7400</v>
      </c>
      <c r="E117" s="7">
        <f>'Option source'!B313</f>
        <v>198.36</v>
      </c>
      <c r="F117" s="7">
        <v>6840</v>
      </c>
      <c r="G117" s="14">
        <v>32</v>
      </c>
      <c r="H117" s="7">
        <f t="shared" si="3"/>
        <v>0</v>
      </c>
      <c r="I117" s="7">
        <f t="shared" si="4"/>
        <v>198.36</v>
      </c>
      <c r="J117" s="9">
        <f t="shared" si="5"/>
        <v>1.0818713450292399</v>
      </c>
      <c r="K117" s="9">
        <v>0.42482360747667891</v>
      </c>
      <c r="L117" s="13">
        <v>0.3618156699571608</v>
      </c>
      <c r="M117" s="13">
        <v>7.5900154415778074</v>
      </c>
      <c r="N117" s="7">
        <f>'Option source'!C313</f>
        <v>139453056</v>
      </c>
      <c r="O117" s="7">
        <f>'Option source'!G313</f>
        <v>180</v>
      </c>
      <c r="P117" s="7">
        <f>'Option source'!F313</f>
        <v>254.99</v>
      </c>
      <c r="Q117" s="1" t="s">
        <v>88</v>
      </c>
      <c r="R117" s="1">
        <v>308</v>
      </c>
    </row>
    <row r="118" spans="1:18" ht="21" customHeight="1">
      <c r="A118" s="8">
        <v>46279</v>
      </c>
      <c r="B118" s="1" t="s">
        <v>103</v>
      </c>
      <c r="C118" s="39" t="s">
        <v>90</v>
      </c>
      <c r="D118" s="7">
        <v>7400</v>
      </c>
      <c r="E118" s="7">
        <f>'Option source'!B807</f>
        <v>619.04</v>
      </c>
      <c r="F118" s="7">
        <v>6840</v>
      </c>
      <c r="G118" s="14">
        <v>32</v>
      </c>
      <c r="H118" s="7">
        <f t="shared" si="3"/>
        <v>560</v>
      </c>
      <c r="I118" s="7">
        <f t="shared" si="4"/>
        <v>59.039999999999964</v>
      </c>
      <c r="J118" s="9">
        <f t="shared" si="5"/>
        <v>1.0818713450292399</v>
      </c>
      <c r="K118" s="9">
        <v>0.4232525723574756</v>
      </c>
      <c r="L118" s="13">
        <v>-0.63885066444807015</v>
      </c>
      <c r="M118" s="13">
        <v>7.5852314337342435</v>
      </c>
      <c r="N118" s="7">
        <f>'Option source'!C807</f>
        <v>11768273</v>
      </c>
      <c r="O118" s="7">
        <f>'Option source'!G807</f>
        <v>520</v>
      </c>
      <c r="P118" s="7">
        <f>'Option source'!F807</f>
        <v>620</v>
      </c>
      <c r="Q118" s="1" t="s">
        <v>88</v>
      </c>
      <c r="R118" s="1">
        <v>802</v>
      </c>
    </row>
    <row r="119" spans="1:18" ht="21" customHeight="1">
      <c r="A119" s="8">
        <v>46279</v>
      </c>
      <c r="B119" s="1" t="s">
        <v>99</v>
      </c>
      <c r="C119" s="39" t="s">
        <v>87</v>
      </c>
      <c r="D119" s="7">
        <v>6200</v>
      </c>
      <c r="E119" s="7">
        <f>'Option source'!B199</f>
        <v>847.81</v>
      </c>
      <c r="F119" s="7">
        <v>6840</v>
      </c>
      <c r="G119" s="14">
        <v>32</v>
      </c>
      <c r="H119" s="7">
        <f t="shared" si="3"/>
        <v>640</v>
      </c>
      <c r="I119" s="7">
        <f t="shared" si="4"/>
        <v>207.80999999999995</v>
      </c>
      <c r="J119" s="9">
        <f t="shared" si="5"/>
        <v>0.9064327485380117</v>
      </c>
      <c r="K119" s="9">
        <v>0.37500935528244506</v>
      </c>
      <c r="L119" s="13">
        <v>0.88042573046461969</v>
      </c>
      <c r="M119" s="13">
        <v>4.0412358515242071</v>
      </c>
      <c r="N119" s="7">
        <f>'Option source'!C199</f>
        <v>4077403.75</v>
      </c>
      <c r="O119" s="7">
        <f>'Option source'!G199</f>
        <v>845</v>
      </c>
      <c r="P119" s="7">
        <f>'Option source'!F199</f>
        <v>950</v>
      </c>
      <c r="Q119" s="1" t="s">
        <v>88</v>
      </c>
      <c r="R119" s="1">
        <v>194</v>
      </c>
    </row>
    <row r="120" spans="1:18" ht="21" customHeight="1">
      <c r="A120" s="8">
        <v>46279</v>
      </c>
      <c r="B120" s="1" t="s">
        <v>101</v>
      </c>
      <c r="C120" s="39" t="s">
        <v>90</v>
      </c>
      <c r="D120" s="7">
        <v>6200</v>
      </c>
      <c r="E120" s="7">
        <f>'Option source'!B693</f>
        <v>81.680000000000007</v>
      </c>
      <c r="F120" s="7">
        <v>6840</v>
      </c>
      <c r="G120" s="14">
        <v>32</v>
      </c>
      <c r="H120" s="7">
        <f t="shared" si="3"/>
        <v>0</v>
      </c>
      <c r="I120" s="7">
        <f t="shared" si="4"/>
        <v>81.680000000000007</v>
      </c>
      <c r="J120" s="9">
        <f t="shared" si="5"/>
        <v>0.9064327485380117</v>
      </c>
      <c r="K120" s="9">
        <v>0.445057601475224</v>
      </c>
      <c r="L120" s="13">
        <v>-0.15601825079660869</v>
      </c>
      <c r="M120" s="13">
        <v>4.8468812774218204</v>
      </c>
      <c r="N120" s="7">
        <f>'Option source'!C693</f>
        <v>36600232</v>
      </c>
      <c r="O120" s="7">
        <f>'Option source'!G693</f>
        <v>61</v>
      </c>
      <c r="P120" s="7">
        <f>'Option source'!F693</f>
        <v>82.99</v>
      </c>
      <c r="Q120" s="1" t="s">
        <v>88</v>
      </c>
      <c r="R120" s="1">
        <v>688</v>
      </c>
    </row>
    <row r="121" spans="1:18" ht="21" customHeight="1">
      <c r="A121" s="8">
        <v>46279</v>
      </c>
      <c r="B121" s="1" t="s">
        <v>106</v>
      </c>
      <c r="C121" s="39" t="s">
        <v>87</v>
      </c>
      <c r="D121" s="7">
        <v>7600</v>
      </c>
      <c r="E121" s="7">
        <f>'Option source'!B332</f>
        <v>145.5</v>
      </c>
      <c r="F121" s="7">
        <v>6840</v>
      </c>
      <c r="G121" s="14">
        <v>32</v>
      </c>
      <c r="H121" s="7">
        <f t="shared" si="3"/>
        <v>0</v>
      </c>
      <c r="I121" s="7">
        <f t="shared" si="4"/>
        <v>145.5</v>
      </c>
      <c r="J121" s="9">
        <f t="shared" si="5"/>
        <v>1.1111111111111112</v>
      </c>
      <c r="K121" s="9">
        <v>0.42708603347838447</v>
      </c>
      <c r="L121" s="13">
        <v>0.28707305641465097</v>
      </c>
      <c r="M121" s="13">
        <v>6.8995513509821524</v>
      </c>
      <c r="N121" s="7">
        <f>'Option source'!C332</f>
        <v>340783872</v>
      </c>
      <c r="O121" s="7">
        <f>'Option source'!G332</f>
        <v>140</v>
      </c>
      <c r="P121" s="7">
        <f>'Option source'!F332</f>
        <v>183</v>
      </c>
      <c r="Q121" s="1" t="s">
        <v>88</v>
      </c>
      <c r="R121" s="1">
        <v>327</v>
      </c>
    </row>
    <row r="122" spans="1:18" ht="21" customHeight="1">
      <c r="A122" s="8">
        <v>46279</v>
      </c>
      <c r="B122" s="1" t="s">
        <v>107</v>
      </c>
      <c r="C122" s="39" t="s">
        <v>90</v>
      </c>
      <c r="D122" s="7">
        <v>7600</v>
      </c>
      <c r="E122" s="7">
        <f>'Option source'!B826</f>
        <v>775.5</v>
      </c>
      <c r="F122" s="7">
        <v>6840</v>
      </c>
      <c r="G122" s="14">
        <v>32</v>
      </c>
      <c r="H122" s="7">
        <f t="shared" si="3"/>
        <v>760</v>
      </c>
      <c r="I122" s="7">
        <f t="shared" si="4"/>
        <v>15.5</v>
      </c>
      <c r="J122" s="9">
        <f t="shared" si="5"/>
        <v>1.1111111111111112</v>
      </c>
      <c r="K122" s="9">
        <v>0.40884978158179286</v>
      </c>
      <c r="L122" s="13">
        <v>-0.72325589583320804</v>
      </c>
      <c r="M122" s="13">
        <v>6.7788061398406549</v>
      </c>
      <c r="N122" s="7">
        <f>'Option source'!C826</f>
        <v>2145817.25</v>
      </c>
      <c r="O122" s="7">
        <f>'Option source'!G826</f>
        <v>661</v>
      </c>
      <c r="P122" s="7">
        <f>'Option source'!F826</f>
        <v>775.5</v>
      </c>
      <c r="Q122" s="1" t="s">
        <v>88</v>
      </c>
      <c r="R122" s="1">
        <v>821</v>
      </c>
    </row>
    <row r="123" spans="1:18" ht="21" customHeight="1">
      <c r="A123" s="8">
        <v>46279</v>
      </c>
      <c r="B123" s="1" t="s">
        <v>104</v>
      </c>
      <c r="C123" s="39" t="s">
        <v>87</v>
      </c>
      <c r="D123" s="7">
        <v>6000</v>
      </c>
      <c r="E123" s="7">
        <f>'Option source'!B180</f>
        <v>1010</v>
      </c>
      <c r="F123" s="7">
        <v>6840</v>
      </c>
      <c r="G123" s="14">
        <v>32</v>
      </c>
      <c r="H123" s="7">
        <f t="shared" si="3"/>
        <v>840</v>
      </c>
      <c r="I123" s="7">
        <f t="shared" si="4"/>
        <v>170</v>
      </c>
      <c r="J123" s="9">
        <f t="shared" si="5"/>
        <v>0.8771929824561403</v>
      </c>
      <c r="K123" s="9">
        <v>0.33118636677448821</v>
      </c>
      <c r="L123" s="13">
        <v>0.95087723680840641</v>
      </c>
      <c r="M123" s="13">
        <v>2.0594843198939272</v>
      </c>
      <c r="N123" s="7">
        <f>'Option source'!C180</f>
        <v>22518816</v>
      </c>
      <c r="O123" s="7">
        <f>'Option source'!G180</f>
        <v>997.35</v>
      </c>
      <c r="P123" s="7">
        <f>'Option source'!F180</f>
        <v>1145</v>
      </c>
      <c r="Q123" s="1" t="s">
        <v>88</v>
      </c>
      <c r="R123" s="1">
        <v>175</v>
      </c>
    </row>
    <row r="124" spans="1:18" ht="21" customHeight="1">
      <c r="A124" s="8">
        <v>46279</v>
      </c>
      <c r="B124" s="1" t="s">
        <v>105</v>
      </c>
      <c r="C124" s="39" t="s">
        <v>90</v>
      </c>
      <c r="D124" s="7">
        <v>6000</v>
      </c>
      <c r="E124" s="7">
        <f>'Option source'!B674</f>
        <v>48.24</v>
      </c>
      <c r="F124" s="7">
        <v>6840</v>
      </c>
      <c r="G124" s="14">
        <v>32</v>
      </c>
      <c r="H124" s="7">
        <f t="shared" si="3"/>
        <v>0</v>
      </c>
      <c r="I124" s="7">
        <f t="shared" si="4"/>
        <v>48.24</v>
      </c>
      <c r="J124" s="9">
        <f t="shared" si="5"/>
        <v>0.8771929824561403</v>
      </c>
      <c r="K124" s="9">
        <v>0.44309160544263571</v>
      </c>
      <c r="L124" s="13">
        <v>-0.10297340404281574</v>
      </c>
      <c r="M124" s="13">
        <v>3.6309973689164603</v>
      </c>
      <c r="N124" s="7">
        <f>'Option source'!C674</f>
        <v>20539852</v>
      </c>
      <c r="O124" s="7">
        <f>'Option source'!G674</f>
        <v>37.15</v>
      </c>
      <c r="P124" s="7">
        <f>'Option source'!F674</f>
        <v>49.93</v>
      </c>
      <c r="Q124" s="1" t="s">
        <v>88</v>
      </c>
      <c r="R124" s="1">
        <v>669</v>
      </c>
    </row>
    <row r="125" spans="1:18" ht="21" customHeight="1">
      <c r="A125" s="8">
        <v>46279</v>
      </c>
      <c r="B125" s="1" t="s">
        <v>111</v>
      </c>
      <c r="C125" s="39" t="s">
        <v>87</v>
      </c>
      <c r="D125" s="7">
        <v>7800</v>
      </c>
      <c r="E125" s="7">
        <f>'Option source'!B351</f>
        <v>104.78</v>
      </c>
      <c r="F125" s="7">
        <v>6840</v>
      </c>
      <c r="G125" s="14">
        <v>32</v>
      </c>
      <c r="H125" s="7">
        <f t="shared" si="3"/>
        <v>0</v>
      </c>
      <c r="I125" s="7">
        <f t="shared" si="4"/>
        <v>104.78</v>
      </c>
      <c r="J125" s="9">
        <f t="shared" si="5"/>
        <v>1.1403508771929824</v>
      </c>
      <c r="K125" s="9">
        <v>0.42892402206690494</v>
      </c>
      <c r="L125" s="13">
        <v>0.22257259403513063</v>
      </c>
      <c r="M125" s="13">
        <v>6.0367255098381065</v>
      </c>
      <c r="N125" s="7">
        <f>'Option source'!C351</f>
        <v>100332312</v>
      </c>
      <c r="O125" s="7">
        <f>'Option source'!G351</f>
        <v>102</v>
      </c>
      <c r="P125" s="7">
        <f>'Option source'!F351</f>
        <v>143.77000000000001</v>
      </c>
      <c r="Q125" s="1" t="s">
        <v>88</v>
      </c>
      <c r="R125" s="1">
        <v>346</v>
      </c>
    </row>
    <row r="126" spans="1:18" ht="21" customHeight="1">
      <c r="A126" s="8">
        <v>46279</v>
      </c>
      <c r="B126" s="1" t="s">
        <v>112</v>
      </c>
      <c r="C126" s="39" t="s">
        <v>90</v>
      </c>
      <c r="D126" s="7">
        <v>7800</v>
      </c>
      <c r="E126" s="7">
        <f>'Option source'!B845</f>
        <v>955</v>
      </c>
      <c r="F126" s="7">
        <v>6840</v>
      </c>
      <c r="G126" s="14">
        <v>32</v>
      </c>
      <c r="H126" s="7">
        <f t="shared" si="3"/>
        <v>960</v>
      </c>
      <c r="I126" s="7">
        <f t="shared" si="4"/>
        <v>-5</v>
      </c>
      <c r="J126" s="9">
        <f t="shared" si="5"/>
        <v>1.1403508771929824</v>
      </c>
      <c r="K126" s="9"/>
      <c r="L126" s="13"/>
      <c r="M126" s="13"/>
      <c r="N126" s="7">
        <f>'Option source'!C845</f>
        <v>3038134</v>
      </c>
      <c r="O126" s="7">
        <f>'Option source'!G845</f>
        <v>830</v>
      </c>
      <c r="P126" s="7">
        <f>'Option source'!F845</f>
        <v>983.59</v>
      </c>
      <c r="Q126" s="1" t="s">
        <v>144</v>
      </c>
      <c r="R126" s="1">
        <v>840</v>
      </c>
    </row>
    <row r="127" spans="1:18" ht="21" customHeight="1">
      <c r="A127" s="8">
        <v>46279</v>
      </c>
      <c r="B127" s="1" t="s">
        <v>108</v>
      </c>
      <c r="C127" s="39" t="s">
        <v>87</v>
      </c>
      <c r="D127" s="7">
        <v>5800</v>
      </c>
      <c r="E127" s="7">
        <f>'Option source'!B161</f>
        <v>1198.6500000000001</v>
      </c>
      <c r="F127" s="7">
        <v>6840</v>
      </c>
      <c r="G127" s="14">
        <v>32</v>
      </c>
      <c r="H127" s="7">
        <f t="shared" si="3"/>
        <v>1040</v>
      </c>
      <c r="I127" s="7">
        <f t="shared" si="4"/>
        <v>158.65000000000009</v>
      </c>
      <c r="J127" s="9">
        <f t="shared" si="5"/>
        <v>0.84795321637426901</v>
      </c>
      <c r="K127" s="9">
        <v>0.34924891288573146</v>
      </c>
      <c r="L127" s="13">
        <v>0.97134590613025362</v>
      </c>
      <c r="M127" s="13">
        <v>1.3264983927016762</v>
      </c>
      <c r="N127" s="7">
        <f>'Option source'!C161</f>
        <v>18114076</v>
      </c>
      <c r="O127" s="7">
        <f>'Option source'!G161</f>
        <v>1163.54</v>
      </c>
      <c r="P127" s="7">
        <f>'Option source'!F161</f>
        <v>1337.15</v>
      </c>
      <c r="Q127" s="1" t="s">
        <v>88</v>
      </c>
      <c r="R127" s="1">
        <v>156</v>
      </c>
    </row>
    <row r="128" spans="1:18" ht="21" customHeight="1">
      <c r="A128" s="8">
        <v>46279</v>
      </c>
      <c r="B128" s="1" t="s">
        <v>110</v>
      </c>
      <c r="C128" s="39" t="s">
        <v>90</v>
      </c>
      <c r="D128" s="7">
        <v>5800</v>
      </c>
      <c r="E128" s="7">
        <f>'Option source'!B655</f>
        <v>28</v>
      </c>
      <c r="F128" s="7">
        <v>6840</v>
      </c>
      <c r="G128" s="14">
        <v>32</v>
      </c>
      <c r="H128" s="7">
        <f t="shared" si="3"/>
        <v>0</v>
      </c>
      <c r="I128" s="7">
        <f t="shared" si="4"/>
        <v>28</v>
      </c>
      <c r="J128" s="9">
        <f t="shared" si="5"/>
        <v>0.84795321637426901</v>
      </c>
      <c r="K128" s="9">
        <v>0.44619723234679898</v>
      </c>
      <c r="L128" s="13">
        <v>-6.5075455958855999E-2</v>
      </c>
      <c r="M128" s="13">
        <v>2.5702464054334087</v>
      </c>
      <c r="N128" s="7">
        <f>'Option source'!C655</f>
        <v>10710143</v>
      </c>
      <c r="O128" s="7">
        <f>'Option source'!G655</f>
        <v>21</v>
      </c>
      <c r="P128" s="7">
        <f>'Option source'!F655</f>
        <v>28.78</v>
      </c>
      <c r="Q128" s="1" t="s">
        <v>88</v>
      </c>
      <c r="R128" s="1">
        <v>650</v>
      </c>
    </row>
    <row r="129" spans="1:18" ht="21" customHeight="1">
      <c r="A129" s="8">
        <v>46279</v>
      </c>
      <c r="B129" s="1" t="s">
        <v>116</v>
      </c>
      <c r="C129" s="39" t="s">
        <v>87</v>
      </c>
      <c r="D129" s="7">
        <v>8000</v>
      </c>
      <c r="E129" s="7">
        <f>'Option source'!B370</f>
        <v>76.83</v>
      </c>
      <c r="F129" s="7">
        <v>6840</v>
      </c>
      <c r="G129" s="14">
        <v>32</v>
      </c>
      <c r="H129" s="7">
        <f t="shared" si="3"/>
        <v>0</v>
      </c>
      <c r="I129" s="7">
        <f t="shared" si="4"/>
        <v>76.83</v>
      </c>
      <c r="J129" s="9">
        <f t="shared" si="5"/>
        <v>1.1695906432748537</v>
      </c>
      <c r="K129" s="9">
        <v>0.435713485927955</v>
      </c>
      <c r="L129" s="13">
        <v>0.17210352022206457</v>
      </c>
      <c r="M129" s="13">
        <v>5.1655106760774769</v>
      </c>
      <c r="N129" s="7">
        <f>'Option source'!C370</f>
        <v>164742464</v>
      </c>
      <c r="O129" s="7">
        <f>'Option source'!G370</f>
        <v>75</v>
      </c>
      <c r="P129" s="7">
        <f>'Option source'!F370</f>
        <v>103</v>
      </c>
      <c r="Q129" s="1" t="s">
        <v>88</v>
      </c>
      <c r="R129" s="1">
        <v>365</v>
      </c>
    </row>
    <row r="130" spans="1:18" ht="21" customHeight="1">
      <c r="A130" s="8">
        <v>46279</v>
      </c>
      <c r="B130" s="1" t="s">
        <v>117</v>
      </c>
      <c r="C130" s="39" t="s">
        <v>90</v>
      </c>
      <c r="D130" s="7">
        <v>8000</v>
      </c>
      <c r="E130" s="7">
        <f>'Option source'!B864</f>
        <v>1160</v>
      </c>
      <c r="F130" s="7">
        <v>6840</v>
      </c>
      <c r="G130" s="14">
        <v>32</v>
      </c>
      <c r="H130" s="7">
        <f t="shared" si="3"/>
        <v>1160</v>
      </c>
      <c r="I130" s="7">
        <f t="shared" si="4"/>
        <v>0</v>
      </c>
      <c r="J130" s="9">
        <f t="shared" si="5"/>
        <v>1.1695906432748537</v>
      </c>
      <c r="K130" s="9"/>
      <c r="L130" s="13"/>
      <c r="M130" s="13"/>
      <c r="N130" s="7">
        <f>'Option source'!C864</f>
        <v>3754252.75</v>
      </c>
      <c r="O130" s="7">
        <f>'Option source'!G864</f>
        <v>1090</v>
      </c>
      <c r="P130" s="7">
        <f>'Option source'!F864</f>
        <v>1160</v>
      </c>
      <c r="Q130" s="1" t="s">
        <v>100</v>
      </c>
      <c r="R130" s="1">
        <v>859</v>
      </c>
    </row>
    <row r="131" spans="1:18" ht="21" customHeight="1">
      <c r="A131" s="8">
        <v>46279</v>
      </c>
      <c r="B131" s="1" t="s">
        <v>114</v>
      </c>
      <c r="C131" s="39" t="s">
        <v>87</v>
      </c>
      <c r="D131" s="7">
        <v>5600</v>
      </c>
      <c r="E131" s="7">
        <f>'Option source'!B151</f>
        <v>1455</v>
      </c>
      <c r="F131" s="7">
        <v>6840</v>
      </c>
      <c r="G131" s="14">
        <v>32</v>
      </c>
      <c r="H131" s="7">
        <f t="shared" si="3"/>
        <v>1240</v>
      </c>
      <c r="I131" s="7">
        <f t="shared" si="4"/>
        <v>215</v>
      </c>
      <c r="J131" s="9">
        <f t="shared" si="5"/>
        <v>0.81871345029239762</v>
      </c>
      <c r="K131" s="9">
        <v>0.65158908298953744</v>
      </c>
      <c r="L131" s="13">
        <v>0.89787564486815707</v>
      </c>
      <c r="M131" s="13">
        <v>3.6092077545590011</v>
      </c>
      <c r="N131" s="7">
        <f>'Option source'!C151</f>
        <v>1455000</v>
      </c>
      <c r="O131" s="7">
        <f>'Option source'!G151</f>
        <v>1455</v>
      </c>
      <c r="P131" s="7">
        <f>'Option source'!F151</f>
        <v>1455</v>
      </c>
      <c r="Q131" s="1" t="s">
        <v>88</v>
      </c>
      <c r="R131" s="1">
        <v>146</v>
      </c>
    </row>
    <row r="132" spans="1:18" ht="21" customHeight="1">
      <c r="A132" s="8">
        <v>46279</v>
      </c>
      <c r="B132" s="1" t="s">
        <v>115</v>
      </c>
      <c r="C132" s="39" t="s">
        <v>90</v>
      </c>
      <c r="D132" s="7">
        <v>5600</v>
      </c>
      <c r="E132" s="7">
        <f>'Option source'!B636</f>
        <v>14.36</v>
      </c>
      <c r="F132" s="7">
        <v>6840</v>
      </c>
      <c r="G132" s="14">
        <v>32</v>
      </c>
      <c r="H132" s="7">
        <f t="shared" si="3"/>
        <v>0</v>
      </c>
      <c r="I132" s="7">
        <f t="shared" si="4"/>
        <v>14.36</v>
      </c>
      <c r="J132" s="9">
        <f t="shared" si="5"/>
        <v>0.81871345029239762</v>
      </c>
      <c r="K132" s="9">
        <v>0.4440702550008494</v>
      </c>
      <c r="L132" s="13">
        <v>-3.69681657158758E-2</v>
      </c>
      <c r="M132" s="13">
        <v>1.6366578596946253</v>
      </c>
      <c r="N132" s="7">
        <f>'Option source'!C636</f>
        <v>4646376.5</v>
      </c>
      <c r="O132" s="7">
        <f>'Option source'!G636</f>
        <v>11</v>
      </c>
      <c r="P132" s="7">
        <f>'Option source'!F636</f>
        <v>15</v>
      </c>
      <c r="Q132" s="1" t="s">
        <v>88</v>
      </c>
      <c r="R132" s="1">
        <v>631</v>
      </c>
    </row>
    <row r="133" spans="1:18" ht="21" customHeight="1">
      <c r="A133" s="8">
        <v>46279</v>
      </c>
      <c r="B133" s="1" t="s">
        <v>119</v>
      </c>
      <c r="C133" s="39" t="s">
        <v>87</v>
      </c>
      <c r="D133" s="7">
        <v>5400</v>
      </c>
      <c r="E133" s="7">
        <f>'Option source'!B133</f>
        <v>1616</v>
      </c>
      <c r="F133" s="7">
        <v>6840</v>
      </c>
      <c r="G133" s="14">
        <v>32</v>
      </c>
      <c r="H133" s="7">
        <f t="shared" si="3"/>
        <v>1440</v>
      </c>
      <c r="I133" s="7">
        <f t="shared" si="4"/>
        <v>176</v>
      </c>
      <c r="J133" s="9">
        <f t="shared" si="5"/>
        <v>0.78947368421052633</v>
      </c>
      <c r="K133" s="9">
        <v>0.61295496300999552</v>
      </c>
      <c r="L133" s="13">
        <v>0.9379927538959445</v>
      </c>
      <c r="M133" s="13">
        <v>2.4754368728144711</v>
      </c>
      <c r="N133" s="7">
        <f>'Option source'!C133</f>
        <v>3268665</v>
      </c>
      <c r="O133" s="7">
        <f>'Option source'!G133</f>
        <v>1600</v>
      </c>
      <c r="P133" s="7">
        <f>'Option source'!F133</f>
        <v>1647</v>
      </c>
      <c r="Q133" s="1" t="s">
        <v>88</v>
      </c>
      <c r="R133" s="1">
        <v>128</v>
      </c>
    </row>
    <row r="134" spans="1:18" ht="21" customHeight="1">
      <c r="A134" s="8">
        <v>46279</v>
      </c>
      <c r="B134" s="1" t="s">
        <v>120</v>
      </c>
      <c r="C134" s="39" t="s">
        <v>90</v>
      </c>
      <c r="D134" s="7">
        <v>5400</v>
      </c>
      <c r="E134" s="7">
        <f>'Option source'!B617</f>
        <v>7.66</v>
      </c>
      <c r="F134" s="7">
        <v>6840</v>
      </c>
      <c r="G134" s="14">
        <v>32</v>
      </c>
      <c r="H134" s="7">
        <f t="shared" si="3"/>
        <v>0</v>
      </c>
      <c r="I134" s="7">
        <f t="shared" si="4"/>
        <v>7.66</v>
      </c>
      <c r="J134" s="9">
        <f t="shared" si="5"/>
        <v>0.78947368421052633</v>
      </c>
      <c r="K134" s="9">
        <v>0.45134045834302094</v>
      </c>
      <c r="L134" s="13">
        <v>-2.1051985116821825E-2</v>
      </c>
      <c r="M134" s="13">
        <v>1.0241301909136142</v>
      </c>
      <c r="N134" s="7">
        <f>'Option source'!C617</f>
        <v>2942087.25</v>
      </c>
      <c r="O134" s="7">
        <f>'Option source'!G617</f>
        <v>5.0999999999999996</v>
      </c>
      <c r="P134" s="7">
        <f>'Option source'!F617</f>
        <v>7.9</v>
      </c>
      <c r="Q134" s="1" t="s">
        <v>88</v>
      </c>
      <c r="R134" s="1">
        <v>612</v>
      </c>
    </row>
    <row r="135" spans="1:18" ht="21" customHeight="1">
      <c r="A135" s="8">
        <v>46279</v>
      </c>
      <c r="B135" s="1" t="s">
        <v>121</v>
      </c>
      <c r="C135" s="39" t="s">
        <v>87</v>
      </c>
      <c r="D135" s="7">
        <v>8300</v>
      </c>
      <c r="E135" s="7">
        <f>'Option source'!B389</f>
        <v>45.46</v>
      </c>
      <c r="F135" s="7">
        <v>6840</v>
      </c>
      <c r="G135" s="14">
        <v>32</v>
      </c>
      <c r="H135" s="7">
        <f t="shared" ref="H135:H198" si="6">MAX(IF(C135="call",F135-D135,D135-F135),0)</f>
        <v>0</v>
      </c>
      <c r="I135" s="7">
        <f t="shared" ref="I135:I198" si="7">E135-H135</f>
        <v>45.46</v>
      </c>
      <c r="J135" s="9">
        <f t="shared" ref="J135:J198" si="8">D135/F135</f>
        <v>1.2134502923976609</v>
      </c>
      <c r="K135" s="9">
        <v>0.43951161989637355</v>
      </c>
      <c r="L135" s="13">
        <v>0.11133120255556749</v>
      </c>
      <c r="M135" s="13">
        <v>3.8412158069437954</v>
      </c>
      <c r="N135" s="7">
        <f>'Option source'!C389</f>
        <v>33432668</v>
      </c>
      <c r="O135" s="7">
        <f>'Option source'!G389</f>
        <v>45</v>
      </c>
      <c r="P135" s="7">
        <f>'Option source'!F389</f>
        <v>62</v>
      </c>
      <c r="Q135" s="1" t="s">
        <v>88</v>
      </c>
      <c r="R135" s="1">
        <v>384</v>
      </c>
    </row>
    <row r="136" spans="1:18" ht="21" customHeight="1">
      <c r="A136" s="8">
        <v>46279</v>
      </c>
      <c r="B136" s="1" t="s">
        <v>122</v>
      </c>
      <c r="C136" s="39" t="s">
        <v>90</v>
      </c>
      <c r="D136" s="7">
        <v>8300</v>
      </c>
      <c r="E136" s="7">
        <f>'Option source'!B883</f>
        <v>1327.03</v>
      </c>
      <c r="F136" s="7">
        <v>6840</v>
      </c>
      <c r="G136" s="14">
        <v>32</v>
      </c>
      <c r="H136" s="7">
        <f t="shared" si="6"/>
        <v>1460</v>
      </c>
      <c r="I136" s="7">
        <f t="shared" si="7"/>
        <v>-132.97000000000003</v>
      </c>
      <c r="J136" s="9">
        <f t="shared" si="8"/>
        <v>1.2134502923976609</v>
      </c>
      <c r="K136" s="9"/>
      <c r="L136" s="13"/>
      <c r="M136" s="13"/>
      <c r="N136" s="7">
        <f>'Option source'!C883</f>
        <v>3026934</v>
      </c>
      <c r="O136" s="7">
        <f>'Option source'!G883</f>
        <v>1238.27</v>
      </c>
      <c r="P136" s="7">
        <f>'Option source'!F883</f>
        <v>1469.79</v>
      </c>
      <c r="Q136" s="1" t="s">
        <v>144</v>
      </c>
      <c r="R136" s="1">
        <v>878</v>
      </c>
    </row>
    <row r="137" spans="1:18" ht="21" customHeight="1">
      <c r="A137" s="8">
        <v>46279</v>
      </c>
      <c r="B137" s="1" t="s">
        <v>123</v>
      </c>
      <c r="C137" s="39" t="s">
        <v>87</v>
      </c>
      <c r="D137" s="7">
        <v>5200</v>
      </c>
      <c r="E137" s="7">
        <f>'Option source'!B114</f>
        <v>1998.09</v>
      </c>
      <c r="F137" s="7">
        <v>6840</v>
      </c>
      <c r="G137" s="14">
        <v>32</v>
      </c>
      <c r="H137" s="7">
        <f t="shared" si="6"/>
        <v>1640</v>
      </c>
      <c r="I137" s="7">
        <f t="shared" si="7"/>
        <v>358.08999999999992</v>
      </c>
      <c r="J137" s="9">
        <f t="shared" si="8"/>
        <v>0.76023391812865493</v>
      </c>
      <c r="K137" s="9"/>
      <c r="L137" s="13"/>
      <c r="M137" s="13"/>
      <c r="N137" s="7">
        <f>'Option source'!C114</f>
        <v>0</v>
      </c>
      <c r="O137" s="7">
        <f>'Option source'!G114</f>
        <v>1998.09</v>
      </c>
      <c r="P137" s="7">
        <f>'Option source'!F114</f>
        <v>1998.09</v>
      </c>
      <c r="Q137" s="1" t="s">
        <v>25</v>
      </c>
      <c r="R137" s="1">
        <v>109</v>
      </c>
    </row>
    <row r="138" spans="1:18" ht="21" customHeight="1">
      <c r="A138" s="8">
        <v>46279</v>
      </c>
      <c r="B138" s="1" t="s">
        <v>124</v>
      </c>
      <c r="C138" s="39" t="s">
        <v>90</v>
      </c>
      <c r="D138" s="7">
        <v>5200</v>
      </c>
      <c r="E138" s="7">
        <f>'Option source'!B598</f>
        <v>4.05</v>
      </c>
      <c r="F138" s="7">
        <v>6840</v>
      </c>
      <c r="G138" s="14">
        <v>32</v>
      </c>
      <c r="H138" s="7">
        <f t="shared" si="6"/>
        <v>0</v>
      </c>
      <c r="I138" s="7">
        <f t="shared" si="7"/>
        <v>4.05</v>
      </c>
      <c r="J138" s="9">
        <f t="shared" si="8"/>
        <v>0.76023391812865493</v>
      </c>
      <c r="K138" s="9">
        <v>0.46236848288928989</v>
      </c>
      <c r="L138" s="13">
        <v>-1.1820626290888758E-2</v>
      </c>
      <c r="M138" s="13">
        <v>0.6243608911051165</v>
      </c>
      <c r="N138" s="7">
        <f>'Option source'!C598</f>
        <v>1428637.25</v>
      </c>
      <c r="O138" s="7">
        <f>'Option source'!G598</f>
        <v>3</v>
      </c>
      <c r="P138" s="7">
        <f>'Option source'!F598</f>
        <v>4.2</v>
      </c>
      <c r="Q138" s="1" t="s">
        <v>88</v>
      </c>
      <c r="R138" s="1">
        <v>593</v>
      </c>
    </row>
    <row r="139" spans="1:18" ht="21" customHeight="1">
      <c r="A139" s="8">
        <v>46279</v>
      </c>
      <c r="B139" s="1" t="s">
        <v>127</v>
      </c>
      <c r="C139" s="39" t="s">
        <v>87</v>
      </c>
      <c r="D139" s="7">
        <v>8600</v>
      </c>
      <c r="E139" s="7">
        <f>'Option source'!B408</f>
        <v>27.59</v>
      </c>
      <c r="F139" s="7">
        <v>6840</v>
      </c>
      <c r="G139" s="14">
        <v>32</v>
      </c>
      <c r="H139" s="7">
        <f t="shared" si="6"/>
        <v>0</v>
      </c>
      <c r="I139" s="7">
        <f t="shared" si="7"/>
        <v>27.59</v>
      </c>
      <c r="J139" s="9">
        <f t="shared" si="8"/>
        <v>1.2573099415204678</v>
      </c>
      <c r="K139" s="9">
        <v>0.44810042455273813</v>
      </c>
      <c r="L139" s="13">
        <v>7.1980437045997547E-2</v>
      </c>
      <c r="M139" s="13">
        <v>2.7781979626038464</v>
      </c>
      <c r="N139" s="7">
        <f>'Option source'!C408</f>
        <v>41967176</v>
      </c>
      <c r="O139" s="7">
        <f>'Option source'!G408</f>
        <v>26.6</v>
      </c>
      <c r="P139" s="7">
        <f>'Option source'!F408</f>
        <v>35.5</v>
      </c>
      <c r="Q139" s="1" t="s">
        <v>88</v>
      </c>
      <c r="R139" s="1">
        <v>403</v>
      </c>
    </row>
    <row r="140" spans="1:18" ht="21" customHeight="1">
      <c r="A140" s="8">
        <v>46279</v>
      </c>
      <c r="B140" s="1" t="s">
        <v>128</v>
      </c>
      <c r="C140" s="39" t="s">
        <v>90</v>
      </c>
      <c r="D140" s="7">
        <v>8600</v>
      </c>
      <c r="E140" s="7">
        <f>'Option source'!B902</f>
        <v>1789.44</v>
      </c>
      <c r="F140" s="7">
        <v>6840</v>
      </c>
      <c r="G140" s="14">
        <v>32</v>
      </c>
      <c r="H140" s="7">
        <f t="shared" si="6"/>
        <v>1760</v>
      </c>
      <c r="I140" s="7">
        <f t="shared" si="7"/>
        <v>29.440000000000055</v>
      </c>
      <c r="J140" s="9">
        <f t="shared" si="8"/>
        <v>1.2573099415204678</v>
      </c>
      <c r="K140" s="9"/>
      <c r="L140" s="13"/>
      <c r="M140" s="13"/>
      <c r="N140" s="7">
        <f>'Option source'!C902</f>
        <v>178944.09</v>
      </c>
      <c r="O140" s="7">
        <f>'Option source'!G902</f>
        <v>0</v>
      </c>
      <c r="P140" s="7">
        <f>'Option source'!F902</f>
        <v>0</v>
      </c>
      <c r="Q140" s="1" t="s">
        <v>109</v>
      </c>
      <c r="R140" s="1">
        <v>897</v>
      </c>
    </row>
    <row r="141" spans="1:18" ht="21" customHeight="1">
      <c r="A141" s="8">
        <v>46279</v>
      </c>
      <c r="B141" s="1" t="s">
        <v>125</v>
      </c>
      <c r="C141" s="39" t="s">
        <v>87</v>
      </c>
      <c r="D141" s="7">
        <v>5000</v>
      </c>
      <c r="E141" s="7">
        <f>'Option source'!B95</f>
        <v>2248.1999999999998</v>
      </c>
      <c r="F141" s="7">
        <v>6840</v>
      </c>
      <c r="G141" s="14">
        <v>32</v>
      </c>
      <c r="H141" s="7">
        <f t="shared" si="6"/>
        <v>1840</v>
      </c>
      <c r="I141" s="7">
        <f t="shared" si="7"/>
        <v>408.19999999999982</v>
      </c>
      <c r="J141" s="9">
        <f t="shared" si="8"/>
        <v>0.73099415204678364</v>
      </c>
      <c r="K141" s="9"/>
      <c r="L141" s="13"/>
      <c r="M141" s="13"/>
      <c r="N141" s="7">
        <f>'Option source'!C95</f>
        <v>0</v>
      </c>
      <c r="O141" s="7">
        <f>'Option source'!G95</f>
        <v>2154.75</v>
      </c>
      <c r="P141" s="7">
        <f>'Option source'!F95</f>
        <v>2225.61</v>
      </c>
      <c r="Q141" s="1" t="s">
        <v>130</v>
      </c>
      <c r="R141" s="1">
        <v>90</v>
      </c>
    </row>
    <row r="142" spans="1:18" ht="21" customHeight="1">
      <c r="A142" s="8">
        <v>46279</v>
      </c>
      <c r="B142" s="1" t="s">
        <v>126</v>
      </c>
      <c r="C142" s="39" t="s">
        <v>90</v>
      </c>
      <c r="D142" s="7">
        <v>5000</v>
      </c>
      <c r="E142" s="7">
        <f>'Option source'!B579</f>
        <v>2.5</v>
      </c>
      <c r="F142" s="7">
        <v>6840</v>
      </c>
      <c r="G142" s="14">
        <v>32</v>
      </c>
      <c r="H142" s="7">
        <f t="shared" si="6"/>
        <v>0</v>
      </c>
      <c r="I142" s="7">
        <f t="shared" si="7"/>
        <v>2.5</v>
      </c>
      <c r="J142" s="9">
        <f t="shared" si="8"/>
        <v>0.73099415204678364</v>
      </c>
      <c r="K142" s="9">
        <v>0.4840116563513035</v>
      </c>
      <c r="L142" s="13">
        <v>-7.309983134076492E-3</v>
      </c>
      <c r="M142" s="13">
        <v>0.4100423974702912</v>
      </c>
      <c r="N142" s="7">
        <f>'Option source'!C579</f>
        <v>627987.81000000006</v>
      </c>
      <c r="O142" s="7">
        <f>'Option source'!G579</f>
        <v>2</v>
      </c>
      <c r="P142" s="7">
        <f>'Option source'!F579</f>
        <v>3.75</v>
      </c>
      <c r="Q142" s="1" t="s">
        <v>88</v>
      </c>
      <c r="R142" s="1">
        <v>574</v>
      </c>
    </row>
    <row r="143" spans="1:18" ht="21" customHeight="1">
      <c r="A143" s="8">
        <v>46279</v>
      </c>
      <c r="B143" s="1" t="s">
        <v>129</v>
      </c>
      <c r="C143" s="39" t="s">
        <v>87</v>
      </c>
      <c r="D143" s="7">
        <v>4800</v>
      </c>
      <c r="E143" s="7">
        <f>'Option source'!B78</f>
        <v>2235.08</v>
      </c>
      <c r="F143" s="7">
        <v>6840</v>
      </c>
      <c r="G143" s="14">
        <v>32</v>
      </c>
      <c r="H143" s="7">
        <f t="shared" si="6"/>
        <v>2040</v>
      </c>
      <c r="I143" s="7">
        <f t="shared" si="7"/>
        <v>195.07999999999993</v>
      </c>
      <c r="J143" s="9">
        <f t="shared" si="8"/>
        <v>0.70175438596491224</v>
      </c>
      <c r="K143" s="9"/>
      <c r="L143" s="13"/>
      <c r="M143" s="13"/>
      <c r="N143" s="7">
        <f>'Option source'!C78</f>
        <v>1341046</v>
      </c>
      <c r="O143" s="7">
        <f>'Option source'!G78</f>
        <v>2233.42</v>
      </c>
      <c r="P143" s="7">
        <f>'Option source'!F78</f>
        <v>2233.42</v>
      </c>
      <c r="Q143" s="1" t="s">
        <v>109</v>
      </c>
      <c r="R143" s="1">
        <v>73</v>
      </c>
    </row>
    <row r="144" spans="1:18" ht="21" customHeight="1">
      <c r="A144" s="8">
        <v>46279</v>
      </c>
      <c r="B144" s="1" t="s">
        <v>131</v>
      </c>
      <c r="C144" s="39" t="s">
        <v>90</v>
      </c>
      <c r="D144" s="7">
        <v>4800</v>
      </c>
      <c r="E144" s="7">
        <f>'Option source'!B560</f>
        <v>1.61</v>
      </c>
      <c r="F144" s="7">
        <v>6840</v>
      </c>
      <c r="G144" s="14">
        <v>32</v>
      </c>
      <c r="H144" s="7">
        <f t="shared" si="6"/>
        <v>0</v>
      </c>
      <c r="I144" s="7">
        <f t="shared" si="7"/>
        <v>1.61</v>
      </c>
      <c r="J144" s="9">
        <f t="shared" si="8"/>
        <v>0.70175438596491224</v>
      </c>
      <c r="K144" s="9">
        <v>0.50941075350843401</v>
      </c>
      <c r="L144" s="13">
        <v>-4.6898646894709684E-3</v>
      </c>
      <c r="M144" s="13">
        <v>0.27660231801971125</v>
      </c>
      <c r="N144" s="7">
        <f>'Option source'!C560</f>
        <v>97580.9</v>
      </c>
      <c r="O144" s="7">
        <f>'Option source'!G560</f>
        <v>1.03</v>
      </c>
      <c r="P144" s="7">
        <f>'Option source'!F560</f>
        <v>1.8</v>
      </c>
      <c r="Q144" s="1" t="s">
        <v>88</v>
      </c>
      <c r="R144" s="1">
        <v>555</v>
      </c>
    </row>
    <row r="145" spans="1:18" ht="21" customHeight="1">
      <c r="A145" s="8">
        <v>46279</v>
      </c>
      <c r="B145" s="1" t="s">
        <v>132</v>
      </c>
      <c r="C145" s="39" t="s">
        <v>87</v>
      </c>
      <c r="D145" s="7">
        <v>8900</v>
      </c>
      <c r="E145" s="7">
        <f>'Option source'!B427</f>
        <v>14.97</v>
      </c>
      <c r="F145" s="7">
        <v>6840</v>
      </c>
      <c r="G145" s="14">
        <v>32</v>
      </c>
      <c r="H145" s="7">
        <f t="shared" si="6"/>
        <v>0</v>
      </c>
      <c r="I145" s="7">
        <f t="shared" si="7"/>
        <v>14.97</v>
      </c>
      <c r="J145" s="9">
        <f t="shared" si="8"/>
        <v>1.3011695906432748</v>
      </c>
      <c r="K145" s="9">
        <v>0.4474872501065944</v>
      </c>
      <c r="L145" s="13">
        <v>4.2519164796700343E-2</v>
      </c>
      <c r="M145" s="13">
        <v>1.8338453136360438</v>
      </c>
      <c r="N145" s="7">
        <f>'Option source'!C427</f>
        <v>6218210</v>
      </c>
      <c r="O145" s="7">
        <f>'Option source'!G427</f>
        <v>14.2</v>
      </c>
      <c r="P145" s="7">
        <f>'Option source'!F427</f>
        <v>21.9</v>
      </c>
      <c r="Q145" s="1" t="s">
        <v>88</v>
      </c>
      <c r="R145" s="1">
        <v>422</v>
      </c>
    </row>
    <row r="146" spans="1:18" ht="21" customHeight="1">
      <c r="A146" s="8">
        <v>46279</v>
      </c>
      <c r="B146" s="1" t="s">
        <v>133</v>
      </c>
      <c r="C146" s="39" t="s">
        <v>90</v>
      </c>
      <c r="D146" s="7">
        <v>8900</v>
      </c>
      <c r="E146" s="7">
        <f>'Option source'!B917</f>
        <v>2022.5</v>
      </c>
      <c r="F146" s="7">
        <v>6840</v>
      </c>
      <c r="G146" s="14">
        <v>32</v>
      </c>
      <c r="H146" s="7">
        <f t="shared" si="6"/>
        <v>2060</v>
      </c>
      <c r="I146" s="7">
        <f t="shared" si="7"/>
        <v>-37.5</v>
      </c>
      <c r="J146" s="9">
        <f t="shared" si="8"/>
        <v>1.3011695906432748</v>
      </c>
      <c r="K146" s="9"/>
      <c r="L146" s="13"/>
      <c r="M146" s="13"/>
      <c r="N146" s="7">
        <f>'Option source'!C917</f>
        <v>0</v>
      </c>
      <c r="O146" s="7">
        <f>'Option source'!G917</f>
        <v>2022.5</v>
      </c>
      <c r="P146" s="7">
        <f>'Option source'!F917</f>
        <v>2037.67</v>
      </c>
      <c r="Q146" s="1" t="s">
        <v>118</v>
      </c>
      <c r="R146" s="1">
        <v>912</v>
      </c>
    </row>
    <row r="147" spans="1:18" ht="21" customHeight="1">
      <c r="A147" s="8">
        <v>46279</v>
      </c>
      <c r="B147" s="1" t="s">
        <v>134</v>
      </c>
      <c r="C147" s="39" t="s">
        <v>87</v>
      </c>
      <c r="D147" s="7">
        <v>4600</v>
      </c>
      <c r="E147" s="7">
        <f>'Option source'!B61</f>
        <v>2400</v>
      </c>
      <c r="F147" s="7">
        <v>6840</v>
      </c>
      <c r="G147" s="14">
        <v>32</v>
      </c>
      <c r="H147" s="7">
        <f t="shared" si="6"/>
        <v>2240</v>
      </c>
      <c r="I147" s="7">
        <f t="shared" si="7"/>
        <v>160</v>
      </c>
      <c r="J147" s="9">
        <f t="shared" si="8"/>
        <v>0.67251461988304095</v>
      </c>
      <c r="K147" s="9"/>
      <c r="L147" s="13"/>
      <c r="M147" s="13"/>
      <c r="N147" s="7">
        <f>'Option source'!C61</f>
        <v>480000</v>
      </c>
      <c r="O147" s="7">
        <f>'Option source'!G61</f>
        <v>0</v>
      </c>
      <c r="P147" s="7">
        <f>'Option source'!F61</f>
        <v>0</v>
      </c>
      <c r="Q147" s="1" t="s">
        <v>109</v>
      </c>
      <c r="R147" s="1">
        <v>56</v>
      </c>
    </row>
    <row r="148" spans="1:18" ht="21" customHeight="1">
      <c r="A148" s="8">
        <v>46279</v>
      </c>
      <c r="B148" s="1" t="s">
        <v>135</v>
      </c>
      <c r="C148" s="39" t="s">
        <v>90</v>
      </c>
      <c r="D148" s="7">
        <v>4600</v>
      </c>
      <c r="E148" s="7">
        <f>'Option source'!B541</f>
        <v>1.3</v>
      </c>
      <c r="F148" s="7">
        <v>6840</v>
      </c>
      <c r="G148" s="14">
        <v>32</v>
      </c>
      <c r="H148" s="7">
        <f t="shared" si="6"/>
        <v>0</v>
      </c>
      <c r="I148" s="7">
        <f t="shared" si="7"/>
        <v>1.3</v>
      </c>
      <c r="J148" s="9">
        <f t="shared" si="8"/>
        <v>0.67251461988304095</v>
      </c>
      <c r="K148" s="9">
        <v>0.54873458079633353</v>
      </c>
      <c r="L148" s="13">
        <v>-3.6276665732779545E-3</v>
      </c>
      <c r="M148" s="13">
        <v>0.21981523879480971</v>
      </c>
      <c r="N148" s="7">
        <f>'Option source'!C541</f>
        <v>74022.3</v>
      </c>
      <c r="O148" s="7">
        <f>'Option source'!G541</f>
        <v>0.69</v>
      </c>
      <c r="P148" s="7">
        <f>'Option source'!F541</f>
        <v>1.58</v>
      </c>
      <c r="Q148" s="1" t="s">
        <v>88</v>
      </c>
      <c r="R148" s="1">
        <v>536</v>
      </c>
    </row>
    <row r="149" spans="1:18" ht="21" customHeight="1">
      <c r="A149" s="8">
        <v>46279</v>
      </c>
      <c r="B149" s="1" t="s">
        <v>138</v>
      </c>
      <c r="C149" s="39" t="s">
        <v>87</v>
      </c>
      <c r="D149" s="7">
        <v>9200</v>
      </c>
      <c r="E149" s="7">
        <f>'Option source'!B446</f>
        <v>9.07</v>
      </c>
      <c r="F149" s="7">
        <v>6840</v>
      </c>
      <c r="G149" s="14">
        <v>32</v>
      </c>
      <c r="H149" s="7">
        <f t="shared" si="6"/>
        <v>0</v>
      </c>
      <c r="I149" s="7">
        <f t="shared" si="7"/>
        <v>9.07</v>
      </c>
      <c r="J149" s="9">
        <f t="shared" si="8"/>
        <v>1.3450292397660819</v>
      </c>
      <c r="K149" s="9">
        <v>0.45699404914439845</v>
      </c>
      <c r="L149" s="13">
        <v>2.689247434048702E-2</v>
      </c>
      <c r="M149" s="13">
        <v>1.2581885584894132</v>
      </c>
      <c r="N149" s="7">
        <f>'Option source'!C446</f>
        <v>1123139</v>
      </c>
      <c r="O149" s="7">
        <f>'Option source'!G446</f>
        <v>8.9</v>
      </c>
      <c r="P149" s="7">
        <f>'Option source'!F446</f>
        <v>13.8</v>
      </c>
      <c r="Q149" s="1" t="s">
        <v>88</v>
      </c>
      <c r="R149" s="1">
        <v>441</v>
      </c>
    </row>
    <row r="150" spans="1:18" ht="21" customHeight="1">
      <c r="A150" s="8">
        <v>46279</v>
      </c>
      <c r="B150" s="1" t="s">
        <v>139</v>
      </c>
      <c r="C150" s="39" t="s">
        <v>90</v>
      </c>
      <c r="D150" s="7">
        <v>9200</v>
      </c>
      <c r="E150" s="7">
        <f>'Option source'!B924</f>
        <v>2041.57</v>
      </c>
      <c r="F150" s="7">
        <v>6840</v>
      </c>
      <c r="G150" s="14">
        <v>32</v>
      </c>
      <c r="H150" s="7">
        <f t="shared" si="6"/>
        <v>2360</v>
      </c>
      <c r="I150" s="7">
        <f t="shared" si="7"/>
        <v>-318.43000000000006</v>
      </c>
      <c r="J150" s="9">
        <f t="shared" si="8"/>
        <v>1.3450292397660819</v>
      </c>
      <c r="K150" s="9"/>
      <c r="L150" s="13"/>
      <c r="M150" s="13"/>
      <c r="N150" s="7">
        <f>'Option source'!C924</f>
        <v>408314</v>
      </c>
      <c r="O150" s="7">
        <f>'Option source'!G924</f>
        <v>0</v>
      </c>
      <c r="P150" s="7">
        <f>'Option source'!F924</f>
        <v>0</v>
      </c>
      <c r="Q150" s="1" t="s">
        <v>113</v>
      </c>
      <c r="R150" s="1">
        <v>919</v>
      </c>
    </row>
    <row r="151" spans="1:18" ht="21" customHeight="1">
      <c r="A151" s="8">
        <v>46279</v>
      </c>
      <c r="B151" s="1" t="s">
        <v>136</v>
      </c>
      <c r="C151" s="39" t="s">
        <v>87</v>
      </c>
      <c r="D151" s="7">
        <v>4400</v>
      </c>
      <c r="E151" s="7">
        <f>'Option source'!B42</f>
        <v>2624.82</v>
      </c>
      <c r="F151" s="7">
        <v>6840</v>
      </c>
      <c r="G151" s="14">
        <v>32</v>
      </c>
      <c r="H151" s="7">
        <f t="shared" si="6"/>
        <v>2440</v>
      </c>
      <c r="I151" s="7">
        <f t="shared" si="7"/>
        <v>184.82000000000016</v>
      </c>
      <c r="J151" s="9">
        <f t="shared" si="8"/>
        <v>0.64327485380116955</v>
      </c>
      <c r="K151" s="9"/>
      <c r="L151" s="13"/>
      <c r="M151" s="13"/>
      <c r="N151" s="7">
        <f>'Option source'!C42</f>
        <v>524963.18999999994</v>
      </c>
      <c r="O151" s="7">
        <f>'Option source'!G42</f>
        <v>0</v>
      </c>
      <c r="P151" s="7">
        <f>'Option source'!F42</f>
        <v>0</v>
      </c>
      <c r="Q151" s="1" t="s">
        <v>109</v>
      </c>
      <c r="R151" s="1">
        <v>37</v>
      </c>
    </row>
    <row r="152" spans="1:18" ht="21" customHeight="1">
      <c r="A152" s="8">
        <v>46279</v>
      </c>
      <c r="B152" s="1" t="s">
        <v>137</v>
      </c>
      <c r="C152" s="39" t="s">
        <v>90</v>
      </c>
      <c r="D152" s="7">
        <v>4400</v>
      </c>
      <c r="E152" s="7">
        <f>'Option source'!B522</f>
        <v>1.17</v>
      </c>
      <c r="F152" s="7">
        <v>6840</v>
      </c>
      <c r="G152" s="14">
        <v>32</v>
      </c>
      <c r="H152" s="7">
        <f t="shared" si="6"/>
        <v>0</v>
      </c>
      <c r="I152" s="7">
        <f t="shared" si="7"/>
        <v>1.17</v>
      </c>
      <c r="J152" s="9">
        <f t="shared" si="8"/>
        <v>0.64327485380116955</v>
      </c>
      <c r="K152" s="9">
        <v>0.59476155388969887</v>
      </c>
      <c r="L152" s="13">
        <v>-3.0474426484016215E-3</v>
      </c>
      <c r="M152" s="13">
        <v>0.18793427503383847</v>
      </c>
      <c r="N152" s="7">
        <f>'Option source'!C522</f>
        <v>47118.7</v>
      </c>
      <c r="O152" s="7">
        <f>'Option source'!G522</f>
        <v>0.7</v>
      </c>
      <c r="P152" s="7">
        <f>'Option source'!F522</f>
        <v>1.3</v>
      </c>
      <c r="Q152" s="1" t="s">
        <v>88</v>
      </c>
      <c r="R152" s="1">
        <v>517</v>
      </c>
    </row>
    <row r="153" spans="1:18" ht="21" customHeight="1">
      <c r="A153" s="8">
        <v>46279</v>
      </c>
      <c r="B153" s="1" t="s">
        <v>140</v>
      </c>
      <c r="C153" s="39" t="s">
        <v>87</v>
      </c>
      <c r="D153" s="7">
        <v>4200</v>
      </c>
      <c r="E153" s="7">
        <f>'Option source'!B23</f>
        <v>2956.52</v>
      </c>
      <c r="F153" s="7">
        <v>6840</v>
      </c>
      <c r="G153" s="14">
        <v>32</v>
      </c>
      <c r="H153" s="7">
        <f t="shared" si="6"/>
        <v>2640</v>
      </c>
      <c r="I153" s="7">
        <f t="shared" si="7"/>
        <v>316.52</v>
      </c>
      <c r="J153" s="9">
        <f t="shared" si="8"/>
        <v>0.61403508771929827</v>
      </c>
      <c r="K153" s="9"/>
      <c r="L153" s="13"/>
      <c r="M153" s="13"/>
      <c r="N153" s="7">
        <f>'Option source'!C23</f>
        <v>0</v>
      </c>
      <c r="O153" s="7">
        <f>'Option source'!G23</f>
        <v>2950</v>
      </c>
      <c r="P153" s="7">
        <f>'Option source'!F23</f>
        <v>2956.52</v>
      </c>
      <c r="Q153" s="1" t="s">
        <v>25</v>
      </c>
      <c r="R153" s="1">
        <v>18</v>
      </c>
    </row>
    <row r="154" spans="1:18" ht="21" customHeight="1">
      <c r="A154" s="8">
        <v>46279</v>
      </c>
      <c r="B154" s="1" t="s">
        <v>141</v>
      </c>
      <c r="C154" s="39" t="s">
        <v>90</v>
      </c>
      <c r="D154" s="7">
        <v>4200</v>
      </c>
      <c r="E154" s="7">
        <f>'Option source'!B503</f>
        <v>0.76</v>
      </c>
      <c r="F154" s="7">
        <v>6840</v>
      </c>
      <c r="G154" s="14">
        <v>32</v>
      </c>
      <c r="H154" s="7">
        <f t="shared" si="6"/>
        <v>0</v>
      </c>
      <c r="I154" s="7">
        <f t="shared" si="7"/>
        <v>0.76</v>
      </c>
      <c r="J154" s="9">
        <f t="shared" si="8"/>
        <v>0.61403508771929827</v>
      </c>
      <c r="K154" s="9">
        <v>0.62211201579693576</v>
      </c>
      <c r="L154" s="13">
        <v>-1.9725198884508188E-3</v>
      </c>
      <c r="M154" s="13">
        <v>0.12680349460532661</v>
      </c>
      <c r="N154" s="7">
        <f>'Option source'!C503</f>
        <v>88567.6</v>
      </c>
      <c r="O154" s="7">
        <f>'Option source'!G503</f>
        <v>0.5</v>
      </c>
      <c r="P154" s="7">
        <f>'Option source'!F503</f>
        <v>1</v>
      </c>
      <c r="Q154" s="1" t="s">
        <v>88</v>
      </c>
      <c r="R154" s="1">
        <v>498</v>
      </c>
    </row>
    <row r="155" spans="1:18" ht="21" customHeight="1">
      <c r="A155" s="8">
        <v>46279</v>
      </c>
      <c r="B155" s="1" t="s">
        <v>142</v>
      </c>
      <c r="C155" s="39" t="s">
        <v>87</v>
      </c>
      <c r="D155" s="7">
        <v>9500</v>
      </c>
      <c r="E155" s="7">
        <f>'Option source'!B465</f>
        <v>5.26</v>
      </c>
      <c r="F155" s="7">
        <v>6840</v>
      </c>
      <c r="G155" s="14">
        <v>32</v>
      </c>
      <c r="H155" s="7">
        <f t="shared" si="6"/>
        <v>0</v>
      </c>
      <c r="I155" s="7">
        <f t="shared" si="7"/>
        <v>5.26</v>
      </c>
      <c r="J155" s="9">
        <f t="shared" si="8"/>
        <v>1.3888888888888888</v>
      </c>
      <c r="K155" s="9">
        <v>0.46307436553155501</v>
      </c>
      <c r="L155" s="13">
        <v>1.6360862272868298E-2</v>
      </c>
      <c r="M155" s="13">
        <v>0.82630906603778076</v>
      </c>
      <c r="N155" s="7">
        <f>'Option source'!C465</f>
        <v>878742.62</v>
      </c>
      <c r="O155" s="7">
        <f>'Option source'!G465</f>
        <v>5.18</v>
      </c>
      <c r="P155" s="7">
        <f>'Option source'!F465</f>
        <v>7.5</v>
      </c>
      <c r="Q155" s="1" t="s">
        <v>88</v>
      </c>
      <c r="R155" s="1">
        <v>460</v>
      </c>
    </row>
    <row r="156" spans="1:18" ht="21" customHeight="1">
      <c r="A156" s="8">
        <v>46279</v>
      </c>
      <c r="B156" s="1" t="s">
        <v>143</v>
      </c>
      <c r="C156" s="39" t="s">
        <v>87</v>
      </c>
      <c r="D156" s="7">
        <v>9900</v>
      </c>
      <c r="E156" s="7">
        <f>'Option source'!B484</f>
        <v>3.27</v>
      </c>
      <c r="F156" s="7">
        <v>6840</v>
      </c>
      <c r="G156" s="14">
        <v>32</v>
      </c>
      <c r="H156" s="7">
        <f t="shared" si="6"/>
        <v>0</v>
      </c>
      <c r="I156" s="7">
        <f t="shared" si="7"/>
        <v>3.27</v>
      </c>
      <c r="J156" s="9">
        <f t="shared" si="8"/>
        <v>1.4473684210526316</v>
      </c>
      <c r="K156" s="9">
        <v>0.48541507817722818</v>
      </c>
      <c r="L156" s="13">
        <v>1.0233185393364886E-2</v>
      </c>
      <c r="M156" s="13">
        <v>0.55074600114356331</v>
      </c>
      <c r="N156" s="7">
        <f>'Option source'!C484</f>
        <v>944135.88</v>
      </c>
      <c r="O156" s="7">
        <f>'Option source'!G484</f>
        <v>3.2</v>
      </c>
      <c r="P156" s="7">
        <f>'Option source'!F484</f>
        <v>5</v>
      </c>
      <c r="Q156" s="1" t="s">
        <v>88</v>
      </c>
      <c r="R156" s="1">
        <v>479</v>
      </c>
    </row>
    <row r="157" spans="1:18" ht="21" customHeight="1">
      <c r="A157" s="8">
        <v>46276</v>
      </c>
      <c r="B157" s="1" t="s">
        <v>93</v>
      </c>
      <c r="C157" s="39" t="s">
        <v>87</v>
      </c>
      <c r="D157" s="7">
        <v>7000</v>
      </c>
      <c r="E157" s="7">
        <f>'Option source'!B274</f>
        <v>438.34</v>
      </c>
      <c r="F157" s="7">
        <v>7000</v>
      </c>
      <c r="G157" s="14">
        <v>35</v>
      </c>
      <c r="H157" s="7">
        <f t="shared" si="6"/>
        <v>0</v>
      </c>
      <c r="I157" s="7">
        <f t="shared" si="7"/>
        <v>438.34</v>
      </c>
      <c r="J157" s="9">
        <f t="shared" si="8"/>
        <v>1</v>
      </c>
      <c r="K157" s="9">
        <v>0.38691220729691345</v>
      </c>
      <c r="L157" s="13">
        <v>0.6179145915883818</v>
      </c>
      <c r="M157" s="13">
        <v>8.2670651726348598</v>
      </c>
      <c r="N157" s="7">
        <f>'Option source'!C274</f>
        <v>352488384</v>
      </c>
      <c r="O157" s="7">
        <f>'Option source'!G274</f>
        <v>406</v>
      </c>
      <c r="P157" s="7">
        <f>'Option source'!F274</f>
        <v>527.49</v>
      </c>
      <c r="Q157" s="1" t="s">
        <v>88</v>
      </c>
      <c r="R157" s="1">
        <v>269</v>
      </c>
    </row>
    <row r="158" spans="1:18" ht="21" customHeight="1">
      <c r="A158" s="8">
        <v>46276</v>
      </c>
      <c r="B158" s="1" t="s">
        <v>94</v>
      </c>
      <c r="C158" s="39" t="s">
        <v>90</v>
      </c>
      <c r="D158" s="7">
        <v>7000</v>
      </c>
      <c r="E158" s="7">
        <f>'Option source'!B768</f>
        <v>308.63</v>
      </c>
      <c r="F158" s="7">
        <v>7000</v>
      </c>
      <c r="G158" s="14">
        <v>35</v>
      </c>
      <c r="H158" s="7">
        <f t="shared" si="6"/>
        <v>0</v>
      </c>
      <c r="I158" s="7">
        <f t="shared" si="7"/>
        <v>308.63</v>
      </c>
      <c r="J158" s="9">
        <f t="shared" si="8"/>
        <v>1</v>
      </c>
      <c r="K158" s="9">
        <v>0.44654618078438879</v>
      </c>
      <c r="L158" s="13">
        <v>-0.39082208352795511</v>
      </c>
      <c r="M158" s="13">
        <v>8.3217161906592096</v>
      </c>
      <c r="N158" s="7">
        <f>'Option source'!C768</f>
        <v>148897408</v>
      </c>
      <c r="O158" s="7">
        <f>'Option source'!G768</f>
        <v>209.72</v>
      </c>
      <c r="P158" s="7">
        <f>'Option source'!F768</f>
        <v>343</v>
      </c>
      <c r="Q158" s="1" t="s">
        <v>88</v>
      </c>
      <c r="R158" s="1">
        <v>763</v>
      </c>
    </row>
    <row r="159" spans="1:18" ht="21" customHeight="1">
      <c r="A159" s="8">
        <v>46276</v>
      </c>
      <c r="B159" s="1" t="s">
        <v>86</v>
      </c>
      <c r="C159" s="39" t="s">
        <v>87</v>
      </c>
      <c r="D159" s="7">
        <v>6800</v>
      </c>
      <c r="E159" s="7">
        <f>'Option source'!B255</f>
        <v>544.29</v>
      </c>
      <c r="F159" s="7">
        <v>7000</v>
      </c>
      <c r="G159" s="14">
        <v>35</v>
      </c>
      <c r="H159" s="7">
        <f t="shared" si="6"/>
        <v>200</v>
      </c>
      <c r="I159" s="7">
        <f t="shared" si="7"/>
        <v>344.28999999999996</v>
      </c>
      <c r="J159" s="9">
        <f t="shared" si="8"/>
        <v>0.97142857142857142</v>
      </c>
      <c r="K159" s="9">
        <v>0.36789325135729611</v>
      </c>
      <c r="L159" s="13">
        <v>0.7135976921370375</v>
      </c>
      <c r="M159" s="13">
        <v>7.3763275764970011</v>
      </c>
      <c r="N159" s="7">
        <f>'Option source'!C255</f>
        <v>119737312</v>
      </c>
      <c r="O159" s="7">
        <f>'Option source'!G255</f>
        <v>505</v>
      </c>
      <c r="P159" s="7">
        <f>'Option source'!F255</f>
        <v>641</v>
      </c>
      <c r="Q159" s="1" t="s">
        <v>88</v>
      </c>
      <c r="R159" s="1">
        <v>250</v>
      </c>
    </row>
    <row r="160" spans="1:18" ht="21" customHeight="1">
      <c r="A160" s="8">
        <v>46276</v>
      </c>
      <c r="B160" s="1" t="s">
        <v>97</v>
      </c>
      <c r="C160" s="39" t="s">
        <v>87</v>
      </c>
      <c r="D160" s="7">
        <v>7200</v>
      </c>
      <c r="E160" s="7">
        <f>'Option source'!B293</f>
        <v>345.7</v>
      </c>
      <c r="F160" s="7">
        <v>7000</v>
      </c>
      <c r="G160" s="14">
        <v>35</v>
      </c>
      <c r="H160" s="7">
        <f t="shared" si="6"/>
        <v>0</v>
      </c>
      <c r="I160" s="7">
        <f t="shared" si="7"/>
        <v>345.7</v>
      </c>
      <c r="J160" s="9">
        <f t="shared" si="8"/>
        <v>1.0285714285714285</v>
      </c>
      <c r="K160" s="9">
        <v>0.39771651161065913</v>
      </c>
      <c r="L160" s="13">
        <v>0.52647832677484285</v>
      </c>
      <c r="M160" s="13">
        <v>8.6285480474918899</v>
      </c>
      <c r="N160" s="7">
        <f>'Option source'!C293</f>
        <v>276915808</v>
      </c>
      <c r="O160" s="7">
        <f>'Option source'!G293</f>
        <v>313</v>
      </c>
      <c r="P160" s="7">
        <f>'Option source'!F293</f>
        <v>450</v>
      </c>
      <c r="Q160" s="1" t="s">
        <v>88</v>
      </c>
      <c r="R160" s="1">
        <v>288</v>
      </c>
    </row>
    <row r="161" spans="1:18" ht="21" customHeight="1">
      <c r="A161" s="8">
        <v>46276</v>
      </c>
      <c r="B161" s="1" t="s">
        <v>89</v>
      </c>
      <c r="C161" s="39" t="s">
        <v>90</v>
      </c>
      <c r="D161" s="7">
        <v>6800</v>
      </c>
      <c r="E161" s="7">
        <f>'Option source'!B749</f>
        <v>222.83</v>
      </c>
      <c r="F161" s="7">
        <v>7000</v>
      </c>
      <c r="G161" s="14">
        <v>35</v>
      </c>
      <c r="H161" s="7">
        <f t="shared" si="6"/>
        <v>0</v>
      </c>
      <c r="I161" s="7">
        <f t="shared" si="7"/>
        <v>222.83</v>
      </c>
      <c r="J161" s="9">
        <f t="shared" si="8"/>
        <v>0.97142857142857142</v>
      </c>
      <c r="K161" s="9">
        <v>0.44513427373005288</v>
      </c>
      <c r="L161" s="13">
        <v>-0.31280498349875496</v>
      </c>
      <c r="M161" s="13">
        <v>7.6771737836465483</v>
      </c>
      <c r="N161" s="7">
        <f>'Option source'!C749</f>
        <v>133711784</v>
      </c>
      <c r="O161" s="7">
        <f>'Option source'!G749</f>
        <v>169.99</v>
      </c>
      <c r="P161" s="7">
        <f>'Option source'!F749</f>
        <v>250</v>
      </c>
      <c r="Q161" s="1" t="s">
        <v>88</v>
      </c>
      <c r="R161" s="1">
        <v>744</v>
      </c>
    </row>
    <row r="162" spans="1:18" ht="21" customHeight="1">
      <c r="A162" s="8">
        <v>46276</v>
      </c>
      <c r="B162" s="1" t="s">
        <v>98</v>
      </c>
      <c r="C162" s="39" t="s">
        <v>90</v>
      </c>
      <c r="D162" s="7">
        <v>7200</v>
      </c>
      <c r="E162" s="7">
        <f>'Option source'!B787</f>
        <v>409.22</v>
      </c>
      <c r="F162" s="7">
        <v>7000</v>
      </c>
      <c r="G162" s="14">
        <v>35</v>
      </c>
      <c r="H162" s="7">
        <f t="shared" si="6"/>
        <v>200</v>
      </c>
      <c r="I162" s="7">
        <f t="shared" si="7"/>
        <v>209.22000000000003</v>
      </c>
      <c r="J162" s="9">
        <f t="shared" si="8"/>
        <v>1.0285714285714285</v>
      </c>
      <c r="K162" s="9">
        <v>0.44215817470945218</v>
      </c>
      <c r="L162" s="13">
        <v>-0.47097688065733878</v>
      </c>
      <c r="M162" s="13">
        <v>8.6247078488961364</v>
      </c>
      <c r="N162" s="7">
        <f>'Option source'!C787</f>
        <v>42598912</v>
      </c>
      <c r="O162" s="7">
        <f>'Option source'!G787</f>
        <v>323.01</v>
      </c>
      <c r="P162" s="7">
        <f>'Option source'!F787</f>
        <v>450</v>
      </c>
      <c r="Q162" s="1" t="s">
        <v>88</v>
      </c>
      <c r="R162" s="1">
        <v>782</v>
      </c>
    </row>
    <row r="163" spans="1:18" ht="21" customHeight="1">
      <c r="A163" s="8">
        <v>46276</v>
      </c>
      <c r="B163" s="1" t="s">
        <v>91</v>
      </c>
      <c r="C163" s="39" t="s">
        <v>87</v>
      </c>
      <c r="D163" s="7">
        <v>6600</v>
      </c>
      <c r="E163" s="7">
        <f>'Option source'!B236</f>
        <v>663.81</v>
      </c>
      <c r="F163" s="7">
        <v>7000</v>
      </c>
      <c r="G163" s="14">
        <v>35</v>
      </c>
      <c r="H163" s="7">
        <f t="shared" si="6"/>
        <v>400</v>
      </c>
      <c r="I163" s="7">
        <f t="shared" si="7"/>
        <v>263.80999999999995</v>
      </c>
      <c r="J163" s="9">
        <f t="shared" si="8"/>
        <v>0.94285714285714284</v>
      </c>
      <c r="K163" s="9">
        <v>0.33417690866752126</v>
      </c>
      <c r="L163" s="13">
        <v>0.81549788073819163</v>
      </c>
      <c r="M163" s="13">
        <v>5.7763648060661401</v>
      </c>
      <c r="N163" s="7">
        <f>'Option source'!C236</f>
        <v>89392912</v>
      </c>
      <c r="O163" s="7">
        <f>'Option source'!G236</f>
        <v>598.07000000000005</v>
      </c>
      <c r="P163" s="7">
        <f>'Option source'!F236</f>
        <v>777.95</v>
      </c>
      <c r="Q163" s="1" t="s">
        <v>88</v>
      </c>
      <c r="R163" s="1">
        <v>231</v>
      </c>
    </row>
    <row r="164" spans="1:18" ht="21" customHeight="1">
      <c r="A164" s="8">
        <v>46276</v>
      </c>
      <c r="B164" s="1" t="s">
        <v>102</v>
      </c>
      <c r="C164" s="39" t="s">
        <v>87</v>
      </c>
      <c r="D164" s="7">
        <v>7400</v>
      </c>
      <c r="E164" s="7">
        <f>'Option source'!B312</f>
        <v>262.49</v>
      </c>
      <c r="F164" s="7">
        <v>7000</v>
      </c>
      <c r="G164" s="14">
        <v>35</v>
      </c>
      <c r="H164" s="7">
        <f t="shared" si="6"/>
        <v>0</v>
      </c>
      <c r="I164" s="7">
        <f t="shared" si="7"/>
        <v>262.49</v>
      </c>
      <c r="J164" s="9">
        <f t="shared" si="8"/>
        <v>1.0571428571428572</v>
      </c>
      <c r="K164" s="9">
        <v>0.39886435460009695</v>
      </c>
      <c r="L164" s="13">
        <v>0.43831341645144928</v>
      </c>
      <c r="M164" s="13">
        <v>8.5440171869234494</v>
      </c>
      <c r="N164" s="7">
        <f>'Option source'!C312</f>
        <v>238090352</v>
      </c>
      <c r="O164" s="7">
        <f>'Option source'!G312</f>
        <v>241</v>
      </c>
      <c r="P164" s="7">
        <f>'Option source'!F312</f>
        <v>380</v>
      </c>
      <c r="Q164" s="1" t="s">
        <v>88</v>
      </c>
      <c r="R164" s="1">
        <v>307</v>
      </c>
    </row>
    <row r="165" spans="1:18" ht="21" customHeight="1">
      <c r="A165" s="8">
        <v>46276</v>
      </c>
      <c r="B165" s="1" t="s">
        <v>92</v>
      </c>
      <c r="C165" s="39" t="s">
        <v>90</v>
      </c>
      <c r="D165" s="7">
        <v>6600</v>
      </c>
      <c r="E165" s="7">
        <f>'Option source'!B730</f>
        <v>152.55000000000001</v>
      </c>
      <c r="F165" s="7">
        <v>7000</v>
      </c>
      <c r="G165" s="14">
        <v>35</v>
      </c>
      <c r="H165" s="7">
        <f t="shared" si="6"/>
        <v>0</v>
      </c>
      <c r="I165" s="7">
        <f t="shared" si="7"/>
        <v>152.55000000000001</v>
      </c>
      <c r="J165" s="9">
        <f t="shared" si="8"/>
        <v>0.94285714285714284</v>
      </c>
      <c r="K165" s="9">
        <v>0.44216901034876066</v>
      </c>
      <c r="L165" s="13">
        <v>-0.23938150851260787</v>
      </c>
      <c r="M165" s="13">
        <v>6.7291055275750171</v>
      </c>
      <c r="N165" s="7">
        <f>'Option source'!C730</f>
        <v>134174904</v>
      </c>
      <c r="O165" s="7">
        <f>'Option source'!G730</f>
        <v>90</v>
      </c>
      <c r="P165" s="7">
        <f>'Option source'!F730</f>
        <v>174</v>
      </c>
      <c r="Q165" s="1" t="s">
        <v>88</v>
      </c>
      <c r="R165" s="1">
        <v>725</v>
      </c>
    </row>
    <row r="166" spans="1:18" ht="21" customHeight="1">
      <c r="A166" s="8">
        <v>46276</v>
      </c>
      <c r="B166" s="1" t="s">
        <v>103</v>
      </c>
      <c r="C166" s="39" t="s">
        <v>90</v>
      </c>
      <c r="D166" s="7">
        <v>7400</v>
      </c>
      <c r="E166" s="7">
        <f>'Option source'!B806</f>
        <v>528.03</v>
      </c>
      <c r="F166" s="7">
        <v>7000</v>
      </c>
      <c r="G166" s="14">
        <v>35</v>
      </c>
      <c r="H166" s="7">
        <f t="shared" si="6"/>
        <v>400</v>
      </c>
      <c r="I166" s="7">
        <f t="shared" si="7"/>
        <v>128.02999999999997</v>
      </c>
      <c r="J166" s="9">
        <f t="shared" si="8"/>
        <v>1.0571428571428572</v>
      </c>
      <c r="K166" s="9">
        <v>0.43792772720094064</v>
      </c>
      <c r="L166" s="13">
        <v>-0.55165416006453594</v>
      </c>
      <c r="M166" s="13">
        <v>8.5750140440055507</v>
      </c>
      <c r="N166" s="7">
        <f>'Option source'!C806</f>
        <v>75105792</v>
      </c>
      <c r="O166" s="7">
        <f>'Option source'!G806</f>
        <v>450</v>
      </c>
      <c r="P166" s="7">
        <f>'Option source'!F806</f>
        <v>579.9</v>
      </c>
      <c r="Q166" s="1" t="s">
        <v>88</v>
      </c>
      <c r="R166" s="1">
        <v>801</v>
      </c>
    </row>
    <row r="167" spans="1:18" ht="21" customHeight="1">
      <c r="A167" s="8">
        <v>46276</v>
      </c>
      <c r="B167" s="1" t="s">
        <v>95</v>
      </c>
      <c r="C167" s="39" t="s">
        <v>87</v>
      </c>
      <c r="D167" s="7">
        <v>6400</v>
      </c>
      <c r="E167" s="7">
        <f>'Option source'!B217</f>
        <v>830</v>
      </c>
      <c r="F167" s="7">
        <v>7000</v>
      </c>
      <c r="G167" s="14">
        <v>35</v>
      </c>
      <c r="H167" s="7">
        <f t="shared" si="6"/>
        <v>600</v>
      </c>
      <c r="I167" s="7">
        <f t="shared" si="7"/>
        <v>230</v>
      </c>
      <c r="J167" s="9">
        <f t="shared" si="8"/>
        <v>0.91428571428571426</v>
      </c>
      <c r="K167" s="9">
        <v>0.34716724043014546</v>
      </c>
      <c r="L167" s="13">
        <v>0.87593626407471292</v>
      </c>
      <c r="M167" s="13">
        <v>4.438755474915796</v>
      </c>
      <c r="N167" s="7">
        <f>'Option source'!C217</f>
        <v>27462252</v>
      </c>
      <c r="O167" s="7">
        <f>'Option source'!G217</f>
        <v>770</v>
      </c>
      <c r="P167" s="7">
        <f>'Option source'!F217</f>
        <v>919.98</v>
      </c>
      <c r="Q167" s="1" t="s">
        <v>88</v>
      </c>
      <c r="R167" s="1">
        <v>212</v>
      </c>
    </row>
    <row r="168" spans="1:18" ht="21" customHeight="1">
      <c r="A168" s="8">
        <v>46276</v>
      </c>
      <c r="B168" s="1" t="s">
        <v>106</v>
      </c>
      <c r="C168" s="39" t="s">
        <v>87</v>
      </c>
      <c r="D168" s="7">
        <v>7600</v>
      </c>
      <c r="E168" s="7">
        <f>'Option source'!B331</f>
        <v>198.58</v>
      </c>
      <c r="F168" s="7">
        <v>7000</v>
      </c>
      <c r="G168" s="14">
        <v>35</v>
      </c>
      <c r="H168" s="7">
        <f t="shared" si="6"/>
        <v>0</v>
      </c>
      <c r="I168" s="7">
        <f t="shared" si="7"/>
        <v>198.58</v>
      </c>
      <c r="J168" s="9">
        <f t="shared" si="8"/>
        <v>1.0857142857142856</v>
      </c>
      <c r="K168" s="9">
        <v>0.40384380056171587</v>
      </c>
      <c r="L168" s="13">
        <v>0.35753621259856072</v>
      </c>
      <c r="M168" s="13">
        <v>8.0901761181246385</v>
      </c>
      <c r="N168" s="7">
        <f>'Option source'!C331</f>
        <v>419532128</v>
      </c>
      <c r="O168" s="7">
        <f>'Option source'!G331</f>
        <v>180.11</v>
      </c>
      <c r="P168" s="7">
        <f>'Option source'!F331</f>
        <v>295</v>
      </c>
      <c r="Q168" s="1" t="s">
        <v>88</v>
      </c>
      <c r="R168" s="1">
        <v>326</v>
      </c>
    </row>
    <row r="169" spans="1:18" ht="21" customHeight="1">
      <c r="A169" s="8">
        <v>46276</v>
      </c>
      <c r="B169" s="1" t="s">
        <v>96</v>
      </c>
      <c r="C169" s="39" t="s">
        <v>90</v>
      </c>
      <c r="D169" s="7">
        <v>6400</v>
      </c>
      <c r="E169" s="7">
        <f>'Option source'!B711</f>
        <v>95.07</v>
      </c>
      <c r="F169" s="7">
        <v>7000</v>
      </c>
      <c r="G169" s="14">
        <v>35</v>
      </c>
      <c r="H169" s="7">
        <f t="shared" si="6"/>
        <v>0</v>
      </c>
      <c r="I169" s="7">
        <f t="shared" si="7"/>
        <v>95.07</v>
      </c>
      <c r="J169" s="9">
        <f t="shared" si="8"/>
        <v>0.91428571428571426</v>
      </c>
      <c r="K169" s="9">
        <v>0.43079406313502255</v>
      </c>
      <c r="L169" s="13">
        <v>-0.17001698462208059</v>
      </c>
      <c r="M169" s="13">
        <v>5.4856217157429681</v>
      </c>
      <c r="N169" s="7">
        <f>'Option source'!C711</f>
        <v>61645404</v>
      </c>
      <c r="O169" s="7">
        <f>'Option source'!G711</f>
        <v>75</v>
      </c>
      <c r="P169" s="7">
        <f>'Option source'!F711</f>
        <v>115.51</v>
      </c>
      <c r="Q169" s="1" t="s">
        <v>88</v>
      </c>
      <c r="R169" s="1">
        <v>706</v>
      </c>
    </row>
    <row r="170" spans="1:18" ht="21" customHeight="1">
      <c r="A170" s="8">
        <v>46276</v>
      </c>
      <c r="B170" s="1" t="s">
        <v>107</v>
      </c>
      <c r="C170" s="39" t="s">
        <v>90</v>
      </c>
      <c r="D170" s="7">
        <v>7600</v>
      </c>
      <c r="E170" s="7">
        <f>'Option source'!B825</f>
        <v>658.65</v>
      </c>
      <c r="F170" s="7">
        <v>7000</v>
      </c>
      <c r="G170" s="14">
        <v>35</v>
      </c>
      <c r="H170" s="7">
        <f t="shared" si="6"/>
        <v>600</v>
      </c>
      <c r="I170" s="7">
        <f t="shared" si="7"/>
        <v>58.649999999999977</v>
      </c>
      <c r="J170" s="9">
        <f t="shared" si="8"/>
        <v>1.0857142857142856</v>
      </c>
      <c r="K170" s="9">
        <v>0.42063904148981268</v>
      </c>
      <c r="L170" s="13">
        <v>-0.63509543097238208</v>
      </c>
      <c r="M170" s="13">
        <v>8.1469089622810227</v>
      </c>
      <c r="N170" s="7">
        <f>'Option source'!C825</f>
        <v>1715158.62</v>
      </c>
      <c r="O170" s="7">
        <f>'Option source'!G825</f>
        <v>600</v>
      </c>
      <c r="P170" s="7">
        <f>'Option source'!F825</f>
        <v>689</v>
      </c>
      <c r="Q170" s="1" t="s">
        <v>88</v>
      </c>
      <c r="R170" s="1">
        <v>820</v>
      </c>
    </row>
    <row r="171" spans="1:18" ht="21" customHeight="1">
      <c r="A171" s="8">
        <v>46276</v>
      </c>
      <c r="B171" s="1" t="s">
        <v>99</v>
      </c>
      <c r="C171" s="39" t="s">
        <v>87</v>
      </c>
      <c r="D171" s="7">
        <v>6200</v>
      </c>
      <c r="E171" s="7">
        <f>'Option source'!B198</f>
        <v>941.05</v>
      </c>
      <c r="F171" s="7">
        <v>7000</v>
      </c>
      <c r="G171" s="14">
        <v>35</v>
      </c>
      <c r="H171" s="7">
        <f t="shared" si="6"/>
        <v>800</v>
      </c>
      <c r="I171" s="7">
        <f t="shared" si="7"/>
        <v>141.04999999999995</v>
      </c>
      <c r="J171" s="9">
        <f t="shared" si="8"/>
        <v>0.88571428571428568</v>
      </c>
      <c r="K171" s="9"/>
      <c r="L171" s="13"/>
      <c r="M171" s="13"/>
      <c r="N171" s="7">
        <f>'Option source'!C198</f>
        <v>7676950</v>
      </c>
      <c r="O171" s="7">
        <f>'Option source'!G198</f>
        <v>893.51</v>
      </c>
      <c r="P171" s="7">
        <f>'Option source'!F198</f>
        <v>1104.76</v>
      </c>
      <c r="Q171" s="1" t="s">
        <v>100</v>
      </c>
      <c r="R171" s="1">
        <v>193</v>
      </c>
    </row>
    <row r="172" spans="1:18" ht="21" customHeight="1">
      <c r="A172" s="8">
        <v>46276</v>
      </c>
      <c r="B172" s="1" t="s">
        <v>111</v>
      </c>
      <c r="C172" s="39" t="s">
        <v>87</v>
      </c>
      <c r="D172" s="7">
        <v>7800</v>
      </c>
      <c r="E172" s="7">
        <f>'Option source'!B350</f>
        <v>147.07</v>
      </c>
      <c r="F172" s="7">
        <v>7000</v>
      </c>
      <c r="G172" s="14">
        <v>35</v>
      </c>
      <c r="H172" s="7">
        <f t="shared" si="6"/>
        <v>0</v>
      </c>
      <c r="I172" s="7">
        <f t="shared" si="7"/>
        <v>147.07</v>
      </c>
      <c r="J172" s="9">
        <f t="shared" si="8"/>
        <v>1.1142857142857143</v>
      </c>
      <c r="K172" s="9">
        <v>0.40685990308846731</v>
      </c>
      <c r="L172" s="13">
        <v>0.28515729115149457</v>
      </c>
      <c r="M172" s="13">
        <v>7.3610592902975176</v>
      </c>
      <c r="N172" s="7">
        <f>'Option source'!C350</f>
        <v>114438280</v>
      </c>
      <c r="O172" s="7">
        <f>'Option source'!G350</f>
        <v>137.5</v>
      </c>
      <c r="P172" s="7">
        <f>'Option source'!F350</f>
        <v>240</v>
      </c>
      <c r="Q172" s="1" t="s">
        <v>88</v>
      </c>
      <c r="R172" s="1">
        <v>345</v>
      </c>
    </row>
    <row r="173" spans="1:18" ht="21" customHeight="1">
      <c r="A173" s="8">
        <v>46276</v>
      </c>
      <c r="B173" s="1" t="s">
        <v>101</v>
      </c>
      <c r="C173" s="39" t="s">
        <v>90</v>
      </c>
      <c r="D173" s="7">
        <v>6200</v>
      </c>
      <c r="E173" s="7">
        <f>'Option source'!B692</f>
        <v>62.2</v>
      </c>
      <c r="F173" s="7">
        <v>7000</v>
      </c>
      <c r="G173" s="14">
        <v>35</v>
      </c>
      <c r="H173" s="7">
        <f t="shared" si="6"/>
        <v>0</v>
      </c>
      <c r="I173" s="7">
        <f t="shared" si="7"/>
        <v>62.2</v>
      </c>
      <c r="J173" s="9">
        <f t="shared" si="8"/>
        <v>0.88571428571428568</v>
      </c>
      <c r="K173" s="9">
        <v>0.43776389977537933</v>
      </c>
      <c r="L173" s="13">
        <v>-0.11994639182843636</v>
      </c>
      <c r="M173" s="13">
        <v>4.3347767773590133</v>
      </c>
      <c r="N173" s="7">
        <f>'Option source'!C692</f>
        <v>29853540</v>
      </c>
      <c r="O173" s="7">
        <f>'Option source'!G692</f>
        <v>47.78</v>
      </c>
      <c r="P173" s="7">
        <f>'Option source'!F692</f>
        <v>78</v>
      </c>
      <c r="Q173" s="1" t="s">
        <v>88</v>
      </c>
      <c r="R173" s="1">
        <v>687</v>
      </c>
    </row>
    <row r="174" spans="1:18" ht="21" customHeight="1">
      <c r="A174" s="8">
        <v>46276</v>
      </c>
      <c r="B174" s="1" t="s">
        <v>112</v>
      </c>
      <c r="C174" s="39" t="s">
        <v>90</v>
      </c>
      <c r="D174" s="7">
        <v>7800</v>
      </c>
      <c r="E174" s="7">
        <f>'Option source'!B844</f>
        <v>720</v>
      </c>
      <c r="F174" s="7">
        <v>7000</v>
      </c>
      <c r="G174" s="14">
        <v>35</v>
      </c>
      <c r="H174" s="7">
        <f t="shared" si="6"/>
        <v>800</v>
      </c>
      <c r="I174" s="7">
        <f t="shared" si="7"/>
        <v>-80</v>
      </c>
      <c r="J174" s="9">
        <f t="shared" si="8"/>
        <v>1.1142857142857143</v>
      </c>
      <c r="K174" s="9"/>
      <c r="L174" s="13"/>
      <c r="M174" s="13"/>
      <c r="N174" s="7">
        <f>'Option source'!C844</f>
        <v>0</v>
      </c>
      <c r="O174" s="7">
        <f>'Option source'!G844</f>
        <v>720</v>
      </c>
      <c r="P174" s="7">
        <f>'Option source'!F844</f>
        <v>720</v>
      </c>
      <c r="Q174" s="1" t="s">
        <v>118</v>
      </c>
      <c r="R174" s="1">
        <v>839</v>
      </c>
    </row>
    <row r="175" spans="1:18" ht="21" customHeight="1">
      <c r="A175" s="8">
        <v>46276</v>
      </c>
      <c r="B175" s="1" t="s">
        <v>104</v>
      </c>
      <c r="C175" s="39" t="s">
        <v>87</v>
      </c>
      <c r="D175" s="7">
        <v>6000</v>
      </c>
      <c r="E175" s="7">
        <f>'Option source'!B179</f>
        <v>1130</v>
      </c>
      <c r="F175" s="7">
        <v>7000</v>
      </c>
      <c r="G175" s="14">
        <v>35</v>
      </c>
      <c r="H175" s="7">
        <f t="shared" si="6"/>
        <v>1000</v>
      </c>
      <c r="I175" s="7">
        <f t="shared" si="7"/>
        <v>130</v>
      </c>
      <c r="J175" s="9">
        <f t="shared" si="8"/>
        <v>0.8571428571428571</v>
      </c>
      <c r="K175" s="9"/>
      <c r="L175" s="13"/>
      <c r="M175" s="13"/>
      <c r="N175" s="7">
        <f>'Option source'!C179</f>
        <v>686932.81</v>
      </c>
      <c r="O175" s="7">
        <f>'Option source'!G179</f>
        <v>1130</v>
      </c>
      <c r="P175" s="7">
        <f>'Option source'!F179</f>
        <v>1185</v>
      </c>
      <c r="Q175" s="1" t="s">
        <v>100</v>
      </c>
      <c r="R175" s="1">
        <v>174</v>
      </c>
    </row>
    <row r="176" spans="1:18" ht="21" customHeight="1">
      <c r="A176" s="8">
        <v>46276</v>
      </c>
      <c r="B176" s="1" t="s">
        <v>116</v>
      </c>
      <c r="C176" s="39" t="s">
        <v>87</v>
      </c>
      <c r="D176" s="7">
        <v>8000</v>
      </c>
      <c r="E176" s="7">
        <f>'Option source'!B369</f>
        <v>109.14</v>
      </c>
      <c r="F176" s="7">
        <v>7000</v>
      </c>
      <c r="G176" s="14">
        <v>35</v>
      </c>
      <c r="H176" s="7">
        <f t="shared" si="6"/>
        <v>0</v>
      </c>
      <c r="I176" s="7">
        <f t="shared" si="7"/>
        <v>109.14</v>
      </c>
      <c r="J176" s="9">
        <f t="shared" si="8"/>
        <v>1.1428571428571428</v>
      </c>
      <c r="K176" s="9">
        <v>0.41246823467398397</v>
      </c>
      <c r="L176" s="13">
        <v>0.22471485684012119</v>
      </c>
      <c r="M176" s="13">
        <v>6.4963287336616942</v>
      </c>
      <c r="N176" s="7">
        <f>'Option source'!C369</f>
        <v>350712736</v>
      </c>
      <c r="O176" s="7">
        <f>'Option source'!G369</f>
        <v>98</v>
      </c>
      <c r="P176" s="7">
        <f>'Option source'!F369</f>
        <v>160.99</v>
      </c>
      <c r="Q176" s="1" t="s">
        <v>88</v>
      </c>
      <c r="R176" s="1">
        <v>364</v>
      </c>
    </row>
    <row r="177" spans="1:18" ht="21" customHeight="1">
      <c r="A177" s="8">
        <v>46276</v>
      </c>
      <c r="B177" s="1" t="s">
        <v>105</v>
      </c>
      <c r="C177" s="39" t="s">
        <v>90</v>
      </c>
      <c r="D177" s="7">
        <v>6000</v>
      </c>
      <c r="E177" s="7">
        <f>'Option source'!B673</f>
        <v>35.590000000000003</v>
      </c>
      <c r="F177" s="7">
        <v>7000</v>
      </c>
      <c r="G177" s="14">
        <v>35</v>
      </c>
      <c r="H177" s="7">
        <f t="shared" si="6"/>
        <v>0</v>
      </c>
      <c r="I177" s="7">
        <f t="shared" si="7"/>
        <v>35.590000000000003</v>
      </c>
      <c r="J177" s="9">
        <f t="shared" si="8"/>
        <v>0.8571428571428571</v>
      </c>
      <c r="K177" s="9">
        <v>0.43423619695664395</v>
      </c>
      <c r="L177" s="13">
        <v>-7.6709676955008854E-2</v>
      </c>
      <c r="M177" s="13">
        <v>3.1215269889138102</v>
      </c>
      <c r="N177" s="7">
        <f>'Option source'!C673</f>
        <v>22134246</v>
      </c>
      <c r="O177" s="7">
        <f>'Option source'!G673</f>
        <v>26</v>
      </c>
      <c r="P177" s="7">
        <f>'Option source'!F673</f>
        <v>44</v>
      </c>
      <c r="Q177" s="1" t="s">
        <v>88</v>
      </c>
      <c r="R177" s="1">
        <v>668</v>
      </c>
    </row>
    <row r="178" spans="1:18" ht="21" customHeight="1">
      <c r="A178" s="8">
        <v>46276</v>
      </c>
      <c r="B178" s="1" t="s">
        <v>117</v>
      </c>
      <c r="C178" s="39" t="s">
        <v>90</v>
      </c>
      <c r="D178" s="7">
        <v>8000</v>
      </c>
      <c r="E178" s="7">
        <f>'Option source'!B863</f>
        <v>1017.5</v>
      </c>
      <c r="F178" s="7">
        <v>7000</v>
      </c>
      <c r="G178" s="14">
        <v>35</v>
      </c>
      <c r="H178" s="7">
        <f t="shared" si="6"/>
        <v>1000</v>
      </c>
      <c r="I178" s="7">
        <f t="shared" si="7"/>
        <v>17.5</v>
      </c>
      <c r="J178" s="9">
        <f t="shared" si="8"/>
        <v>1.1428571428571428</v>
      </c>
      <c r="K178" s="9"/>
      <c r="L178" s="13"/>
      <c r="M178" s="13"/>
      <c r="N178" s="7">
        <f>'Option source'!C863</f>
        <v>393500</v>
      </c>
      <c r="O178" s="7">
        <f>'Option source'!G863</f>
        <v>900</v>
      </c>
      <c r="P178" s="7">
        <f>'Option source'!F863</f>
        <v>1000</v>
      </c>
      <c r="Q178" s="1" t="s">
        <v>109</v>
      </c>
      <c r="R178" s="1">
        <v>858</v>
      </c>
    </row>
    <row r="179" spans="1:18" ht="21" customHeight="1">
      <c r="A179" s="8">
        <v>46276</v>
      </c>
      <c r="B179" s="1" t="s">
        <v>108</v>
      </c>
      <c r="C179" s="39" t="s">
        <v>87</v>
      </c>
      <c r="D179" s="7">
        <v>5800</v>
      </c>
      <c r="E179" s="7">
        <f>'Option source'!B160</f>
        <v>1343.33</v>
      </c>
      <c r="F179" s="7">
        <v>7000</v>
      </c>
      <c r="G179" s="14">
        <v>35</v>
      </c>
      <c r="H179" s="7">
        <f t="shared" si="6"/>
        <v>1200</v>
      </c>
      <c r="I179" s="7">
        <f t="shared" si="7"/>
        <v>143.32999999999993</v>
      </c>
      <c r="J179" s="9">
        <f t="shared" si="8"/>
        <v>0.82857142857142863</v>
      </c>
      <c r="K179" s="9"/>
      <c r="L179" s="13"/>
      <c r="M179" s="13"/>
      <c r="N179" s="7">
        <f>'Option source'!C160</f>
        <v>14677796</v>
      </c>
      <c r="O179" s="7">
        <f>'Option source'!G160</f>
        <v>1330</v>
      </c>
      <c r="P179" s="7">
        <f>'Option source'!F160</f>
        <v>1459.88</v>
      </c>
      <c r="Q179" s="1" t="s">
        <v>100</v>
      </c>
      <c r="R179" s="1">
        <v>155</v>
      </c>
    </row>
    <row r="180" spans="1:18" ht="21" customHeight="1">
      <c r="A180" s="8">
        <v>46276</v>
      </c>
      <c r="B180" s="1" t="s">
        <v>110</v>
      </c>
      <c r="C180" s="39" t="s">
        <v>90</v>
      </c>
      <c r="D180" s="7">
        <v>5800</v>
      </c>
      <c r="E180" s="7">
        <f>'Option source'!B654</f>
        <v>20.5</v>
      </c>
      <c r="F180" s="7">
        <v>7000</v>
      </c>
      <c r="G180" s="14">
        <v>35</v>
      </c>
      <c r="H180" s="7">
        <f t="shared" si="6"/>
        <v>0</v>
      </c>
      <c r="I180" s="7">
        <f t="shared" si="7"/>
        <v>20.5</v>
      </c>
      <c r="J180" s="9">
        <f t="shared" si="8"/>
        <v>0.82857142857142863</v>
      </c>
      <c r="K180" s="9">
        <v>0.43781680373794285</v>
      </c>
      <c r="L180" s="13">
        <v>-4.7752855778065317E-2</v>
      </c>
      <c r="M180" s="13">
        <v>2.15494387484613</v>
      </c>
      <c r="N180" s="7">
        <f>'Option source'!C654</f>
        <v>7313211</v>
      </c>
      <c r="O180" s="7">
        <f>'Option source'!G654</f>
        <v>16</v>
      </c>
      <c r="P180" s="7">
        <f>'Option source'!F654</f>
        <v>24</v>
      </c>
      <c r="Q180" s="1" t="s">
        <v>88</v>
      </c>
      <c r="R180" s="1">
        <v>649</v>
      </c>
    </row>
    <row r="181" spans="1:18" ht="21" customHeight="1">
      <c r="A181" s="8">
        <v>46276</v>
      </c>
      <c r="B181" s="1" t="s">
        <v>121</v>
      </c>
      <c r="C181" s="39" t="s">
        <v>87</v>
      </c>
      <c r="D181" s="7">
        <v>8300</v>
      </c>
      <c r="E181" s="7">
        <f>'Option source'!B388</f>
        <v>66.81</v>
      </c>
      <c r="F181" s="7">
        <v>7000</v>
      </c>
      <c r="G181" s="14">
        <v>35</v>
      </c>
      <c r="H181" s="7">
        <f t="shared" si="6"/>
        <v>0</v>
      </c>
      <c r="I181" s="7">
        <f t="shared" si="7"/>
        <v>66.81</v>
      </c>
      <c r="J181" s="9">
        <f t="shared" si="8"/>
        <v>1.1857142857142857</v>
      </c>
      <c r="K181" s="9">
        <v>0.41670882954943578</v>
      </c>
      <c r="L181" s="13">
        <v>0.15088235884659359</v>
      </c>
      <c r="M181" s="13">
        <v>5.0738120989374789</v>
      </c>
      <c r="N181" s="7">
        <f>'Option source'!C388</f>
        <v>51353796</v>
      </c>
      <c r="O181" s="7">
        <f>'Option source'!G388</f>
        <v>61</v>
      </c>
      <c r="P181" s="7">
        <f>'Option source'!F388</f>
        <v>104.99</v>
      </c>
      <c r="Q181" s="1" t="s">
        <v>88</v>
      </c>
      <c r="R181" s="1">
        <v>383</v>
      </c>
    </row>
    <row r="182" spans="1:18" ht="21" customHeight="1">
      <c r="A182" s="8">
        <v>46276</v>
      </c>
      <c r="B182" s="1" t="s">
        <v>122</v>
      </c>
      <c r="C182" s="39" t="s">
        <v>90</v>
      </c>
      <c r="D182" s="7">
        <v>8300</v>
      </c>
      <c r="E182" s="7">
        <f>'Option source'!B882</f>
        <v>1264.67</v>
      </c>
      <c r="F182" s="7">
        <v>7000</v>
      </c>
      <c r="G182" s="14">
        <v>35</v>
      </c>
      <c r="H182" s="7">
        <f t="shared" si="6"/>
        <v>1300</v>
      </c>
      <c r="I182" s="7">
        <f t="shared" si="7"/>
        <v>-35.329999999999927</v>
      </c>
      <c r="J182" s="9">
        <f t="shared" si="8"/>
        <v>1.1857142857142857</v>
      </c>
      <c r="K182" s="9"/>
      <c r="L182" s="13"/>
      <c r="M182" s="13"/>
      <c r="N182" s="7">
        <f>'Option source'!C882</f>
        <v>7291063.5</v>
      </c>
      <c r="O182" s="7">
        <f>'Option source'!G882</f>
        <v>1200</v>
      </c>
      <c r="P182" s="7">
        <f>'Option source'!F882</f>
        <v>1369.89</v>
      </c>
      <c r="Q182" s="1" t="s">
        <v>144</v>
      </c>
      <c r="R182" s="1">
        <v>877</v>
      </c>
    </row>
    <row r="183" spans="1:18" ht="21" customHeight="1">
      <c r="A183" s="8">
        <v>46276</v>
      </c>
      <c r="B183" s="1" t="s">
        <v>114</v>
      </c>
      <c r="C183" s="39" t="s">
        <v>87</v>
      </c>
      <c r="D183" s="7">
        <v>5600</v>
      </c>
      <c r="E183" s="7">
        <f>'Option source'!B150</f>
        <v>1490</v>
      </c>
      <c r="F183" s="7">
        <v>7000</v>
      </c>
      <c r="G183" s="14">
        <v>35</v>
      </c>
      <c r="H183" s="7">
        <f t="shared" si="6"/>
        <v>1400</v>
      </c>
      <c r="I183" s="7">
        <f t="shared" si="7"/>
        <v>90</v>
      </c>
      <c r="J183" s="9">
        <f t="shared" si="8"/>
        <v>0.8</v>
      </c>
      <c r="K183" s="9"/>
      <c r="L183" s="13"/>
      <c r="M183" s="13"/>
      <c r="N183" s="7">
        <f>'Option source'!C150</f>
        <v>5163728.5</v>
      </c>
      <c r="O183" s="7">
        <f>'Option source'!G150</f>
        <v>1450</v>
      </c>
      <c r="P183" s="7">
        <f>'Option source'!F150</f>
        <v>1647.76</v>
      </c>
      <c r="Q183" s="1" t="s">
        <v>100</v>
      </c>
      <c r="R183" s="1">
        <v>145</v>
      </c>
    </row>
    <row r="184" spans="1:18" ht="21" customHeight="1">
      <c r="A184" s="8">
        <v>46276</v>
      </c>
      <c r="B184" s="1" t="s">
        <v>115</v>
      </c>
      <c r="C184" s="39" t="s">
        <v>90</v>
      </c>
      <c r="D184" s="7">
        <v>5600</v>
      </c>
      <c r="E184" s="7">
        <f>'Option source'!B635</f>
        <v>10.74</v>
      </c>
      <c r="F184" s="7">
        <v>7000</v>
      </c>
      <c r="G184" s="14">
        <v>35</v>
      </c>
      <c r="H184" s="7">
        <f t="shared" si="6"/>
        <v>0</v>
      </c>
      <c r="I184" s="7">
        <f t="shared" si="7"/>
        <v>10.74</v>
      </c>
      <c r="J184" s="9">
        <f t="shared" si="8"/>
        <v>0.8</v>
      </c>
      <c r="K184" s="9">
        <v>0.4385434333390873</v>
      </c>
      <c r="L184" s="13">
        <v>-2.7245642153682081E-2</v>
      </c>
      <c r="M184" s="13">
        <v>1.3613673061041982</v>
      </c>
      <c r="N184" s="7">
        <f>'Option source'!C635</f>
        <v>2070999.62</v>
      </c>
      <c r="O184" s="7">
        <f>'Option source'!G635</f>
        <v>8.3000000000000007</v>
      </c>
      <c r="P184" s="7">
        <f>'Option source'!F635</f>
        <v>12.8</v>
      </c>
      <c r="Q184" s="1" t="s">
        <v>88</v>
      </c>
      <c r="R184" s="1">
        <v>630</v>
      </c>
    </row>
    <row r="185" spans="1:18" ht="21" customHeight="1">
      <c r="A185" s="8">
        <v>46276</v>
      </c>
      <c r="B185" s="1" t="s">
        <v>119</v>
      </c>
      <c r="C185" s="39" t="s">
        <v>87</v>
      </c>
      <c r="D185" s="7">
        <v>5400</v>
      </c>
      <c r="E185" s="7">
        <f>'Option source'!B132</f>
        <v>1801.16</v>
      </c>
      <c r="F185" s="7">
        <v>7000</v>
      </c>
      <c r="G185" s="14">
        <v>35</v>
      </c>
      <c r="H185" s="7">
        <f t="shared" si="6"/>
        <v>1600</v>
      </c>
      <c r="I185" s="7">
        <f t="shared" si="7"/>
        <v>201.16000000000008</v>
      </c>
      <c r="J185" s="9">
        <f t="shared" si="8"/>
        <v>0.77142857142857146</v>
      </c>
      <c r="K185" s="9"/>
      <c r="L185" s="13"/>
      <c r="M185" s="13"/>
      <c r="N185" s="7">
        <f>'Option source'!C132</f>
        <v>720464.62</v>
      </c>
      <c r="O185" s="7">
        <f>'Option source'!G132</f>
        <v>1800</v>
      </c>
      <c r="P185" s="7">
        <f>'Option source'!F132</f>
        <v>1800</v>
      </c>
      <c r="Q185" s="1" t="s">
        <v>109</v>
      </c>
      <c r="R185" s="1">
        <v>127</v>
      </c>
    </row>
    <row r="186" spans="1:18" ht="21" customHeight="1">
      <c r="A186" s="8">
        <v>46276</v>
      </c>
      <c r="B186" s="1" t="s">
        <v>127</v>
      </c>
      <c r="C186" s="39" t="s">
        <v>87</v>
      </c>
      <c r="D186" s="7">
        <v>8600</v>
      </c>
      <c r="E186" s="7">
        <f>'Option source'!B407</f>
        <v>38.76</v>
      </c>
      <c r="F186" s="7">
        <v>7000</v>
      </c>
      <c r="G186" s="14">
        <v>35</v>
      </c>
      <c r="H186" s="7">
        <f t="shared" si="6"/>
        <v>0</v>
      </c>
      <c r="I186" s="7">
        <f t="shared" si="7"/>
        <v>38.76</v>
      </c>
      <c r="J186" s="9">
        <f t="shared" si="8"/>
        <v>1.2285714285714286</v>
      </c>
      <c r="K186" s="9">
        <v>0.41770397838391493</v>
      </c>
      <c r="L186" s="13">
        <v>9.6049343824460925E-2</v>
      </c>
      <c r="M186" s="13">
        <v>3.693438778265933</v>
      </c>
      <c r="N186" s="7">
        <f>'Option source'!C407</f>
        <v>81070872</v>
      </c>
      <c r="O186" s="7">
        <f>'Option source'!G407</f>
        <v>32</v>
      </c>
      <c r="P186" s="7">
        <f>'Option source'!F407</f>
        <v>61</v>
      </c>
      <c r="Q186" s="1" t="s">
        <v>88</v>
      </c>
      <c r="R186" s="1">
        <v>402</v>
      </c>
    </row>
    <row r="187" spans="1:18" ht="21" customHeight="1">
      <c r="A187" s="8">
        <v>46276</v>
      </c>
      <c r="B187" s="1" t="s">
        <v>120</v>
      </c>
      <c r="C187" s="39" t="s">
        <v>90</v>
      </c>
      <c r="D187" s="7">
        <v>5400</v>
      </c>
      <c r="E187" s="7">
        <f>'Option source'!B616</f>
        <v>5.84</v>
      </c>
      <c r="F187" s="7">
        <v>7000</v>
      </c>
      <c r="G187" s="14">
        <v>35</v>
      </c>
      <c r="H187" s="7">
        <f t="shared" si="6"/>
        <v>0</v>
      </c>
      <c r="I187" s="7">
        <f t="shared" si="7"/>
        <v>5.84</v>
      </c>
      <c r="J187" s="9">
        <f t="shared" si="8"/>
        <v>0.77142857142857146</v>
      </c>
      <c r="K187" s="9">
        <v>0.44726732280854442</v>
      </c>
      <c r="L187" s="13">
        <v>-1.5751570222708344E-2</v>
      </c>
      <c r="M187" s="13">
        <v>0.85608588342578673</v>
      </c>
      <c r="N187" s="7">
        <f>'Option source'!C616</f>
        <v>396816.81</v>
      </c>
      <c r="O187" s="7">
        <f>'Option source'!G616</f>
        <v>4</v>
      </c>
      <c r="P187" s="7">
        <f>'Option source'!F616</f>
        <v>7.55</v>
      </c>
      <c r="Q187" s="1" t="s">
        <v>88</v>
      </c>
      <c r="R187" s="1">
        <v>611</v>
      </c>
    </row>
    <row r="188" spans="1:18" ht="21" customHeight="1">
      <c r="A188" s="8">
        <v>46276</v>
      </c>
      <c r="B188" s="1" t="s">
        <v>128</v>
      </c>
      <c r="C188" s="39" t="s">
        <v>90</v>
      </c>
      <c r="D188" s="7">
        <v>8600</v>
      </c>
      <c r="E188" s="7">
        <f>'Option source'!B901</f>
        <v>1600</v>
      </c>
      <c r="F188" s="7">
        <v>7000</v>
      </c>
      <c r="G188" s="14">
        <v>35</v>
      </c>
      <c r="H188" s="7">
        <f t="shared" si="6"/>
        <v>1600</v>
      </c>
      <c r="I188" s="7">
        <f t="shared" si="7"/>
        <v>0</v>
      </c>
      <c r="J188" s="9">
        <f t="shared" si="8"/>
        <v>1.2285714285714286</v>
      </c>
      <c r="K188" s="9"/>
      <c r="L188" s="13"/>
      <c r="M188" s="13"/>
      <c r="N188" s="7">
        <f>'Option source'!C901</f>
        <v>160000</v>
      </c>
      <c r="O188" s="7">
        <f>'Option source'!G901</f>
        <v>0</v>
      </c>
      <c r="P188" s="7">
        <f>'Option source'!F901</f>
        <v>0</v>
      </c>
      <c r="Q188" s="1" t="s">
        <v>109</v>
      </c>
      <c r="R188" s="1">
        <v>896</v>
      </c>
    </row>
    <row r="189" spans="1:18" ht="21" customHeight="1">
      <c r="A189" s="8">
        <v>46276</v>
      </c>
      <c r="B189" s="1" t="s">
        <v>123</v>
      </c>
      <c r="C189" s="39" t="s">
        <v>87</v>
      </c>
      <c r="D189" s="7">
        <v>5200</v>
      </c>
      <c r="E189" s="7">
        <f>'Option source'!B113</f>
        <v>1998.09</v>
      </c>
      <c r="F189" s="7">
        <v>7000</v>
      </c>
      <c r="G189" s="14">
        <v>35</v>
      </c>
      <c r="H189" s="7">
        <f t="shared" si="6"/>
        <v>1800</v>
      </c>
      <c r="I189" s="7">
        <f t="shared" si="7"/>
        <v>198.08999999999992</v>
      </c>
      <c r="J189" s="9">
        <f t="shared" si="8"/>
        <v>0.74285714285714288</v>
      </c>
      <c r="K189" s="9"/>
      <c r="L189" s="13"/>
      <c r="M189" s="13"/>
      <c r="N189" s="7">
        <f>'Option source'!C113</f>
        <v>399617.81</v>
      </c>
      <c r="O189" s="7">
        <f>'Option source'!G113</f>
        <v>0</v>
      </c>
      <c r="P189" s="7">
        <f>'Option source'!F113</f>
        <v>0</v>
      </c>
      <c r="Q189" s="1" t="s">
        <v>109</v>
      </c>
      <c r="R189" s="1">
        <v>108</v>
      </c>
    </row>
    <row r="190" spans="1:18" ht="21" customHeight="1">
      <c r="A190" s="8">
        <v>46276</v>
      </c>
      <c r="B190" s="1" t="s">
        <v>124</v>
      </c>
      <c r="C190" s="39" t="s">
        <v>90</v>
      </c>
      <c r="D190" s="7">
        <v>5200</v>
      </c>
      <c r="E190" s="7">
        <f>'Option source'!B597</f>
        <v>3.1</v>
      </c>
      <c r="F190" s="7">
        <v>7000</v>
      </c>
      <c r="G190" s="14">
        <v>35</v>
      </c>
      <c r="H190" s="7">
        <f t="shared" si="6"/>
        <v>0</v>
      </c>
      <c r="I190" s="7">
        <f t="shared" si="7"/>
        <v>3.1</v>
      </c>
      <c r="J190" s="9">
        <f t="shared" si="8"/>
        <v>0.74285714285714288</v>
      </c>
      <c r="K190" s="9">
        <v>0.45717316195357161</v>
      </c>
      <c r="L190" s="13">
        <v>-8.8059163184806E-3</v>
      </c>
      <c r="M190" s="13">
        <v>0.51690560366405802</v>
      </c>
      <c r="N190" s="7">
        <f>'Option source'!C597</f>
        <v>988455.12</v>
      </c>
      <c r="O190" s="7">
        <f>'Option source'!G597</f>
        <v>2.0299999999999998</v>
      </c>
      <c r="P190" s="7">
        <f>'Option source'!F597</f>
        <v>3.99</v>
      </c>
      <c r="Q190" s="1" t="s">
        <v>88</v>
      </c>
      <c r="R190" s="1">
        <v>592</v>
      </c>
    </row>
    <row r="191" spans="1:18" ht="21" customHeight="1">
      <c r="A191" s="8">
        <v>46276</v>
      </c>
      <c r="B191" s="1" t="s">
        <v>132</v>
      </c>
      <c r="C191" s="39" t="s">
        <v>87</v>
      </c>
      <c r="D191" s="7">
        <v>8900</v>
      </c>
      <c r="E191" s="7">
        <f>'Option source'!B426</f>
        <v>22.19</v>
      </c>
      <c r="F191" s="7">
        <v>7000</v>
      </c>
      <c r="G191" s="14">
        <v>35</v>
      </c>
      <c r="H191" s="7">
        <f t="shared" si="6"/>
        <v>0</v>
      </c>
      <c r="I191" s="7">
        <f t="shared" si="7"/>
        <v>22.19</v>
      </c>
      <c r="J191" s="9">
        <f t="shared" si="8"/>
        <v>1.2714285714285714</v>
      </c>
      <c r="K191" s="9">
        <v>0.42027343864866551</v>
      </c>
      <c r="L191" s="13">
        <v>5.9486265014492723E-2</v>
      </c>
      <c r="M191" s="13">
        <v>2.5648101183374012</v>
      </c>
      <c r="N191" s="7">
        <f>'Option source'!C426</f>
        <v>13448505</v>
      </c>
      <c r="O191" s="7">
        <f>'Option source'!G426</f>
        <v>18.7</v>
      </c>
      <c r="P191" s="7">
        <f>'Option source'!F426</f>
        <v>33</v>
      </c>
      <c r="Q191" s="1" t="s">
        <v>88</v>
      </c>
      <c r="R191" s="1">
        <v>421</v>
      </c>
    </row>
    <row r="192" spans="1:18" ht="21" customHeight="1">
      <c r="A192" s="8">
        <v>46276</v>
      </c>
      <c r="B192" s="1" t="s">
        <v>133</v>
      </c>
      <c r="C192" s="39" t="s">
        <v>90</v>
      </c>
      <c r="D192" s="7">
        <v>8900</v>
      </c>
      <c r="E192" s="7">
        <f>'Option source'!B916</f>
        <v>2022.5</v>
      </c>
      <c r="F192" s="7">
        <v>7000</v>
      </c>
      <c r="G192" s="14">
        <v>35</v>
      </c>
      <c r="H192" s="7">
        <f t="shared" si="6"/>
        <v>1900</v>
      </c>
      <c r="I192" s="7">
        <f t="shared" si="7"/>
        <v>122.5</v>
      </c>
      <c r="J192" s="9">
        <f t="shared" si="8"/>
        <v>1.2714285714285714</v>
      </c>
      <c r="K192" s="9"/>
      <c r="L192" s="13"/>
      <c r="M192" s="13"/>
      <c r="N192" s="7">
        <f>'Option source'!C916</f>
        <v>0</v>
      </c>
      <c r="O192" s="7">
        <f>'Option source'!G916</f>
        <v>2022.5</v>
      </c>
      <c r="P192" s="7">
        <f>'Option source'!F916</f>
        <v>2037.67</v>
      </c>
      <c r="Q192" s="1" t="s">
        <v>25</v>
      </c>
      <c r="R192" s="1">
        <v>911</v>
      </c>
    </row>
    <row r="193" spans="1:18" ht="21" customHeight="1">
      <c r="A193" s="8">
        <v>46276</v>
      </c>
      <c r="B193" s="1" t="s">
        <v>125</v>
      </c>
      <c r="C193" s="39" t="s">
        <v>87</v>
      </c>
      <c r="D193" s="7">
        <v>5000</v>
      </c>
      <c r="E193" s="7">
        <f>'Option source'!B94</f>
        <v>2248.1999999999998</v>
      </c>
      <c r="F193" s="7">
        <v>7000</v>
      </c>
      <c r="G193" s="14">
        <v>35</v>
      </c>
      <c r="H193" s="7">
        <f t="shared" si="6"/>
        <v>2000</v>
      </c>
      <c r="I193" s="7">
        <f t="shared" si="7"/>
        <v>248.19999999999982</v>
      </c>
      <c r="J193" s="9">
        <f t="shared" si="8"/>
        <v>0.7142857142857143</v>
      </c>
      <c r="K193" s="9"/>
      <c r="L193" s="13"/>
      <c r="M193" s="13"/>
      <c r="N193" s="7">
        <f>'Option source'!C94</f>
        <v>0</v>
      </c>
      <c r="O193" s="7">
        <f>'Option source'!G94</f>
        <v>2154.75</v>
      </c>
      <c r="P193" s="7">
        <f>'Option source'!F94</f>
        <v>2225.61</v>
      </c>
      <c r="Q193" s="1" t="s">
        <v>130</v>
      </c>
      <c r="R193" s="1">
        <v>89</v>
      </c>
    </row>
    <row r="194" spans="1:18" ht="21" customHeight="1">
      <c r="A194" s="8">
        <v>46276</v>
      </c>
      <c r="B194" s="1" t="s">
        <v>126</v>
      </c>
      <c r="C194" s="39" t="s">
        <v>90</v>
      </c>
      <c r="D194" s="7">
        <v>5000</v>
      </c>
      <c r="E194" s="7">
        <f>'Option source'!B578</f>
        <v>2.15</v>
      </c>
      <c r="F194" s="7">
        <v>7000</v>
      </c>
      <c r="G194" s="14">
        <v>35</v>
      </c>
      <c r="H194" s="7">
        <f t="shared" si="6"/>
        <v>0</v>
      </c>
      <c r="I194" s="7">
        <f t="shared" si="7"/>
        <v>2.15</v>
      </c>
      <c r="J194" s="9">
        <f t="shared" si="8"/>
        <v>0.7142857142857143</v>
      </c>
      <c r="K194" s="9">
        <v>0.48425705167704525</v>
      </c>
      <c r="L194" s="13">
        <v>-6.0259134733776643E-3</v>
      </c>
      <c r="M194" s="13">
        <v>0.36997039306913804</v>
      </c>
      <c r="N194" s="7">
        <f>'Option source'!C578</f>
        <v>765919.88</v>
      </c>
      <c r="O194" s="7">
        <f>'Option source'!G578</f>
        <v>1.4</v>
      </c>
      <c r="P194" s="7">
        <f>'Option source'!F578</f>
        <v>2.5</v>
      </c>
      <c r="Q194" s="1" t="s">
        <v>88</v>
      </c>
      <c r="R194" s="1">
        <v>573</v>
      </c>
    </row>
    <row r="195" spans="1:18" ht="21" customHeight="1">
      <c r="A195" s="8">
        <v>46276</v>
      </c>
      <c r="B195" s="1" t="s">
        <v>129</v>
      </c>
      <c r="C195" s="39" t="s">
        <v>87</v>
      </c>
      <c r="D195" s="7">
        <v>4800</v>
      </c>
      <c r="E195" s="7">
        <f>'Option source'!B77</f>
        <v>2425.7399999999998</v>
      </c>
      <c r="F195" s="7">
        <v>7000</v>
      </c>
      <c r="G195" s="14">
        <v>35</v>
      </c>
      <c r="H195" s="7">
        <f t="shared" si="6"/>
        <v>2200</v>
      </c>
      <c r="I195" s="7">
        <f t="shared" si="7"/>
        <v>225.73999999999978</v>
      </c>
      <c r="J195" s="9">
        <f t="shared" si="8"/>
        <v>0.68571428571428572</v>
      </c>
      <c r="K195" s="9"/>
      <c r="L195" s="13"/>
      <c r="M195" s="13"/>
      <c r="N195" s="7">
        <f>'Option source'!C77</f>
        <v>0</v>
      </c>
      <c r="O195" s="7">
        <f>'Option source'!G77</f>
        <v>2350.09</v>
      </c>
      <c r="P195" s="7">
        <f>'Option source'!F77</f>
        <v>2428.08</v>
      </c>
      <c r="Q195" s="1" t="s">
        <v>25</v>
      </c>
      <c r="R195" s="1">
        <v>72</v>
      </c>
    </row>
    <row r="196" spans="1:18" ht="21" customHeight="1">
      <c r="A196" s="8">
        <v>46276</v>
      </c>
      <c r="B196" s="1" t="s">
        <v>138</v>
      </c>
      <c r="C196" s="39" t="s">
        <v>87</v>
      </c>
      <c r="D196" s="7">
        <v>9200</v>
      </c>
      <c r="E196" s="7">
        <f>'Option source'!B445</f>
        <v>13.01</v>
      </c>
      <c r="F196" s="7">
        <v>7000</v>
      </c>
      <c r="G196" s="14">
        <v>35</v>
      </c>
      <c r="H196" s="7">
        <f t="shared" si="6"/>
        <v>0</v>
      </c>
      <c r="I196" s="7">
        <f t="shared" si="7"/>
        <v>13.01</v>
      </c>
      <c r="J196" s="9">
        <f t="shared" si="8"/>
        <v>1.3142857142857143</v>
      </c>
      <c r="K196" s="9">
        <v>0.42618234063752281</v>
      </c>
      <c r="L196" s="13">
        <v>3.6979021103042402E-2</v>
      </c>
      <c r="M196" s="13">
        <v>1.7521170141353857</v>
      </c>
      <c r="N196" s="7">
        <f>'Option source'!C445</f>
        <v>3273355</v>
      </c>
      <c r="O196" s="7">
        <f>'Option source'!G445</f>
        <v>11.67</v>
      </c>
      <c r="P196" s="7">
        <f>'Option source'!F445</f>
        <v>17</v>
      </c>
      <c r="Q196" s="1" t="s">
        <v>88</v>
      </c>
      <c r="R196" s="1">
        <v>440</v>
      </c>
    </row>
    <row r="197" spans="1:18" ht="21" customHeight="1">
      <c r="A197" s="8">
        <v>46276</v>
      </c>
      <c r="B197" s="1" t="s">
        <v>131</v>
      </c>
      <c r="C197" s="39" t="s">
        <v>90</v>
      </c>
      <c r="D197" s="7">
        <v>4800</v>
      </c>
      <c r="E197" s="7">
        <f>'Option source'!B559</f>
        <v>1.24</v>
      </c>
      <c r="F197" s="7">
        <v>7000</v>
      </c>
      <c r="G197" s="14">
        <v>35</v>
      </c>
      <c r="H197" s="7">
        <f t="shared" si="6"/>
        <v>0</v>
      </c>
      <c r="I197" s="7">
        <f t="shared" si="7"/>
        <v>1.24</v>
      </c>
      <c r="J197" s="9">
        <f t="shared" si="8"/>
        <v>0.68571428571428572</v>
      </c>
      <c r="K197" s="9">
        <v>0.50163783567180609</v>
      </c>
      <c r="L197" s="13">
        <v>-3.5542470503802104E-3</v>
      </c>
      <c r="M197" s="13">
        <v>0.23098745537114979</v>
      </c>
      <c r="N197" s="7">
        <f>'Option source'!C559</f>
        <v>116816.3</v>
      </c>
      <c r="O197" s="7">
        <f>'Option source'!G559</f>
        <v>1.01</v>
      </c>
      <c r="P197" s="7">
        <f>'Option source'!F559</f>
        <v>1.89</v>
      </c>
      <c r="Q197" s="1" t="s">
        <v>88</v>
      </c>
      <c r="R197" s="1">
        <v>554</v>
      </c>
    </row>
    <row r="198" spans="1:18" ht="21" customHeight="1">
      <c r="A198" s="8">
        <v>46276</v>
      </c>
      <c r="B198" s="1" t="s">
        <v>139</v>
      </c>
      <c r="C198" s="39" t="s">
        <v>90</v>
      </c>
      <c r="D198" s="7">
        <v>9200</v>
      </c>
      <c r="E198" s="7">
        <f>'Option source'!B923</f>
        <v>1895</v>
      </c>
      <c r="F198" s="7">
        <v>7000</v>
      </c>
      <c r="G198" s="14">
        <v>35</v>
      </c>
      <c r="H198" s="7">
        <f t="shared" si="6"/>
        <v>2200</v>
      </c>
      <c r="I198" s="7">
        <f t="shared" si="7"/>
        <v>-305</v>
      </c>
      <c r="J198" s="9">
        <f t="shared" si="8"/>
        <v>1.3142857142857143</v>
      </c>
      <c r="K198" s="9"/>
      <c r="L198" s="13"/>
      <c r="M198" s="13"/>
      <c r="N198" s="7">
        <f>'Option source'!C923</f>
        <v>189500</v>
      </c>
      <c r="O198" s="7">
        <f>'Option source'!G923</f>
        <v>0</v>
      </c>
      <c r="P198" s="7">
        <f>'Option source'!F923</f>
        <v>0</v>
      </c>
      <c r="Q198" s="1" t="s">
        <v>113</v>
      </c>
      <c r="R198" s="1">
        <v>918</v>
      </c>
    </row>
    <row r="199" spans="1:18" ht="21" customHeight="1">
      <c r="A199" s="8">
        <v>46276</v>
      </c>
      <c r="B199" s="1" t="s">
        <v>134</v>
      </c>
      <c r="C199" s="39" t="s">
        <v>87</v>
      </c>
      <c r="D199" s="7">
        <v>4600</v>
      </c>
      <c r="E199" s="7">
        <f>'Option source'!B60</f>
        <v>2650</v>
      </c>
      <c r="F199" s="7">
        <v>7000</v>
      </c>
      <c r="G199" s="14">
        <v>35</v>
      </c>
      <c r="H199" s="7">
        <f t="shared" ref="H199:H262" si="9">MAX(IF(C199="call",F199-D199,D199-F199),0)</f>
        <v>2400</v>
      </c>
      <c r="I199" s="7">
        <f t="shared" ref="I199:I262" si="10">E199-H199</f>
        <v>250</v>
      </c>
      <c r="J199" s="9">
        <f t="shared" ref="J199:J262" si="11">D199/F199</f>
        <v>0.65714285714285714</v>
      </c>
      <c r="K199" s="9"/>
      <c r="L199" s="13"/>
      <c r="M199" s="13"/>
      <c r="N199" s="7">
        <f>'Option source'!C60</f>
        <v>0</v>
      </c>
      <c r="O199" s="7">
        <f>'Option source'!G60</f>
        <v>2545.3000000000002</v>
      </c>
      <c r="P199" s="7">
        <f>'Option source'!F60</f>
        <v>2650</v>
      </c>
      <c r="Q199" s="1" t="s">
        <v>25</v>
      </c>
      <c r="R199" s="1">
        <v>55</v>
      </c>
    </row>
    <row r="200" spans="1:18" ht="21" customHeight="1">
      <c r="A200" s="8">
        <v>46276</v>
      </c>
      <c r="B200" s="1" t="s">
        <v>135</v>
      </c>
      <c r="C200" s="39" t="s">
        <v>90</v>
      </c>
      <c r="D200" s="7">
        <v>4600</v>
      </c>
      <c r="E200" s="7">
        <f>'Option source'!B540</f>
        <v>1.1299999999999999</v>
      </c>
      <c r="F200" s="7">
        <v>7000</v>
      </c>
      <c r="G200" s="14">
        <v>35</v>
      </c>
      <c r="H200" s="7">
        <f t="shared" si="9"/>
        <v>0</v>
      </c>
      <c r="I200" s="7">
        <f t="shared" si="10"/>
        <v>1.1299999999999999</v>
      </c>
      <c r="J200" s="9">
        <f t="shared" si="11"/>
        <v>0.65714285714285714</v>
      </c>
      <c r="K200" s="9">
        <v>0.54393655345157199</v>
      </c>
      <c r="L200" s="13">
        <v>-3.001081635828573E-3</v>
      </c>
      <c r="M200" s="13">
        <v>0.19838525235535154</v>
      </c>
      <c r="N200" s="7">
        <f>'Option source'!C540</f>
        <v>78715.199999999997</v>
      </c>
      <c r="O200" s="7">
        <f>'Option source'!G540</f>
        <v>0.68</v>
      </c>
      <c r="P200" s="7">
        <f>'Option source'!F540</f>
        <v>1.3</v>
      </c>
      <c r="Q200" s="1" t="s">
        <v>88</v>
      </c>
      <c r="R200" s="1">
        <v>535</v>
      </c>
    </row>
    <row r="201" spans="1:18" ht="21" customHeight="1">
      <c r="A201" s="8">
        <v>46276</v>
      </c>
      <c r="B201" s="1" t="s">
        <v>142</v>
      </c>
      <c r="C201" s="39" t="s">
        <v>87</v>
      </c>
      <c r="D201" s="7">
        <v>9500</v>
      </c>
      <c r="E201" s="7">
        <f>'Option source'!B464</f>
        <v>7.92</v>
      </c>
      <c r="F201" s="7">
        <v>7000</v>
      </c>
      <c r="G201" s="14">
        <v>35</v>
      </c>
      <c r="H201" s="7">
        <f t="shared" si="9"/>
        <v>0</v>
      </c>
      <c r="I201" s="7">
        <f t="shared" si="10"/>
        <v>7.92</v>
      </c>
      <c r="J201" s="9">
        <f t="shared" si="11"/>
        <v>1.3571428571428572</v>
      </c>
      <c r="K201" s="9">
        <v>0.43481861489471763</v>
      </c>
      <c r="L201" s="13">
        <v>2.3458456404594413E-2</v>
      </c>
      <c r="M201" s="13">
        <v>1.2009335652254767</v>
      </c>
      <c r="N201" s="7">
        <f>'Option source'!C464</f>
        <v>2699418.75</v>
      </c>
      <c r="O201" s="7">
        <f>'Option source'!G464</f>
        <v>6.5</v>
      </c>
      <c r="P201" s="7">
        <f>'Option source'!F464</f>
        <v>10.55</v>
      </c>
      <c r="Q201" s="1" t="s">
        <v>88</v>
      </c>
      <c r="R201" s="1">
        <v>459</v>
      </c>
    </row>
    <row r="202" spans="1:18" ht="21" customHeight="1">
      <c r="A202" s="8">
        <v>46276</v>
      </c>
      <c r="B202" s="1" t="s">
        <v>136</v>
      </c>
      <c r="C202" s="39" t="s">
        <v>87</v>
      </c>
      <c r="D202" s="7">
        <v>4400</v>
      </c>
      <c r="E202" s="7">
        <f>'Option source'!B41</f>
        <v>2799.47</v>
      </c>
      <c r="F202" s="7">
        <v>7000</v>
      </c>
      <c r="G202" s="14">
        <v>35</v>
      </c>
      <c r="H202" s="7">
        <f t="shared" si="9"/>
        <v>2600</v>
      </c>
      <c r="I202" s="7">
        <f t="shared" si="10"/>
        <v>199.4699999999998</v>
      </c>
      <c r="J202" s="9">
        <f t="shared" si="11"/>
        <v>0.62857142857142856</v>
      </c>
      <c r="K202" s="9"/>
      <c r="L202" s="13"/>
      <c r="M202" s="13"/>
      <c r="N202" s="7">
        <f>'Option source'!C41</f>
        <v>559893.38</v>
      </c>
      <c r="O202" s="7">
        <f>'Option source'!G41</f>
        <v>0</v>
      </c>
      <c r="P202" s="7">
        <f>'Option source'!F41</f>
        <v>0</v>
      </c>
      <c r="Q202" s="1" t="s">
        <v>109</v>
      </c>
      <c r="R202" s="1">
        <v>36</v>
      </c>
    </row>
    <row r="203" spans="1:18" ht="21" customHeight="1">
      <c r="A203" s="8">
        <v>46276</v>
      </c>
      <c r="B203" s="1" t="s">
        <v>137</v>
      </c>
      <c r="C203" s="39" t="s">
        <v>90</v>
      </c>
      <c r="D203" s="7">
        <v>4400</v>
      </c>
      <c r="E203" s="7">
        <f>'Option source'!B521</f>
        <v>0.89</v>
      </c>
      <c r="F203" s="7">
        <v>7000</v>
      </c>
      <c r="G203" s="14">
        <v>35</v>
      </c>
      <c r="H203" s="7">
        <f t="shared" si="9"/>
        <v>0</v>
      </c>
      <c r="I203" s="7">
        <f t="shared" si="10"/>
        <v>0.89</v>
      </c>
      <c r="J203" s="9">
        <f t="shared" si="11"/>
        <v>0.62857142857142856</v>
      </c>
      <c r="K203" s="9">
        <v>0.57988620046113093</v>
      </c>
      <c r="L203" s="13">
        <v>-2.2865665703397653E-3</v>
      </c>
      <c r="M203" s="13">
        <v>0.15517570706351533</v>
      </c>
      <c r="N203" s="7">
        <f>'Option source'!C521</f>
        <v>64655.6</v>
      </c>
      <c r="O203" s="7">
        <f>'Option source'!G521</f>
        <v>0.63</v>
      </c>
      <c r="P203" s="7">
        <f>'Option source'!F521</f>
        <v>1.4</v>
      </c>
      <c r="Q203" s="1" t="s">
        <v>88</v>
      </c>
      <c r="R203" s="1">
        <v>516</v>
      </c>
    </row>
    <row r="204" spans="1:18" ht="21" customHeight="1">
      <c r="A204" s="8">
        <v>46276</v>
      </c>
      <c r="B204" s="1" t="s">
        <v>140</v>
      </c>
      <c r="C204" s="39" t="s">
        <v>87</v>
      </c>
      <c r="D204" s="7">
        <v>4200</v>
      </c>
      <c r="E204" s="7">
        <f>'Option source'!B22</f>
        <v>2956.52</v>
      </c>
      <c r="F204" s="7">
        <v>7000</v>
      </c>
      <c r="G204" s="14">
        <v>35</v>
      </c>
      <c r="H204" s="7">
        <f t="shared" si="9"/>
        <v>2800</v>
      </c>
      <c r="I204" s="7">
        <f t="shared" si="10"/>
        <v>156.51999999999998</v>
      </c>
      <c r="J204" s="9">
        <f t="shared" si="11"/>
        <v>0.6</v>
      </c>
      <c r="K204" s="9">
        <v>1.0661577344641229</v>
      </c>
      <c r="L204" s="13">
        <v>0.96402775768370608</v>
      </c>
      <c r="M204" s="13">
        <v>1.7129846882634623</v>
      </c>
      <c r="N204" s="7">
        <f>'Option source'!C22</f>
        <v>2068912</v>
      </c>
      <c r="O204" s="7">
        <f>'Option source'!G22</f>
        <v>2950</v>
      </c>
      <c r="P204" s="7">
        <f>'Option source'!F22</f>
        <v>2956.52</v>
      </c>
      <c r="Q204" s="1" t="s">
        <v>88</v>
      </c>
      <c r="R204" s="1">
        <v>17</v>
      </c>
    </row>
    <row r="205" spans="1:18" ht="21" customHeight="1">
      <c r="A205" s="8">
        <v>46276</v>
      </c>
      <c r="B205" s="1" t="s">
        <v>141</v>
      </c>
      <c r="C205" s="39" t="s">
        <v>90</v>
      </c>
      <c r="D205" s="7">
        <v>4200</v>
      </c>
      <c r="E205" s="7">
        <f>'Option source'!B502</f>
        <v>0.59</v>
      </c>
      <c r="F205" s="7">
        <v>7000</v>
      </c>
      <c r="G205" s="14">
        <v>35</v>
      </c>
      <c r="H205" s="7">
        <f t="shared" si="9"/>
        <v>0</v>
      </c>
      <c r="I205" s="7">
        <f t="shared" si="10"/>
        <v>0.59</v>
      </c>
      <c r="J205" s="9">
        <f t="shared" si="11"/>
        <v>0.6</v>
      </c>
      <c r="K205" s="9">
        <v>0.60678749338554561</v>
      </c>
      <c r="L205" s="13">
        <v>-1.5101310913281374E-3</v>
      </c>
      <c r="M205" s="13">
        <v>0.1064253330646564</v>
      </c>
      <c r="N205" s="7">
        <f>'Option source'!C502</f>
        <v>200943.59</v>
      </c>
      <c r="O205" s="7">
        <f>'Option source'!G502</f>
        <v>0.4</v>
      </c>
      <c r="P205" s="7">
        <f>'Option source'!F502</f>
        <v>0.95</v>
      </c>
      <c r="Q205" s="1" t="s">
        <v>88</v>
      </c>
      <c r="R205" s="1">
        <v>497</v>
      </c>
    </row>
    <row r="206" spans="1:18" ht="21" customHeight="1">
      <c r="A206" s="8">
        <v>46276</v>
      </c>
      <c r="B206" s="1" t="s">
        <v>143</v>
      </c>
      <c r="C206" s="39" t="s">
        <v>87</v>
      </c>
      <c r="D206" s="7">
        <v>9900</v>
      </c>
      <c r="E206" s="7">
        <f>'Option source'!B483</f>
        <v>4.41</v>
      </c>
      <c r="F206" s="7">
        <v>7000</v>
      </c>
      <c r="G206" s="14">
        <v>35</v>
      </c>
      <c r="H206" s="7">
        <f t="shared" si="9"/>
        <v>0</v>
      </c>
      <c r="I206" s="7">
        <f t="shared" si="10"/>
        <v>4.41</v>
      </c>
      <c r="J206" s="9">
        <f t="shared" si="11"/>
        <v>1.4142857142857144</v>
      </c>
      <c r="K206" s="9">
        <v>0.44991223260640245</v>
      </c>
      <c r="L206" s="13">
        <v>1.3489493040706384E-2</v>
      </c>
      <c r="M206" s="13">
        <v>0.74916532908513644</v>
      </c>
      <c r="N206" s="7">
        <f>'Option source'!C483</f>
        <v>2015890.88</v>
      </c>
      <c r="O206" s="7">
        <f>'Option source'!G483</f>
        <v>3.37</v>
      </c>
      <c r="P206" s="7">
        <f>'Option source'!F483</f>
        <v>6</v>
      </c>
      <c r="Q206" s="1" t="s">
        <v>88</v>
      </c>
      <c r="R206" s="1">
        <v>478</v>
      </c>
    </row>
    <row r="207" spans="1:18" ht="21" customHeight="1">
      <c r="A207" s="8">
        <v>46275</v>
      </c>
      <c r="B207" s="1" t="s">
        <v>97</v>
      </c>
      <c r="C207" s="39" t="s">
        <v>87</v>
      </c>
      <c r="D207" s="7">
        <v>7200</v>
      </c>
      <c r="E207" s="7">
        <f>'Option source'!B292</f>
        <v>423.4</v>
      </c>
      <c r="F207" s="7">
        <v>7145</v>
      </c>
      <c r="G207" s="14">
        <v>36</v>
      </c>
      <c r="H207" s="7">
        <f t="shared" si="9"/>
        <v>0</v>
      </c>
      <c r="I207" s="7">
        <f t="shared" si="10"/>
        <v>423.4</v>
      </c>
      <c r="J207" s="9">
        <f t="shared" si="11"/>
        <v>1.0076976906927921</v>
      </c>
      <c r="K207" s="9">
        <v>0.38460584725382674</v>
      </c>
      <c r="L207" s="13">
        <v>0.59556214159590648</v>
      </c>
      <c r="M207" s="13">
        <v>8.6938684240216713</v>
      </c>
      <c r="N207" s="7">
        <f>'Option source'!C292</f>
        <v>441164896</v>
      </c>
      <c r="O207" s="7">
        <f>'Option source'!G292</f>
        <v>376</v>
      </c>
      <c r="P207" s="7">
        <f>'Option source'!F292</f>
        <v>520</v>
      </c>
      <c r="Q207" s="1" t="s">
        <v>88</v>
      </c>
      <c r="R207" s="1">
        <v>287</v>
      </c>
    </row>
    <row r="208" spans="1:18" ht="21" customHeight="1">
      <c r="A208" s="8">
        <v>46275</v>
      </c>
      <c r="B208" s="1" t="s">
        <v>98</v>
      </c>
      <c r="C208" s="39" t="s">
        <v>90</v>
      </c>
      <c r="D208" s="7">
        <v>7200</v>
      </c>
      <c r="E208" s="7">
        <f>'Option source'!B786</f>
        <v>344.11</v>
      </c>
      <c r="F208" s="7">
        <v>7145</v>
      </c>
      <c r="G208" s="14">
        <v>36</v>
      </c>
      <c r="H208" s="7">
        <f t="shared" si="9"/>
        <v>55</v>
      </c>
      <c r="I208" s="7">
        <f t="shared" si="10"/>
        <v>289.11</v>
      </c>
      <c r="J208" s="9">
        <f t="shared" si="11"/>
        <v>1.0076976906927921</v>
      </c>
      <c r="K208" s="9">
        <v>0.44467590041952987</v>
      </c>
      <c r="L208" s="13">
        <v>-0.41029225358532617</v>
      </c>
      <c r="M208" s="13">
        <v>8.7246519212411684</v>
      </c>
      <c r="N208" s="7">
        <f>'Option source'!C786</f>
        <v>54197528</v>
      </c>
      <c r="O208" s="7">
        <f>'Option source'!G786</f>
        <v>301</v>
      </c>
      <c r="P208" s="7">
        <f>'Option source'!F786</f>
        <v>409.99</v>
      </c>
      <c r="Q208" s="1" t="s">
        <v>88</v>
      </c>
      <c r="R208" s="1">
        <v>781</v>
      </c>
    </row>
    <row r="209" spans="1:18" ht="21" customHeight="1">
      <c r="A209" s="8">
        <v>46275</v>
      </c>
      <c r="B209" s="1" t="s">
        <v>93</v>
      </c>
      <c r="C209" s="39" t="s">
        <v>87</v>
      </c>
      <c r="D209" s="7">
        <v>7000</v>
      </c>
      <c r="E209" s="7">
        <f>'Option source'!B273</f>
        <v>523.63</v>
      </c>
      <c r="F209" s="7">
        <v>7145</v>
      </c>
      <c r="G209" s="14">
        <v>36</v>
      </c>
      <c r="H209" s="7">
        <f t="shared" si="9"/>
        <v>145</v>
      </c>
      <c r="I209" s="7">
        <f t="shared" si="10"/>
        <v>378.63</v>
      </c>
      <c r="J209" s="9">
        <f t="shared" si="11"/>
        <v>0.97970608817354798</v>
      </c>
      <c r="K209" s="9">
        <v>0.36574869923644554</v>
      </c>
      <c r="L209" s="13">
        <v>0.68917900415608835</v>
      </c>
      <c r="M209" s="13">
        <v>7.9255119633580229</v>
      </c>
      <c r="N209" s="7">
        <f>'Option source'!C273</f>
        <v>306754368</v>
      </c>
      <c r="O209" s="7">
        <f>'Option source'!G273</f>
        <v>467.75</v>
      </c>
      <c r="P209" s="7">
        <f>'Option source'!F273</f>
        <v>639</v>
      </c>
      <c r="Q209" s="1" t="s">
        <v>88</v>
      </c>
      <c r="R209" s="1">
        <v>268</v>
      </c>
    </row>
    <row r="210" spans="1:18" ht="21" customHeight="1">
      <c r="A210" s="8">
        <v>46275</v>
      </c>
      <c r="B210" s="1" t="s">
        <v>94</v>
      </c>
      <c r="C210" s="39" t="s">
        <v>90</v>
      </c>
      <c r="D210" s="7">
        <v>7000</v>
      </c>
      <c r="E210" s="7">
        <f>'Option source'!B767</f>
        <v>250.22</v>
      </c>
      <c r="F210" s="7">
        <v>7145</v>
      </c>
      <c r="G210" s="14">
        <v>36</v>
      </c>
      <c r="H210" s="7">
        <f t="shared" si="9"/>
        <v>0</v>
      </c>
      <c r="I210" s="7">
        <f t="shared" si="10"/>
        <v>250.22</v>
      </c>
      <c r="J210" s="9">
        <f t="shared" si="11"/>
        <v>0.97970608817354798</v>
      </c>
      <c r="K210" s="9">
        <v>0.44096168936355884</v>
      </c>
      <c r="L210" s="13">
        <v>-0.33325140278778997</v>
      </c>
      <c r="M210" s="13">
        <v>8.1580900071373339</v>
      </c>
      <c r="N210" s="7">
        <f>'Option source'!C767</f>
        <v>165734816</v>
      </c>
      <c r="O210" s="7">
        <f>'Option source'!G767</f>
        <v>211.08</v>
      </c>
      <c r="P210" s="7">
        <f>'Option source'!F767</f>
        <v>320</v>
      </c>
      <c r="Q210" s="1" t="s">
        <v>88</v>
      </c>
      <c r="R210" s="1">
        <v>762</v>
      </c>
    </row>
    <row r="211" spans="1:18" ht="21" customHeight="1">
      <c r="A211" s="8">
        <v>46275</v>
      </c>
      <c r="B211" s="1" t="s">
        <v>102</v>
      </c>
      <c r="C211" s="39" t="s">
        <v>87</v>
      </c>
      <c r="D211" s="7">
        <v>7400</v>
      </c>
      <c r="E211" s="7">
        <f>'Option source'!B311</f>
        <v>328.35</v>
      </c>
      <c r="F211" s="7">
        <v>7145</v>
      </c>
      <c r="G211" s="14">
        <v>36</v>
      </c>
      <c r="H211" s="7">
        <f t="shared" si="9"/>
        <v>0</v>
      </c>
      <c r="I211" s="7">
        <f t="shared" si="10"/>
        <v>328.35</v>
      </c>
      <c r="J211" s="9">
        <f t="shared" si="11"/>
        <v>1.0356892932120363</v>
      </c>
      <c r="K211" s="9">
        <v>0.38749643489371072</v>
      </c>
      <c r="L211" s="13">
        <v>0.50631581472031406</v>
      </c>
      <c r="M211" s="13">
        <v>8.9508172102682781</v>
      </c>
      <c r="N211" s="7">
        <f>'Option source'!C311</f>
        <v>352982912</v>
      </c>
      <c r="O211" s="7">
        <f>'Option source'!G311</f>
        <v>290</v>
      </c>
      <c r="P211" s="7">
        <f>'Option source'!F311</f>
        <v>410</v>
      </c>
      <c r="Q211" s="1" t="s">
        <v>88</v>
      </c>
      <c r="R211" s="1">
        <v>306</v>
      </c>
    </row>
    <row r="212" spans="1:18" ht="21" customHeight="1">
      <c r="A212" s="8">
        <v>46275</v>
      </c>
      <c r="B212" s="1" t="s">
        <v>103</v>
      </c>
      <c r="C212" s="39" t="s">
        <v>90</v>
      </c>
      <c r="D212" s="7">
        <v>7400</v>
      </c>
      <c r="E212" s="7">
        <f>'Option source'!B805</f>
        <v>451.44</v>
      </c>
      <c r="F212" s="7">
        <v>7145</v>
      </c>
      <c r="G212" s="14">
        <v>36</v>
      </c>
      <c r="H212" s="7">
        <f t="shared" si="9"/>
        <v>255</v>
      </c>
      <c r="I212" s="7">
        <f t="shared" si="10"/>
        <v>196.44</v>
      </c>
      <c r="J212" s="9">
        <f t="shared" si="11"/>
        <v>1.0356892932120363</v>
      </c>
      <c r="K212" s="9">
        <v>0.44386283341622212</v>
      </c>
      <c r="L212" s="13">
        <v>-0.48787416176673171</v>
      </c>
      <c r="M212" s="13">
        <v>8.9478035989489566</v>
      </c>
      <c r="N212" s="7">
        <f>'Option source'!C805</f>
        <v>67544864</v>
      </c>
      <c r="O212" s="7">
        <f>'Option source'!G805</f>
        <v>400</v>
      </c>
      <c r="P212" s="7">
        <f>'Option source'!F805</f>
        <v>483.86</v>
      </c>
      <c r="Q212" s="1" t="s">
        <v>88</v>
      </c>
      <c r="R212" s="1">
        <v>800</v>
      </c>
    </row>
    <row r="213" spans="1:18" ht="21" customHeight="1">
      <c r="A213" s="8">
        <v>46275</v>
      </c>
      <c r="B213" s="1" t="s">
        <v>86</v>
      </c>
      <c r="C213" s="39" t="s">
        <v>87</v>
      </c>
      <c r="D213" s="7">
        <v>6800</v>
      </c>
      <c r="E213" s="7">
        <f>'Option source'!B254</f>
        <v>648.79</v>
      </c>
      <c r="F213" s="7">
        <v>7145</v>
      </c>
      <c r="G213" s="14">
        <v>36</v>
      </c>
      <c r="H213" s="7">
        <f t="shared" si="9"/>
        <v>345</v>
      </c>
      <c r="I213" s="7">
        <f t="shared" si="10"/>
        <v>303.78999999999996</v>
      </c>
      <c r="J213" s="9">
        <f t="shared" si="11"/>
        <v>0.95171448565430372</v>
      </c>
      <c r="K213" s="9">
        <v>0.35190308495038508</v>
      </c>
      <c r="L213" s="13">
        <v>0.77958709855822772</v>
      </c>
      <c r="M213" s="13">
        <v>6.6512463222507083</v>
      </c>
      <c r="N213" s="7">
        <f>'Option source'!C254</f>
        <v>107303256</v>
      </c>
      <c r="O213" s="7">
        <f>'Option source'!G254</f>
        <v>593.36</v>
      </c>
      <c r="P213" s="7">
        <f>'Option source'!F254</f>
        <v>760</v>
      </c>
      <c r="Q213" s="1" t="s">
        <v>88</v>
      </c>
      <c r="R213" s="1">
        <v>249</v>
      </c>
    </row>
    <row r="214" spans="1:18" ht="21" customHeight="1">
      <c r="A214" s="8">
        <v>46275</v>
      </c>
      <c r="B214" s="1" t="s">
        <v>89</v>
      </c>
      <c r="C214" s="39" t="s">
        <v>90</v>
      </c>
      <c r="D214" s="7">
        <v>6800</v>
      </c>
      <c r="E214" s="7">
        <f>'Option source'!B748</f>
        <v>180.26</v>
      </c>
      <c r="F214" s="7">
        <v>7145</v>
      </c>
      <c r="G214" s="14">
        <v>36</v>
      </c>
      <c r="H214" s="7">
        <f t="shared" si="9"/>
        <v>0</v>
      </c>
      <c r="I214" s="7">
        <f t="shared" si="10"/>
        <v>180.26</v>
      </c>
      <c r="J214" s="9">
        <f t="shared" si="11"/>
        <v>0.95171448565430372</v>
      </c>
      <c r="K214" s="9">
        <v>0.44388046774100587</v>
      </c>
      <c r="L214" s="13">
        <v>-0.26207099642880216</v>
      </c>
      <c r="M214" s="13">
        <v>7.308239673479715</v>
      </c>
      <c r="N214" s="7">
        <f>'Option source'!C748</f>
        <v>181138896</v>
      </c>
      <c r="O214" s="7">
        <f>'Option source'!G748</f>
        <v>148</v>
      </c>
      <c r="P214" s="7">
        <f>'Option source'!F748</f>
        <v>224</v>
      </c>
      <c r="Q214" s="1" t="s">
        <v>88</v>
      </c>
      <c r="R214" s="1">
        <v>743</v>
      </c>
    </row>
    <row r="215" spans="1:18" ht="21" customHeight="1">
      <c r="A215" s="8">
        <v>46275</v>
      </c>
      <c r="B215" s="1" t="s">
        <v>106</v>
      </c>
      <c r="C215" s="39" t="s">
        <v>87</v>
      </c>
      <c r="D215" s="7">
        <v>7600</v>
      </c>
      <c r="E215" s="7">
        <f>'Option source'!B330</f>
        <v>254.8</v>
      </c>
      <c r="F215" s="7">
        <v>7145</v>
      </c>
      <c r="G215" s="14">
        <v>36</v>
      </c>
      <c r="H215" s="7">
        <f t="shared" si="9"/>
        <v>0</v>
      </c>
      <c r="I215" s="7">
        <f t="shared" si="10"/>
        <v>254.8</v>
      </c>
      <c r="J215" s="9">
        <f t="shared" si="11"/>
        <v>1.0636808957312807</v>
      </c>
      <c r="K215" s="9">
        <v>0.39544032617662644</v>
      </c>
      <c r="L215" s="13">
        <v>0.42200997520488648</v>
      </c>
      <c r="M215" s="13">
        <v>8.7803306843014894</v>
      </c>
      <c r="N215" s="7">
        <f>'Option source'!C330</f>
        <v>737521280</v>
      </c>
      <c r="O215" s="7">
        <f>'Option source'!G330</f>
        <v>210</v>
      </c>
      <c r="P215" s="7">
        <f>'Option source'!F330</f>
        <v>325</v>
      </c>
      <c r="Q215" s="1" t="s">
        <v>88</v>
      </c>
      <c r="R215" s="1">
        <v>325</v>
      </c>
    </row>
    <row r="216" spans="1:18" ht="21" customHeight="1">
      <c r="A216" s="8">
        <v>46275</v>
      </c>
      <c r="B216" s="1" t="s">
        <v>107</v>
      </c>
      <c r="C216" s="39" t="s">
        <v>90</v>
      </c>
      <c r="D216" s="7">
        <v>7600</v>
      </c>
      <c r="E216" s="7">
        <f>'Option source'!B824</f>
        <v>569.29</v>
      </c>
      <c r="F216" s="7">
        <v>7145</v>
      </c>
      <c r="G216" s="14">
        <v>36</v>
      </c>
      <c r="H216" s="7">
        <f t="shared" si="9"/>
        <v>455</v>
      </c>
      <c r="I216" s="7">
        <f t="shared" si="10"/>
        <v>114.28999999999996</v>
      </c>
      <c r="J216" s="9">
        <f t="shared" si="11"/>
        <v>1.0636808957312807</v>
      </c>
      <c r="K216" s="9">
        <v>0.43282914056803046</v>
      </c>
      <c r="L216" s="13">
        <v>-0.56691410294447231</v>
      </c>
      <c r="M216" s="13">
        <v>8.8257196889306755</v>
      </c>
      <c r="N216" s="7">
        <f>'Option source'!C824</f>
        <v>3364062.75</v>
      </c>
      <c r="O216" s="7">
        <f>'Option source'!G824</f>
        <v>475.14</v>
      </c>
      <c r="P216" s="7">
        <f>'Option source'!F824</f>
        <v>615</v>
      </c>
      <c r="Q216" s="1" t="s">
        <v>88</v>
      </c>
      <c r="R216" s="1">
        <v>819</v>
      </c>
    </row>
    <row r="217" spans="1:18" ht="21" customHeight="1">
      <c r="A217" s="8">
        <v>46275</v>
      </c>
      <c r="B217" s="1" t="s">
        <v>91</v>
      </c>
      <c r="C217" s="39" t="s">
        <v>87</v>
      </c>
      <c r="D217" s="7">
        <v>6600</v>
      </c>
      <c r="E217" s="7">
        <f>'Option source'!B235</f>
        <v>763.51</v>
      </c>
      <c r="F217" s="7">
        <v>7145</v>
      </c>
      <c r="G217" s="14">
        <v>36</v>
      </c>
      <c r="H217" s="7">
        <f t="shared" si="9"/>
        <v>545</v>
      </c>
      <c r="I217" s="7">
        <f t="shared" si="10"/>
        <v>218.51</v>
      </c>
      <c r="J217" s="9">
        <f t="shared" si="11"/>
        <v>0.92372288313505946</v>
      </c>
      <c r="K217" s="9">
        <v>0.267597424009058</v>
      </c>
      <c r="L217" s="13">
        <v>0.90958644166499503</v>
      </c>
      <c r="M217" s="13">
        <v>3.6563433911222023</v>
      </c>
      <c r="N217" s="7">
        <f>'Option source'!C235</f>
        <v>74862256</v>
      </c>
      <c r="O217" s="7">
        <f>'Option source'!G235</f>
        <v>725</v>
      </c>
      <c r="P217" s="7">
        <f>'Option source'!F235</f>
        <v>910</v>
      </c>
      <c r="Q217" s="1" t="s">
        <v>88</v>
      </c>
      <c r="R217" s="1">
        <v>230</v>
      </c>
    </row>
    <row r="218" spans="1:18" ht="21" customHeight="1">
      <c r="A218" s="8">
        <v>46275</v>
      </c>
      <c r="B218" s="1" t="s">
        <v>92</v>
      </c>
      <c r="C218" s="39" t="s">
        <v>90</v>
      </c>
      <c r="D218" s="7">
        <v>6600</v>
      </c>
      <c r="E218" s="7">
        <f>'Option source'!B729</f>
        <v>119.26</v>
      </c>
      <c r="F218" s="7">
        <v>7145</v>
      </c>
      <c r="G218" s="14">
        <v>36</v>
      </c>
      <c r="H218" s="7">
        <f t="shared" si="9"/>
        <v>0</v>
      </c>
      <c r="I218" s="7">
        <f t="shared" si="10"/>
        <v>119.26</v>
      </c>
      <c r="J218" s="9">
        <f t="shared" si="11"/>
        <v>0.92372288313505946</v>
      </c>
      <c r="K218" s="9">
        <v>0.43808418795519949</v>
      </c>
      <c r="L218" s="13">
        <v>-0.1947424894455998</v>
      </c>
      <c r="M218" s="13">
        <v>6.1817136358606861</v>
      </c>
      <c r="N218" s="7">
        <f>'Option source'!C729</f>
        <v>110005104</v>
      </c>
      <c r="O218" s="7">
        <f>'Option source'!G729</f>
        <v>101</v>
      </c>
      <c r="P218" s="7">
        <f>'Option source'!F729</f>
        <v>163</v>
      </c>
      <c r="Q218" s="1" t="s">
        <v>88</v>
      </c>
      <c r="R218" s="1">
        <v>724</v>
      </c>
    </row>
    <row r="219" spans="1:18" ht="21" customHeight="1">
      <c r="A219" s="8">
        <v>46275</v>
      </c>
      <c r="B219" s="1" t="s">
        <v>111</v>
      </c>
      <c r="C219" s="39" t="s">
        <v>87</v>
      </c>
      <c r="D219" s="7">
        <v>7800</v>
      </c>
      <c r="E219" s="7">
        <f>'Option source'!B349</f>
        <v>197.85</v>
      </c>
      <c r="F219" s="7">
        <v>7145</v>
      </c>
      <c r="G219" s="14">
        <v>36</v>
      </c>
      <c r="H219" s="7">
        <f t="shared" si="9"/>
        <v>0</v>
      </c>
      <c r="I219" s="7">
        <f t="shared" si="10"/>
        <v>197.85</v>
      </c>
      <c r="J219" s="9">
        <f t="shared" si="11"/>
        <v>1.0916724982505248</v>
      </c>
      <c r="K219" s="9">
        <v>0.40531678506249241</v>
      </c>
      <c r="L219" s="13">
        <v>0.34717494798703952</v>
      </c>
      <c r="M219" s="13">
        <v>8.2867830845461228</v>
      </c>
      <c r="N219" s="7">
        <f>'Option source'!C349</f>
        <v>189548272</v>
      </c>
      <c r="O219" s="7">
        <f>'Option source'!G349</f>
        <v>164.99</v>
      </c>
      <c r="P219" s="7">
        <f>'Option source'!F349</f>
        <v>249.89</v>
      </c>
      <c r="Q219" s="1" t="s">
        <v>88</v>
      </c>
      <c r="R219" s="1">
        <v>344</v>
      </c>
    </row>
    <row r="220" spans="1:18" ht="21" customHeight="1">
      <c r="A220" s="8">
        <v>46275</v>
      </c>
      <c r="B220" s="1" t="s">
        <v>112</v>
      </c>
      <c r="C220" s="39" t="s">
        <v>90</v>
      </c>
      <c r="D220" s="7">
        <v>7800</v>
      </c>
      <c r="E220" s="7">
        <f>'Option source'!B843</f>
        <v>720</v>
      </c>
      <c r="F220" s="7">
        <v>7145</v>
      </c>
      <c r="G220" s="14">
        <v>36</v>
      </c>
      <c r="H220" s="7">
        <f t="shared" si="9"/>
        <v>655</v>
      </c>
      <c r="I220" s="7">
        <f t="shared" si="10"/>
        <v>65</v>
      </c>
      <c r="J220" s="9">
        <f t="shared" si="11"/>
        <v>1.0916724982505248</v>
      </c>
      <c r="K220" s="9"/>
      <c r="L220" s="13"/>
      <c r="M220" s="13"/>
      <c r="N220" s="7">
        <f>'Option source'!C843</f>
        <v>144000</v>
      </c>
      <c r="O220" s="7">
        <f>'Option source'!G843</f>
        <v>0</v>
      </c>
      <c r="P220" s="7">
        <f>'Option source'!F843</f>
        <v>0</v>
      </c>
      <c r="Q220" s="1" t="s">
        <v>109</v>
      </c>
      <c r="R220" s="1">
        <v>838</v>
      </c>
    </row>
    <row r="221" spans="1:18" ht="21" customHeight="1">
      <c r="A221" s="8">
        <v>46275</v>
      </c>
      <c r="B221" s="1" t="s">
        <v>95</v>
      </c>
      <c r="C221" s="39" t="s">
        <v>87</v>
      </c>
      <c r="D221" s="7">
        <v>6400</v>
      </c>
      <c r="E221" s="7">
        <f>'Option source'!B216</f>
        <v>945</v>
      </c>
      <c r="F221" s="7">
        <v>7145</v>
      </c>
      <c r="G221" s="14">
        <v>36</v>
      </c>
      <c r="H221" s="7">
        <f t="shared" si="9"/>
        <v>745</v>
      </c>
      <c r="I221" s="7">
        <f t="shared" si="10"/>
        <v>200</v>
      </c>
      <c r="J221" s="9">
        <f t="shared" si="11"/>
        <v>0.89573128061581531</v>
      </c>
      <c r="K221" s="9">
        <v>0.27755926427757954</v>
      </c>
      <c r="L221" s="13">
        <v>0.950145725257593</v>
      </c>
      <c r="M221" s="13">
        <v>2.3088986555143323</v>
      </c>
      <c r="N221" s="7">
        <f>'Option source'!C216</f>
        <v>4725870</v>
      </c>
      <c r="O221" s="7">
        <f>'Option source'!G216</f>
        <v>889.84</v>
      </c>
      <c r="P221" s="7">
        <f>'Option source'!F216</f>
        <v>1031.95</v>
      </c>
      <c r="Q221" s="1" t="s">
        <v>88</v>
      </c>
      <c r="R221" s="1">
        <v>211</v>
      </c>
    </row>
    <row r="222" spans="1:18" ht="21" customHeight="1">
      <c r="A222" s="8">
        <v>46275</v>
      </c>
      <c r="B222" s="1" t="s">
        <v>96</v>
      </c>
      <c r="C222" s="39" t="s">
        <v>90</v>
      </c>
      <c r="D222" s="7">
        <v>6400</v>
      </c>
      <c r="E222" s="7">
        <f>'Option source'!B710</f>
        <v>79.55</v>
      </c>
      <c r="F222" s="7">
        <v>7145</v>
      </c>
      <c r="G222" s="14">
        <v>36</v>
      </c>
      <c r="H222" s="7">
        <f t="shared" si="9"/>
        <v>0</v>
      </c>
      <c r="I222" s="7">
        <f t="shared" si="10"/>
        <v>79.55</v>
      </c>
      <c r="J222" s="9">
        <f t="shared" si="11"/>
        <v>0.89573128061581531</v>
      </c>
      <c r="K222" s="9">
        <v>0.44149844807537086</v>
      </c>
      <c r="L222" s="13">
        <v>-0.14076350732728304</v>
      </c>
      <c r="M222" s="13">
        <v>5.0129188565478104</v>
      </c>
      <c r="N222" s="7">
        <f>'Option source'!C710</f>
        <v>62363836</v>
      </c>
      <c r="O222" s="7">
        <f>'Option source'!G710</f>
        <v>65.39</v>
      </c>
      <c r="P222" s="7">
        <f>'Option source'!F710</f>
        <v>101</v>
      </c>
      <c r="Q222" s="1" t="s">
        <v>88</v>
      </c>
      <c r="R222" s="1">
        <v>705</v>
      </c>
    </row>
    <row r="223" spans="1:18" ht="21" customHeight="1">
      <c r="A223" s="8">
        <v>46275</v>
      </c>
      <c r="B223" s="1" t="s">
        <v>116</v>
      </c>
      <c r="C223" s="39" t="s">
        <v>87</v>
      </c>
      <c r="D223" s="7">
        <v>8000</v>
      </c>
      <c r="E223" s="7">
        <f>'Option source'!B368</f>
        <v>146.4</v>
      </c>
      <c r="F223" s="7">
        <v>7145</v>
      </c>
      <c r="G223" s="14">
        <v>36</v>
      </c>
      <c r="H223" s="7">
        <f t="shared" si="9"/>
        <v>0</v>
      </c>
      <c r="I223" s="7">
        <f t="shared" si="10"/>
        <v>146.4</v>
      </c>
      <c r="J223" s="9">
        <f t="shared" si="11"/>
        <v>1.119664100769769</v>
      </c>
      <c r="K223" s="9">
        <v>0.40607893946355</v>
      </c>
      <c r="L223" s="13">
        <v>0.27742601624131824</v>
      </c>
      <c r="M223" s="13">
        <v>7.5196680605620259</v>
      </c>
      <c r="N223" s="7">
        <f>'Option source'!C368</f>
        <v>427703968</v>
      </c>
      <c r="O223" s="7">
        <f>'Option source'!G368</f>
        <v>120</v>
      </c>
      <c r="P223" s="7">
        <f>'Option source'!F368</f>
        <v>185</v>
      </c>
      <c r="Q223" s="1" t="s">
        <v>88</v>
      </c>
      <c r="R223" s="1">
        <v>363</v>
      </c>
    </row>
    <row r="224" spans="1:18" ht="21" customHeight="1">
      <c r="A224" s="8">
        <v>46275</v>
      </c>
      <c r="B224" s="1" t="s">
        <v>117</v>
      </c>
      <c r="C224" s="39" t="s">
        <v>90</v>
      </c>
      <c r="D224" s="7">
        <v>8000</v>
      </c>
      <c r="E224" s="7">
        <f>'Option source'!B862</f>
        <v>835</v>
      </c>
      <c r="F224" s="7">
        <v>7145</v>
      </c>
      <c r="G224" s="14">
        <v>36</v>
      </c>
      <c r="H224" s="7">
        <f t="shared" si="9"/>
        <v>855</v>
      </c>
      <c r="I224" s="7">
        <f t="shared" si="10"/>
        <v>-20</v>
      </c>
      <c r="J224" s="9">
        <f t="shared" si="11"/>
        <v>1.119664100769769</v>
      </c>
      <c r="K224" s="9"/>
      <c r="L224" s="13"/>
      <c r="M224" s="13"/>
      <c r="N224" s="7">
        <f>'Option source'!C862</f>
        <v>167000</v>
      </c>
      <c r="O224" s="7">
        <f>'Option source'!G862</f>
        <v>850</v>
      </c>
      <c r="P224" s="7">
        <f>'Option source'!F862</f>
        <v>850</v>
      </c>
      <c r="Q224" s="1" t="s">
        <v>113</v>
      </c>
      <c r="R224" s="1">
        <v>857</v>
      </c>
    </row>
    <row r="225" spans="1:18" ht="21" customHeight="1">
      <c r="A225" s="8">
        <v>46275</v>
      </c>
      <c r="B225" s="1" t="s">
        <v>99</v>
      </c>
      <c r="C225" s="39" t="s">
        <v>87</v>
      </c>
      <c r="D225" s="7">
        <v>6200</v>
      </c>
      <c r="E225" s="7">
        <f>'Option source'!B197</f>
        <v>1112.5</v>
      </c>
      <c r="F225" s="7">
        <v>7145</v>
      </c>
      <c r="G225" s="14">
        <v>36</v>
      </c>
      <c r="H225" s="7">
        <f t="shared" si="9"/>
        <v>945</v>
      </c>
      <c r="I225" s="7">
        <f t="shared" si="10"/>
        <v>167.5</v>
      </c>
      <c r="J225" s="9">
        <f t="shared" si="11"/>
        <v>0.86773967809657104</v>
      </c>
      <c r="K225" s="9"/>
      <c r="L225" s="13"/>
      <c r="M225" s="13"/>
      <c r="N225" s="7">
        <f>'Option source'!C197</f>
        <v>2148986.75</v>
      </c>
      <c r="O225" s="7">
        <f>'Option source'!G197</f>
        <v>1036.93</v>
      </c>
      <c r="P225" s="7">
        <f>'Option source'!F197</f>
        <v>1180.0999999999999</v>
      </c>
      <c r="Q225" s="1" t="s">
        <v>100</v>
      </c>
      <c r="R225" s="1">
        <v>192</v>
      </c>
    </row>
    <row r="226" spans="1:18" ht="21" customHeight="1">
      <c r="A226" s="8">
        <v>46275</v>
      </c>
      <c r="B226" s="1" t="s">
        <v>101</v>
      </c>
      <c r="C226" s="39" t="s">
        <v>90</v>
      </c>
      <c r="D226" s="7">
        <v>6200</v>
      </c>
      <c r="E226" s="7">
        <f>'Option source'!B691</f>
        <v>50.26</v>
      </c>
      <c r="F226" s="7">
        <v>7145</v>
      </c>
      <c r="G226" s="14">
        <v>36</v>
      </c>
      <c r="H226" s="7">
        <f t="shared" si="9"/>
        <v>0</v>
      </c>
      <c r="I226" s="7">
        <f t="shared" si="10"/>
        <v>50.26</v>
      </c>
      <c r="J226" s="9">
        <f t="shared" si="11"/>
        <v>0.86773967809657104</v>
      </c>
      <c r="K226" s="9">
        <v>0.44411284833421388</v>
      </c>
      <c r="L226" s="13">
        <v>-9.6971339289705583E-2</v>
      </c>
      <c r="M226" s="13">
        <v>3.8503533753677703</v>
      </c>
      <c r="N226" s="7">
        <f>'Option source'!C691</f>
        <v>22889404</v>
      </c>
      <c r="O226" s="7">
        <f>'Option source'!G691</f>
        <v>40</v>
      </c>
      <c r="P226" s="7">
        <f>'Option source'!F691</f>
        <v>64.47</v>
      </c>
      <c r="Q226" s="1" t="s">
        <v>88</v>
      </c>
      <c r="R226" s="1">
        <v>686</v>
      </c>
    </row>
    <row r="227" spans="1:18" ht="21" customHeight="1">
      <c r="A227" s="8">
        <v>46275</v>
      </c>
      <c r="B227" s="1" t="s">
        <v>104</v>
      </c>
      <c r="C227" s="39" t="s">
        <v>87</v>
      </c>
      <c r="D227" s="7">
        <v>6000</v>
      </c>
      <c r="E227" s="7">
        <f>'Option source'!B178</f>
        <v>1269.8</v>
      </c>
      <c r="F227" s="7">
        <v>7145</v>
      </c>
      <c r="G227" s="14">
        <v>36</v>
      </c>
      <c r="H227" s="7">
        <f t="shared" si="9"/>
        <v>1145</v>
      </c>
      <c r="I227" s="7">
        <f t="shared" si="10"/>
        <v>124.79999999999995</v>
      </c>
      <c r="J227" s="9">
        <f t="shared" si="11"/>
        <v>0.83974807557732678</v>
      </c>
      <c r="K227" s="9"/>
      <c r="L227" s="13"/>
      <c r="M227" s="13"/>
      <c r="N227" s="7">
        <f>'Option source'!C178</f>
        <v>3449371.75</v>
      </c>
      <c r="O227" s="7">
        <f>'Option source'!G178</f>
        <v>1207.2</v>
      </c>
      <c r="P227" s="7">
        <f>'Option source'!F178</f>
        <v>1304.01</v>
      </c>
      <c r="Q227" s="1" t="s">
        <v>100</v>
      </c>
      <c r="R227" s="1">
        <v>173</v>
      </c>
    </row>
    <row r="228" spans="1:18" ht="21" customHeight="1">
      <c r="A228" s="8">
        <v>46275</v>
      </c>
      <c r="B228" s="1" t="s">
        <v>105</v>
      </c>
      <c r="C228" s="39" t="s">
        <v>90</v>
      </c>
      <c r="D228" s="7">
        <v>6000</v>
      </c>
      <c r="E228" s="7">
        <f>'Option source'!B672</f>
        <v>29.33</v>
      </c>
      <c r="F228" s="7">
        <v>7145</v>
      </c>
      <c r="G228" s="14">
        <v>36</v>
      </c>
      <c r="H228" s="7">
        <f t="shared" si="9"/>
        <v>0</v>
      </c>
      <c r="I228" s="7">
        <f t="shared" si="10"/>
        <v>29.33</v>
      </c>
      <c r="J228" s="9">
        <f t="shared" si="11"/>
        <v>0.83974807557732678</v>
      </c>
      <c r="K228" s="9">
        <v>0.44319534260042254</v>
      </c>
      <c r="L228" s="13">
        <v>-6.2148521296609416E-2</v>
      </c>
      <c r="M228" s="13">
        <v>2.7475485965212867</v>
      </c>
      <c r="N228" s="7">
        <f>'Option source'!C672</f>
        <v>20069304</v>
      </c>
      <c r="O228" s="7">
        <f>'Option source'!G672</f>
        <v>23.1</v>
      </c>
      <c r="P228" s="7">
        <f>'Option source'!F672</f>
        <v>38</v>
      </c>
      <c r="Q228" s="1" t="s">
        <v>88</v>
      </c>
      <c r="R228" s="1">
        <v>667</v>
      </c>
    </row>
    <row r="229" spans="1:18" ht="21" customHeight="1">
      <c r="A229" s="8">
        <v>46275</v>
      </c>
      <c r="B229" s="1" t="s">
        <v>121</v>
      </c>
      <c r="C229" s="39" t="s">
        <v>87</v>
      </c>
      <c r="D229" s="7">
        <v>8300</v>
      </c>
      <c r="E229" s="7">
        <f>'Option source'!B387</f>
        <v>92.56</v>
      </c>
      <c r="F229" s="7">
        <v>7145</v>
      </c>
      <c r="G229" s="14">
        <v>36</v>
      </c>
      <c r="H229" s="7">
        <f t="shared" si="9"/>
        <v>0</v>
      </c>
      <c r="I229" s="7">
        <f t="shared" si="10"/>
        <v>92.56</v>
      </c>
      <c r="J229" s="9">
        <f t="shared" si="11"/>
        <v>1.1616515045486353</v>
      </c>
      <c r="K229" s="9">
        <v>0.4108258374126596</v>
      </c>
      <c r="L229" s="13">
        <v>0.19282536458416111</v>
      </c>
      <c r="M229" s="13">
        <v>6.144543820113693</v>
      </c>
      <c r="N229" s="7">
        <f>'Option source'!C387</f>
        <v>119365384</v>
      </c>
      <c r="O229" s="7">
        <f>'Option source'!G387</f>
        <v>76</v>
      </c>
      <c r="P229" s="7">
        <f>'Option source'!F387</f>
        <v>120</v>
      </c>
      <c r="Q229" s="1" t="s">
        <v>88</v>
      </c>
      <c r="R229" s="1">
        <v>382</v>
      </c>
    </row>
    <row r="230" spans="1:18" ht="21" customHeight="1">
      <c r="A230" s="8">
        <v>46275</v>
      </c>
      <c r="B230" s="1" t="s">
        <v>122</v>
      </c>
      <c r="C230" s="39" t="s">
        <v>90</v>
      </c>
      <c r="D230" s="7">
        <v>8300</v>
      </c>
      <c r="E230" s="7">
        <f>'Option source'!B881</f>
        <v>1160</v>
      </c>
      <c r="F230" s="7">
        <v>7145</v>
      </c>
      <c r="G230" s="14">
        <v>36</v>
      </c>
      <c r="H230" s="7">
        <f t="shared" si="9"/>
        <v>1155</v>
      </c>
      <c r="I230" s="7">
        <f t="shared" si="10"/>
        <v>5</v>
      </c>
      <c r="J230" s="9">
        <f t="shared" si="11"/>
        <v>1.1616515045486353</v>
      </c>
      <c r="K230" s="9">
        <v>0.46317113554345885</v>
      </c>
      <c r="L230" s="13">
        <v>-0.77456857084404862</v>
      </c>
      <c r="M230" s="13">
        <v>6.7370981220687245</v>
      </c>
      <c r="N230" s="7">
        <f>'Option source'!C881</f>
        <v>458000</v>
      </c>
      <c r="O230" s="7">
        <f>'Option source'!G881</f>
        <v>1100</v>
      </c>
      <c r="P230" s="7">
        <f>'Option source'!F881</f>
        <v>1160</v>
      </c>
      <c r="Q230" s="1" t="s">
        <v>88</v>
      </c>
      <c r="R230" s="1">
        <v>876</v>
      </c>
    </row>
    <row r="231" spans="1:18" ht="21" customHeight="1">
      <c r="A231" s="8">
        <v>46275</v>
      </c>
      <c r="B231" s="1" t="s">
        <v>108</v>
      </c>
      <c r="C231" s="39" t="s">
        <v>87</v>
      </c>
      <c r="D231" s="7">
        <v>5800</v>
      </c>
      <c r="E231" s="7">
        <f>'Option source'!B159</f>
        <v>1483.43</v>
      </c>
      <c r="F231" s="7">
        <v>7145</v>
      </c>
      <c r="G231" s="14">
        <v>36</v>
      </c>
      <c r="H231" s="7">
        <f t="shared" si="9"/>
        <v>1345</v>
      </c>
      <c r="I231" s="7">
        <f t="shared" si="10"/>
        <v>138.43000000000006</v>
      </c>
      <c r="J231" s="9">
        <f t="shared" si="11"/>
        <v>0.81175647305808263</v>
      </c>
      <c r="K231" s="9"/>
      <c r="L231" s="13"/>
      <c r="M231" s="13"/>
      <c r="N231" s="7">
        <f>'Option source'!C159</f>
        <v>12320064</v>
      </c>
      <c r="O231" s="7">
        <f>'Option source'!G159</f>
        <v>1384</v>
      </c>
      <c r="P231" s="7">
        <f>'Option source'!F159</f>
        <v>1510</v>
      </c>
      <c r="Q231" s="1" t="s">
        <v>100</v>
      </c>
      <c r="R231" s="1">
        <v>154</v>
      </c>
    </row>
    <row r="232" spans="1:18" ht="21" customHeight="1">
      <c r="A232" s="8">
        <v>46275</v>
      </c>
      <c r="B232" s="1" t="s">
        <v>110</v>
      </c>
      <c r="C232" s="39" t="s">
        <v>90</v>
      </c>
      <c r="D232" s="7">
        <v>5800</v>
      </c>
      <c r="E232" s="7">
        <f>'Option source'!B653</f>
        <v>15.97</v>
      </c>
      <c r="F232" s="7">
        <v>7145</v>
      </c>
      <c r="G232" s="14">
        <v>36</v>
      </c>
      <c r="H232" s="7">
        <f t="shared" si="9"/>
        <v>0</v>
      </c>
      <c r="I232" s="7">
        <f t="shared" si="10"/>
        <v>15.97</v>
      </c>
      <c r="J232" s="9">
        <f t="shared" si="11"/>
        <v>0.81175647305808263</v>
      </c>
      <c r="K232" s="9">
        <v>0.44161415007975369</v>
      </c>
      <c r="L232" s="13">
        <v>-3.7014818309696107E-2</v>
      </c>
      <c r="M232" s="13">
        <v>1.8152148095260867</v>
      </c>
      <c r="N232" s="7">
        <f>'Option source'!C653</f>
        <v>7904150.5</v>
      </c>
      <c r="O232" s="7">
        <f>'Option source'!G653</f>
        <v>13</v>
      </c>
      <c r="P232" s="7">
        <f>'Option source'!F653</f>
        <v>21.99</v>
      </c>
      <c r="Q232" s="1" t="s">
        <v>88</v>
      </c>
      <c r="R232" s="1">
        <v>648</v>
      </c>
    </row>
    <row r="233" spans="1:18" ht="21" customHeight="1">
      <c r="A233" s="8">
        <v>46275</v>
      </c>
      <c r="B233" s="1" t="s">
        <v>127</v>
      </c>
      <c r="C233" s="39" t="s">
        <v>87</v>
      </c>
      <c r="D233" s="7">
        <v>8600</v>
      </c>
      <c r="E233" s="7">
        <f>'Option source'!B406</f>
        <v>53.67</v>
      </c>
      <c r="F233" s="7">
        <v>7145</v>
      </c>
      <c r="G233" s="14">
        <v>36</v>
      </c>
      <c r="H233" s="7">
        <f t="shared" si="9"/>
        <v>0</v>
      </c>
      <c r="I233" s="7">
        <f t="shared" si="10"/>
        <v>53.67</v>
      </c>
      <c r="J233" s="9">
        <f t="shared" si="11"/>
        <v>1.2036389083275016</v>
      </c>
      <c r="K233" s="9">
        <v>0.40794669906275904</v>
      </c>
      <c r="L233" s="13">
        <v>0.12472144828156437</v>
      </c>
      <c r="M233" s="13">
        <v>4.6119906912613864</v>
      </c>
      <c r="N233" s="7">
        <f>'Option source'!C406</f>
        <v>113294240</v>
      </c>
      <c r="O233" s="7">
        <f>'Option source'!G406</f>
        <v>45</v>
      </c>
      <c r="P233" s="7">
        <f>'Option source'!F406</f>
        <v>72</v>
      </c>
      <c r="Q233" s="1" t="s">
        <v>88</v>
      </c>
      <c r="R233" s="1">
        <v>401</v>
      </c>
    </row>
    <row r="234" spans="1:18" ht="21" customHeight="1">
      <c r="A234" s="8">
        <v>46275</v>
      </c>
      <c r="B234" s="1" t="s">
        <v>128</v>
      </c>
      <c r="C234" s="39" t="s">
        <v>90</v>
      </c>
      <c r="D234" s="7">
        <v>8600</v>
      </c>
      <c r="E234" s="7">
        <f>'Option source'!B900</f>
        <v>1483.75</v>
      </c>
      <c r="F234" s="7">
        <v>7145</v>
      </c>
      <c r="G234" s="14">
        <v>36</v>
      </c>
      <c r="H234" s="7">
        <f t="shared" si="9"/>
        <v>1455</v>
      </c>
      <c r="I234" s="7">
        <f t="shared" si="10"/>
        <v>28.75</v>
      </c>
      <c r="J234" s="9">
        <f t="shared" si="11"/>
        <v>1.2036389083275016</v>
      </c>
      <c r="K234" s="9">
        <v>0.61002140301721774</v>
      </c>
      <c r="L234" s="13">
        <v>-0.76338727051224275</v>
      </c>
      <c r="M234" s="13">
        <v>6.9216411388458061</v>
      </c>
      <c r="N234" s="7">
        <f>'Option source'!C900</f>
        <v>5957463</v>
      </c>
      <c r="O234" s="7">
        <f>'Option source'!G900</f>
        <v>1357.53</v>
      </c>
      <c r="P234" s="7">
        <f>'Option source'!F900</f>
        <v>1488.24</v>
      </c>
      <c r="Q234" s="1" t="s">
        <v>88</v>
      </c>
      <c r="R234" s="1">
        <v>895</v>
      </c>
    </row>
    <row r="235" spans="1:18" ht="21" customHeight="1">
      <c r="A235" s="8">
        <v>46275</v>
      </c>
      <c r="B235" s="1" t="s">
        <v>114</v>
      </c>
      <c r="C235" s="39" t="s">
        <v>87</v>
      </c>
      <c r="D235" s="7">
        <v>5600</v>
      </c>
      <c r="E235" s="7">
        <f>'Option source'!B149</f>
        <v>1600</v>
      </c>
      <c r="F235" s="7">
        <v>7145</v>
      </c>
      <c r="G235" s="14">
        <v>36</v>
      </c>
      <c r="H235" s="7">
        <f t="shared" si="9"/>
        <v>1545</v>
      </c>
      <c r="I235" s="7">
        <f t="shared" si="10"/>
        <v>55</v>
      </c>
      <c r="J235" s="9">
        <f t="shared" si="11"/>
        <v>0.78376487053883837</v>
      </c>
      <c r="K235" s="9"/>
      <c r="L235" s="13"/>
      <c r="M235" s="13"/>
      <c r="N235" s="7">
        <f>'Option source'!C149</f>
        <v>4385161</v>
      </c>
      <c r="O235" s="7">
        <f>'Option source'!G149</f>
        <v>1575.8</v>
      </c>
      <c r="P235" s="7">
        <f>'Option source'!F149</f>
        <v>1700</v>
      </c>
      <c r="Q235" s="1" t="s">
        <v>100</v>
      </c>
      <c r="R235" s="1">
        <v>144</v>
      </c>
    </row>
    <row r="236" spans="1:18" ht="21" customHeight="1">
      <c r="A236" s="8">
        <v>46275</v>
      </c>
      <c r="B236" s="1" t="s">
        <v>115</v>
      </c>
      <c r="C236" s="39" t="s">
        <v>90</v>
      </c>
      <c r="D236" s="7">
        <v>5600</v>
      </c>
      <c r="E236" s="7">
        <f>'Option source'!B634</f>
        <v>8.4499999999999993</v>
      </c>
      <c r="F236" s="7">
        <v>7145</v>
      </c>
      <c r="G236" s="14">
        <v>36</v>
      </c>
      <c r="H236" s="7">
        <f t="shared" si="9"/>
        <v>0</v>
      </c>
      <c r="I236" s="7">
        <f t="shared" si="10"/>
        <v>8.4499999999999993</v>
      </c>
      <c r="J236" s="9">
        <f t="shared" si="11"/>
        <v>0.78376487053883837</v>
      </c>
      <c r="K236" s="9">
        <v>0.44396719774027199</v>
      </c>
      <c r="L236" s="13">
        <v>-2.1209989116867112E-2</v>
      </c>
      <c r="M236" s="13">
        <v>1.1418915038939479</v>
      </c>
      <c r="N236" s="7">
        <f>'Option source'!C634</f>
        <v>2190676.5</v>
      </c>
      <c r="O236" s="7">
        <f>'Option source'!G634</f>
        <v>6</v>
      </c>
      <c r="P236" s="7">
        <f>'Option source'!F634</f>
        <v>12</v>
      </c>
      <c r="Q236" s="1" t="s">
        <v>88</v>
      </c>
      <c r="R236" s="1">
        <v>629</v>
      </c>
    </row>
    <row r="237" spans="1:18" ht="21" customHeight="1">
      <c r="A237" s="8">
        <v>46275</v>
      </c>
      <c r="B237" s="1" t="s">
        <v>119</v>
      </c>
      <c r="C237" s="39" t="s">
        <v>87</v>
      </c>
      <c r="D237" s="7">
        <v>5400</v>
      </c>
      <c r="E237" s="7">
        <f>'Option source'!B131</f>
        <v>1846.26</v>
      </c>
      <c r="F237" s="7">
        <v>7145</v>
      </c>
      <c r="G237" s="14">
        <v>36</v>
      </c>
      <c r="H237" s="7">
        <f t="shared" si="9"/>
        <v>1745</v>
      </c>
      <c r="I237" s="7">
        <f t="shared" si="10"/>
        <v>101.25999999999999</v>
      </c>
      <c r="J237" s="9">
        <f t="shared" si="11"/>
        <v>0.7557732680195941</v>
      </c>
      <c r="K237" s="9"/>
      <c r="L237" s="13"/>
      <c r="M237" s="13"/>
      <c r="N237" s="7">
        <f>'Option source'!C131</f>
        <v>6062021.5</v>
      </c>
      <c r="O237" s="7">
        <f>'Option source'!G131</f>
        <v>1768.14</v>
      </c>
      <c r="P237" s="7">
        <f>'Option source'!F131</f>
        <v>1899.43</v>
      </c>
      <c r="Q237" s="1" t="s">
        <v>100</v>
      </c>
      <c r="R237" s="1">
        <v>126</v>
      </c>
    </row>
    <row r="238" spans="1:18" ht="21" customHeight="1">
      <c r="A238" s="8">
        <v>46275</v>
      </c>
      <c r="B238" s="1" t="s">
        <v>120</v>
      </c>
      <c r="C238" s="39" t="s">
        <v>90</v>
      </c>
      <c r="D238" s="7">
        <v>5400</v>
      </c>
      <c r="E238" s="7">
        <f>'Option source'!B615</f>
        <v>4.5199999999999996</v>
      </c>
      <c r="F238" s="7">
        <v>7145</v>
      </c>
      <c r="G238" s="14">
        <v>36</v>
      </c>
      <c r="H238" s="7">
        <f t="shared" si="9"/>
        <v>0</v>
      </c>
      <c r="I238" s="7">
        <f t="shared" si="10"/>
        <v>4.5199999999999996</v>
      </c>
      <c r="J238" s="9">
        <f t="shared" si="11"/>
        <v>0.7557732680195941</v>
      </c>
      <c r="K238" s="9">
        <v>0.45176469436490901</v>
      </c>
      <c r="L238" s="13">
        <v>-1.212623384546907E-2</v>
      </c>
      <c r="M238" s="13">
        <v>0.70724855726880609</v>
      </c>
      <c r="N238" s="7">
        <f>'Option source'!C615</f>
        <v>1991011</v>
      </c>
      <c r="O238" s="7">
        <f>'Option source'!G615</f>
        <v>3.8</v>
      </c>
      <c r="P238" s="7">
        <f>'Option source'!F615</f>
        <v>6.49</v>
      </c>
      <c r="Q238" s="1" t="s">
        <v>88</v>
      </c>
      <c r="R238" s="1">
        <v>610</v>
      </c>
    </row>
    <row r="239" spans="1:18" ht="21" customHeight="1">
      <c r="A239" s="8">
        <v>46275</v>
      </c>
      <c r="B239" s="1" t="s">
        <v>132</v>
      </c>
      <c r="C239" s="39" t="s">
        <v>87</v>
      </c>
      <c r="D239" s="7">
        <v>8900</v>
      </c>
      <c r="E239" s="7">
        <f>'Option source'!B425</f>
        <v>31.79</v>
      </c>
      <c r="F239" s="7">
        <v>7145</v>
      </c>
      <c r="G239" s="14">
        <v>36</v>
      </c>
      <c r="H239" s="7">
        <f t="shared" si="9"/>
        <v>0</v>
      </c>
      <c r="I239" s="7">
        <f t="shared" si="10"/>
        <v>31.79</v>
      </c>
      <c r="J239" s="9">
        <f t="shared" si="11"/>
        <v>1.245626312106368</v>
      </c>
      <c r="K239" s="9">
        <v>0.41157877471674431</v>
      </c>
      <c r="L239" s="13">
        <v>7.9909514370596041E-2</v>
      </c>
      <c r="M239" s="13">
        <v>3.3330952318646867</v>
      </c>
      <c r="N239" s="7">
        <f>'Option source'!C425</f>
        <v>48369652</v>
      </c>
      <c r="O239" s="7">
        <f>'Option source'!G425</f>
        <v>25.09</v>
      </c>
      <c r="P239" s="7">
        <f>'Option source'!F425</f>
        <v>90.01</v>
      </c>
      <c r="Q239" s="1" t="s">
        <v>88</v>
      </c>
      <c r="R239" s="1">
        <v>420</v>
      </c>
    </row>
    <row r="240" spans="1:18" ht="21" customHeight="1">
      <c r="A240" s="8">
        <v>46275</v>
      </c>
      <c r="B240" s="1" t="s">
        <v>133</v>
      </c>
      <c r="C240" s="39" t="s">
        <v>90</v>
      </c>
      <c r="D240" s="7">
        <v>8900</v>
      </c>
      <c r="E240" s="7">
        <f>'Option source'!B915</f>
        <v>2022.5</v>
      </c>
      <c r="F240" s="7">
        <v>7145</v>
      </c>
      <c r="G240" s="14">
        <v>36</v>
      </c>
      <c r="H240" s="7">
        <f t="shared" si="9"/>
        <v>1755</v>
      </c>
      <c r="I240" s="7">
        <f t="shared" si="10"/>
        <v>267.5</v>
      </c>
      <c r="J240" s="9">
        <f t="shared" si="11"/>
        <v>1.245626312106368</v>
      </c>
      <c r="K240" s="9"/>
      <c r="L240" s="13"/>
      <c r="M240" s="13"/>
      <c r="N240" s="7">
        <f>'Option source'!C915</f>
        <v>0</v>
      </c>
      <c r="O240" s="7">
        <f>'Option source'!G915</f>
        <v>2022.5</v>
      </c>
      <c r="P240" s="7">
        <f>'Option source'!F915</f>
        <v>2037.67</v>
      </c>
      <c r="Q240" s="1" t="s">
        <v>25</v>
      </c>
      <c r="R240" s="1">
        <v>910</v>
      </c>
    </row>
    <row r="241" spans="1:18" ht="21" customHeight="1">
      <c r="A241" s="8">
        <v>46275</v>
      </c>
      <c r="B241" s="1" t="s">
        <v>123</v>
      </c>
      <c r="C241" s="39" t="s">
        <v>87</v>
      </c>
      <c r="D241" s="7">
        <v>5200</v>
      </c>
      <c r="E241" s="7">
        <f>'Option source'!B112</f>
        <v>1992.7</v>
      </c>
      <c r="F241" s="7">
        <v>7145</v>
      </c>
      <c r="G241" s="14">
        <v>36</v>
      </c>
      <c r="H241" s="7">
        <f t="shared" si="9"/>
        <v>1945</v>
      </c>
      <c r="I241" s="7">
        <f t="shared" si="10"/>
        <v>47.700000000000045</v>
      </c>
      <c r="J241" s="9">
        <f t="shared" si="11"/>
        <v>0.72778166550034995</v>
      </c>
      <c r="K241" s="9"/>
      <c r="L241" s="13"/>
      <c r="M241" s="13"/>
      <c r="N241" s="7">
        <f>'Option source'!C112</f>
        <v>2208809.5</v>
      </c>
      <c r="O241" s="7">
        <f>'Option source'!G112</f>
        <v>1960.86</v>
      </c>
      <c r="P241" s="7">
        <f>'Option source'!F112</f>
        <v>2047.51</v>
      </c>
      <c r="Q241" s="1" t="s">
        <v>100</v>
      </c>
      <c r="R241" s="1">
        <v>107</v>
      </c>
    </row>
    <row r="242" spans="1:18" ht="21" customHeight="1">
      <c r="A242" s="8">
        <v>46275</v>
      </c>
      <c r="B242" s="1" t="s">
        <v>124</v>
      </c>
      <c r="C242" s="39" t="s">
        <v>90</v>
      </c>
      <c r="D242" s="7">
        <v>5200</v>
      </c>
      <c r="E242" s="7">
        <f>'Option source'!B596</f>
        <v>2.66</v>
      </c>
      <c r="F242" s="7">
        <v>7145</v>
      </c>
      <c r="G242" s="14">
        <v>36</v>
      </c>
      <c r="H242" s="7">
        <f t="shared" si="9"/>
        <v>0</v>
      </c>
      <c r="I242" s="7">
        <f t="shared" si="10"/>
        <v>2.66</v>
      </c>
      <c r="J242" s="9">
        <f t="shared" si="11"/>
        <v>0.72778166550034995</v>
      </c>
      <c r="K242" s="9">
        <v>0.46662172460487766</v>
      </c>
      <c r="L242" s="13">
        <v>-7.2728957560741492E-3</v>
      </c>
      <c r="M242" s="13">
        <v>0.45227607066032571</v>
      </c>
      <c r="N242" s="7">
        <f>'Option source'!C596</f>
        <v>521320.19</v>
      </c>
      <c r="O242" s="7">
        <f>'Option source'!G596</f>
        <v>2.2000000000000002</v>
      </c>
      <c r="P242" s="7">
        <f>'Option source'!F596</f>
        <v>4.32</v>
      </c>
      <c r="Q242" s="1" t="s">
        <v>88</v>
      </c>
      <c r="R242" s="1">
        <v>591</v>
      </c>
    </row>
    <row r="243" spans="1:18" ht="21" customHeight="1">
      <c r="A243" s="8">
        <v>46275</v>
      </c>
      <c r="B243" s="1" t="s">
        <v>138</v>
      </c>
      <c r="C243" s="39" t="s">
        <v>87</v>
      </c>
      <c r="D243" s="7">
        <v>9200</v>
      </c>
      <c r="E243" s="7">
        <f>'Option source'!B444</f>
        <v>18.48</v>
      </c>
      <c r="F243" s="7">
        <v>7145</v>
      </c>
      <c r="G243" s="14">
        <v>36</v>
      </c>
      <c r="H243" s="7">
        <f t="shared" si="9"/>
        <v>0</v>
      </c>
      <c r="I243" s="7">
        <f t="shared" si="10"/>
        <v>18.48</v>
      </c>
      <c r="J243" s="9">
        <f t="shared" si="11"/>
        <v>1.2876137158852343</v>
      </c>
      <c r="K243" s="9">
        <v>0.41518911439128869</v>
      </c>
      <c r="L243" s="13">
        <v>4.9822339179406774E-2</v>
      </c>
      <c r="M243" s="13">
        <v>2.307718815378458</v>
      </c>
      <c r="N243" s="7">
        <f>'Option source'!C444</f>
        <v>6900684.5</v>
      </c>
      <c r="O243" s="7">
        <f>'Option source'!G444</f>
        <v>14.71</v>
      </c>
      <c r="P243" s="7">
        <f>'Option source'!F444</f>
        <v>28.79</v>
      </c>
      <c r="Q243" s="1" t="s">
        <v>88</v>
      </c>
      <c r="R243" s="1">
        <v>439</v>
      </c>
    </row>
    <row r="244" spans="1:18" ht="21" customHeight="1">
      <c r="A244" s="8">
        <v>46275</v>
      </c>
      <c r="B244" s="1" t="s">
        <v>139</v>
      </c>
      <c r="C244" s="39" t="s">
        <v>90</v>
      </c>
      <c r="D244" s="7">
        <v>9200</v>
      </c>
      <c r="E244" s="7">
        <f>'Option source'!B922</f>
        <v>2000</v>
      </c>
      <c r="F244" s="7">
        <v>7145</v>
      </c>
      <c r="G244" s="14">
        <v>36</v>
      </c>
      <c r="H244" s="7">
        <f t="shared" si="9"/>
        <v>2055</v>
      </c>
      <c r="I244" s="7">
        <f t="shared" si="10"/>
        <v>-55</v>
      </c>
      <c r="J244" s="9">
        <f t="shared" si="11"/>
        <v>1.2876137158852343</v>
      </c>
      <c r="K244" s="9"/>
      <c r="L244" s="13"/>
      <c r="M244" s="13"/>
      <c r="N244" s="7">
        <f>'Option source'!C922</f>
        <v>0</v>
      </c>
      <c r="O244" s="7">
        <f>'Option source'!G922</f>
        <v>2000</v>
      </c>
      <c r="P244" s="7">
        <f>'Option source'!F922</f>
        <v>2000</v>
      </c>
      <c r="Q244" s="1" t="s">
        <v>118</v>
      </c>
      <c r="R244" s="1">
        <v>917</v>
      </c>
    </row>
    <row r="245" spans="1:18" ht="21" customHeight="1">
      <c r="A245" s="8">
        <v>46275</v>
      </c>
      <c r="B245" s="1" t="s">
        <v>125</v>
      </c>
      <c r="C245" s="39" t="s">
        <v>87</v>
      </c>
      <c r="D245" s="7">
        <v>5000</v>
      </c>
      <c r="E245" s="7">
        <f>'Option source'!B93</f>
        <v>2248.1999999999998</v>
      </c>
      <c r="F245" s="7">
        <v>7145</v>
      </c>
      <c r="G245" s="14">
        <v>36</v>
      </c>
      <c r="H245" s="7">
        <f t="shared" si="9"/>
        <v>2145</v>
      </c>
      <c r="I245" s="7">
        <f t="shared" si="10"/>
        <v>103.19999999999982</v>
      </c>
      <c r="J245" s="9">
        <f t="shared" si="11"/>
        <v>0.69979006298110569</v>
      </c>
      <c r="K245" s="9"/>
      <c r="L245" s="13"/>
      <c r="M245" s="13"/>
      <c r="N245" s="7">
        <f>'Option source'!C93</f>
        <v>878331.69</v>
      </c>
      <c r="O245" s="7">
        <f>'Option source'!G93</f>
        <v>2154.75</v>
      </c>
      <c r="P245" s="7">
        <f>'Option source'!F93</f>
        <v>2225.61</v>
      </c>
      <c r="Q245" s="1" t="s">
        <v>109</v>
      </c>
      <c r="R245" s="1">
        <v>88</v>
      </c>
    </row>
    <row r="246" spans="1:18" ht="21" customHeight="1">
      <c r="A246" s="8">
        <v>46275</v>
      </c>
      <c r="B246" s="1" t="s">
        <v>126</v>
      </c>
      <c r="C246" s="39" t="s">
        <v>90</v>
      </c>
      <c r="D246" s="7">
        <v>5000</v>
      </c>
      <c r="E246" s="7">
        <f>'Option source'!B577</f>
        <v>1.75</v>
      </c>
      <c r="F246" s="7">
        <v>7145</v>
      </c>
      <c r="G246" s="14">
        <v>36</v>
      </c>
      <c r="H246" s="7">
        <f t="shared" si="9"/>
        <v>0</v>
      </c>
      <c r="I246" s="7">
        <f t="shared" si="10"/>
        <v>1.75</v>
      </c>
      <c r="J246" s="9">
        <f t="shared" si="11"/>
        <v>0.69979006298110569</v>
      </c>
      <c r="K246" s="9">
        <v>0.48932091393130384</v>
      </c>
      <c r="L246" s="13">
        <v>-4.7664482264367924E-3</v>
      </c>
      <c r="M246" s="13">
        <v>0.31092272669169452</v>
      </c>
      <c r="N246" s="7">
        <f>'Option source'!C577</f>
        <v>768593.62</v>
      </c>
      <c r="O246" s="7">
        <f>'Option source'!G577</f>
        <v>1.29</v>
      </c>
      <c r="P246" s="7">
        <f>'Option source'!F577</f>
        <v>2.2799999999999998</v>
      </c>
      <c r="Q246" s="1" t="s">
        <v>88</v>
      </c>
      <c r="R246" s="1">
        <v>572</v>
      </c>
    </row>
    <row r="247" spans="1:18" ht="21" customHeight="1">
      <c r="A247" s="8">
        <v>46275</v>
      </c>
      <c r="B247" s="1" t="s">
        <v>129</v>
      </c>
      <c r="C247" s="39" t="s">
        <v>87</v>
      </c>
      <c r="D247" s="7">
        <v>4800</v>
      </c>
      <c r="E247" s="7">
        <f>'Option source'!B76</f>
        <v>2425.7399999999998</v>
      </c>
      <c r="F247" s="7">
        <v>7145</v>
      </c>
      <c r="G247" s="14">
        <v>36</v>
      </c>
      <c r="H247" s="7">
        <f t="shared" si="9"/>
        <v>2345</v>
      </c>
      <c r="I247" s="7">
        <f t="shared" si="10"/>
        <v>80.739999999999782</v>
      </c>
      <c r="J247" s="9">
        <f t="shared" si="11"/>
        <v>0.67179846046186142</v>
      </c>
      <c r="K247" s="9"/>
      <c r="L247" s="13"/>
      <c r="M247" s="13"/>
      <c r="N247" s="7">
        <f>'Option source'!C76</f>
        <v>8959734</v>
      </c>
      <c r="O247" s="7">
        <f>'Option source'!G76</f>
        <v>2350.09</v>
      </c>
      <c r="P247" s="7">
        <f>'Option source'!F76</f>
        <v>2428.08</v>
      </c>
      <c r="Q247" s="1" t="s">
        <v>100</v>
      </c>
      <c r="R247" s="1">
        <v>71</v>
      </c>
    </row>
    <row r="248" spans="1:18" ht="21" customHeight="1">
      <c r="A248" s="8">
        <v>46275</v>
      </c>
      <c r="B248" s="1" t="s">
        <v>131</v>
      </c>
      <c r="C248" s="39" t="s">
        <v>90</v>
      </c>
      <c r="D248" s="7">
        <v>4800</v>
      </c>
      <c r="E248" s="7">
        <f>'Option source'!B558</f>
        <v>1.29</v>
      </c>
      <c r="F248" s="7">
        <v>7145</v>
      </c>
      <c r="G248" s="14">
        <v>36</v>
      </c>
      <c r="H248" s="7">
        <f t="shared" si="9"/>
        <v>0</v>
      </c>
      <c r="I248" s="7">
        <f t="shared" si="10"/>
        <v>1.29</v>
      </c>
      <c r="J248" s="9">
        <f t="shared" si="11"/>
        <v>0.67179846046186142</v>
      </c>
      <c r="K248" s="9">
        <v>0.51924980438690316</v>
      </c>
      <c r="L248" s="13">
        <v>-3.4423796739818657E-3</v>
      </c>
      <c r="M248" s="13">
        <v>0.23234656168985818</v>
      </c>
      <c r="N248" s="7">
        <f>'Option source'!C558</f>
        <v>152137.59</v>
      </c>
      <c r="O248" s="7">
        <f>'Option source'!G558</f>
        <v>1</v>
      </c>
      <c r="P248" s="7">
        <f>'Option source'!F558</f>
        <v>1.7</v>
      </c>
      <c r="Q248" s="1" t="s">
        <v>88</v>
      </c>
      <c r="R248" s="1">
        <v>553</v>
      </c>
    </row>
    <row r="249" spans="1:18" ht="21" customHeight="1">
      <c r="A249" s="8">
        <v>46275</v>
      </c>
      <c r="B249" s="1" t="s">
        <v>142</v>
      </c>
      <c r="C249" s="39" t="s">
        <v>87</v>
      </c>
      <c r="D249" s="7">
        <v>9500</v>
      </c>
      <c r="E249" s="7">
        <f>'Option source'!B463</f>
        <v>10.5</v>
      </c>
      <c r="F249" s="7">
        <v>7145</v>
      </c>
      <c r="G249" s="14">
        <v>36</v>
      </c>
      <c r="H249" s="7">
        <f t="shared" si="9"/>
        <v>0</v>
      </c>
      <c r="I249" s="7">
        <f t="shared" si="10"/>
        <v>10.5</v>
      </c>
      <c r="J249" s="9">
        <f t="shared" si="11"/>
        <v>1.3296011196641007</v>
      </c>
      <c r="K249" s="9">
        <v>0.41824401003836148</v>
      </c>
      <c r="L249" s="13">
        <v>3.0198124792715535E-2</v>
      </c>
      <c r="M249" s="13">
        <v>1.5351609312463634</v>
      </c>
      <c r="N249" s="7">
        <f>'Option source'!C463</f>
        <v>4837963.5</v>
      </c>
      <c r="O249" s="7">
        <f>'Option source'!G463</f>
        <v>9.1</v>
      </c>
      <c r="P249" s="7">
        <f>'Option source'!F463</f>
        <v>14.78</v>
      </c>
      <c r="Q249" s="1" t="s">
        <v>88</v>
      </c>
      <c r="R249" s="1">
        <v>458</v>
      </c>
    </row>
    <row r="250" spans="1:18" ht="21" customHeight="1">
      <c r="A250" s="8">
        <v>46275</v>
      </c>
      <c r="B250" s="1" t="s">
        <v>134</v>
      </c>
      <c r="C250" s="39" t="s">
        <v>87</v>
      </c>
      <c r="D250" s="7">
        <v>4600</v>
      </c>
      <c r="E250" s="7">
        <f>'Option source'!B59</f>
        <v>2650</v>
      </c>
      <c r="F250" s="7">
        <v>7145</v>
      </c>
      <c r="G250" s="14">
        <v>36</v>
      </c>
      <c r="H250" s="7">
        <f t="shared" si="9"/>
        <v>2545</v>
      </c>
      <c r="I250" s="7">
        <f t="shared" si="10"/>
        <v>105</v>
      </c>
      <c r="J250" s="9">
        <f t="shared" si="11"/>
        <v>0.64380685794261716</v>
      </c>
      <c r="K250" s="9"/>
      <c r="L250" s="13"/>
      <c r="M250" s="13"/>
      <c r="N250" s="7">
        <f>'Option source'!C59</f>
        <v>2099060.5</v>
      </c>
      <c r="O250" s="7">
        <f>'Option source'!G59</f>
        <v>2545.3000000000002</v>
      </c>
      <c r="P250" s="7">
        <f>'Option source'!F59</f>
        <v>2650</v>
      </c>
      <c r="Q250" s="1" t="s">
        <v>100</v>
      </c>
      <c r="R250" s="1">
        <v>54</v>
      </c>
    </row>
    <row r="251" spans="1:18" ht="21" customHeight="1">
      <c r="A251" s="8">
        <v>46275</v>
      </c>
      <c r="B251" s="1" t="s">
        <v>135</v>
      </c>
      <c r="C251" s="39" t="s">
        <v>90</v>
      </c>
      <c r="D251" s="7">
        <v>4600</v>
      </c>
      <c r="E251" s="7">
        <f>'Option source'!B539</f>
        <v>1.0900000000000001</v>
      </c>
      <c r="F251" s="7">
        <v>7145</v>
      </c>
      <c r="G251" s="14">
        <v>36</v>
      </c>
      <c r="H251" s="7">
        <f t="shared" si="9"/>
        <v>0</v>
      </c>
      <c r="I251" s="7">
        <f t="shared" si="10"/>
        <v>1.0900000000000001</v>
      </c>
      <c r="J251" s="9">
        <f t="shared" si="11"/>
        <v>0.64380685794261716</v>
      </c>
      <c r="K251" s="9">
        <v>0.55691482476095699</v>
      </c>
      <c r="L251" s="13">
        <v>-2.7654718982392801E-3</v>
      </c>
      <c r="M251" s="13">
        <v>0.19077075609685162</v>
      </c>
      <c r="N251" s="7">
        <f>'Option source'!C539</f>
        <v>97706.8</v>
      </c>
      <c r="O251" s="7">
        <f>'Option source'!G539</f>
        <v>0.75</v>
      </c>
      <c r="P251" s="7">
        <f>'Option source'!F539</f>
        <v>1.3</v>
      </c>
      <c r="Q251" s="1" t="s">
        <v>88</v>
      </c>
      <c r="R251" s="1">
        <v>534</v>
      </c>
    </row>
    <row r="252" spans="1:18" ht="21" customHeight="1">
      <c r="A252" s="8">
        <v>46275</v>
      </c>
      <c r="B252" s="1" t="s">
        <v>136</v>
      </c>
      <c r="C252" s="39" t="s">
        <v>87</v>
      </c>
      <c r="D252" s="7">
        <v>4400</v>
      </c>
      <c r="E252" s="7">
        <f>'Option source'!B40</f>
        <v>2828.59</v>
      </c>
      <c r="F252" s="7">
        <v>7145</v>
      </c>
      <c r="G252" s="14">
        <v>36</v>
      </c>
      <c r="H252" s="7">
        <f t="shared" si="9"/>
        <v>2745</v>
      </c>
      <c r="I252" s="7">
        <f t="shared" si="10"/>
        <v>83.590000000000146</v>
      </c>
      <c r="J252" s="9">
        <f t="shared" si="11"/>
        <v>0.61581525542337301</v>
      </c>
      <c r="K252" s="9"/>
      <c r="L252" s="13"/>
      <c r="M252" s="13"/>
      <c r="N252" s="7">
        <f>'Option source'!C40</f>
        <v>2525594.5</v>
      </c>
      <c r="O252" s="7">
        <f>'Option source'!G40</f>
        <v>2792.55</v>
      </c>
      <c r="P252" s="7">
        <f>'Option source'!F40</f>
        <v>2828.59</v>
      </c>
      <c r="Q252" s="1" t="s">
        <v>100</v>
      </c>
      <c r="R252" s="1">
        <v>35</v>
      </c>
    </row>
    <row r="253" spans="1:18" ht="21" customHeight="1">
      <c r="A253" s="8">
        <v>46275</v>
      </c>
      <c r="B253" s="1" t="s">
        <v>137</v>
      </c>
      <c r="C253" s="39" t="s">
        <v>90</v>
      </c>
      <c r="D253" s="7">
        <v>4400</v>
      </c>
      <c r="E253" s="7">
        <f>'Option source'!B520</f>
        <v>1</v>
      </c>
      <c r="F253" s="7">
        <v>7145</v>
      </c>
      <c r="G253" s="14">
        <v>36</v>
      </c>
      <c r="H253" s="7">
        <f t="shared" si="9"/>
        <v>0</v>
      </c>
      <c r="I253" s="7">
        <f t="shared" si="10"/>
        <v>1</v>
      </c>
      <c r="J253" s="9">
        <f t="shared" si="11"/>
        <v>0.61581525542337301</v>
      </c>
      <c r="K253" s="9">
        <v>0.60071582749381358</v>
      </c>
      <c r="L253" s="13">
        <v>-2.394084392686735E-3</v>
      </c>
      <c r="M253" s="13">
        <v>0.1674603186294002</v>
      </c>
      <c r="N253" s="7">
        <f>'Option source'!C520</f>
        <v>109712.9</v>
      </c>
      <c r="O253" s="7">
        <f>'Option source'!G520</f>
        <v>0.5</v>
      </c>
      <c r="P253" s="7">
        <f>'Option source'!F520</f>
        <v>1.43</v>
      </c>
      <c r="Q253" s="1" t="s">
        <v>88</v>
      </c>
      <c r="R253" s="1">
        <v>515</v>
      </c>
    </row>
    <row r="254" spans="1:18" ht="21" customHeight="1">
      <c r="A254" s="8">
        <v>46275</v>
      </c>
      <c r="B254" s="1" t="s">
        <v>143</v>
      </c>
      <c r="C254" s="39" t="s">
        <v>87</v>
      </c>
      <c r="D254" s="7">
        <v>9900</v>
      </c>
      <c r="E254" s="7">
        <f>'Option source'!B482</f>
        <v>6.25</v>
      </c>
      <c r="F254" s="7">
        <v>7145</v>
      </c>
      <c r="G254" s="14">
        <v>36</v>
      </c>
      <c r="H254" s="7">
        <f t="shared" si="9"/>
        <v>0</v>
      </c>
      <c r="I254" s="7">
        <f t="shared" si="10"/>
        <v>6.25</v>
      </c>
      <c r="J254" s="9">
        <f t="shared" si="11"/>
        <v>1.3855843247025892</v>
      </c>
      <c r="K254" s="9">
        <v>0.43749181973501072</v>
      </c>
      <c r="L254" s="13">
        <v>1.8329843037330651E-2</v>
      </c>
      <c r="M254" s="13">
        <v>1.0088329027148597</v>
      </c>
      <c r="N254" s="7">
        <f>'Option source'!C482</f>
        <v>2608293</v>
      </c>
      <c r="O254" s="7">
        <f>'Option source'!G482</f>
        <v>5.01</v>
      </c>
      <c r="P254" s="7">
        <f>'Option source'!F482</f>
        <v>8.99</v>
      </c>
      <c r="Q254" s="1" t="s">
        <v>88</v>
      </c>
      <c r="R254" s="1">
        <v>477</v>
      </c>
    </row>
    <row r="255" spans="1:18" ht="21" customHeight="1">
      <c r="A255" s="8">
        <v>46275</v>
      </c>
      <c r="B255" s="1" t="s">
        <v>140</v>
      </c>
      <c r="C255" s="39" t="s">
        <v>87</v>
      </c>
      <c r="D255" s="7">
        <v>4200</v>
      </c>
      <c r="E255" s="7">
        <f>'Option source'!B21</f>
        <v>3000</v>
      </c>
      <c r="F255" s="7">
        <v>7145</v>
      </c>
      <c r="G255" s="14">
        <v>36</v>
      </c>
      <c r="H255" s="7">
        <f t="shared" si="9"/>
        <v>2945</v>
      </c>
      <c r="I255" s="7">
        <f t="shared" si="10"/>
        <v>55</v>
      </c>
      <c r="J255" s="9">
        <f t="shared" si="11"/>
        <v>0.58782365290412875</v>
      </c>
      <c r="K255" s="9"/>
      <c r="L255" s="13"/>
      <c r="M255" s="13"/>
      <c r="N255" s="7">
        <f>'Option source'!C21</f>
        <v>4212306</v>
      </c>
      <c r="O255" s="7">
        <f>'Option source'!G21</f>
        <v>2935.98</v>
      </c>
      <c r="P255" s="7">
        <f>'Option source'!F21</f>
        <v>3050</v>
      </c>
      <c r="Q255" s="1" t="s">
        <v>100</v>
      </c>
      <c r="R255" s="1">
        <v>16</v>
      </c>
    </row>
    <row r="256" spans="1:18" ht="21" customHeight="1">
      <c r="A256" s="8">
        <v>46275</v>
      </c>
      <c r="B256" s="1" t="s">
        <v>141</v>
      </c>
      <c r="C256" s="39" t="s">
        <v>90</v>
      </c>
      <c r="D256" s="7">
        <v>4200</v>
      </c>
      <c r="E256" s="7">
        <f>'Option source'!B501</f>
        <v>0.76</v>
      </c>
      <c r="F256" s="7">
        <v>7145</v>
      </c>
      <c r="G256" s="14">
        <v>36</v>
      </c>
      <c r="H256" s="7">
        <f t="shared" si="9"/>
        <v>0</v>
      </c>
      <c r="I256" s="7">
        <f t="shared" si="10"/>
        <v>0.76</v>
      </c>
      <c r="J256" s="9">
        <f t="shared" si="11"/>
        <v>0.58782365290412875</v>
      </c>
      <c r="K256" s="9">
        <v>0.63403806986171829</v>
      </c>
      <c r="L256" s="13">
        <v>-1.7698660677235578E-3</v>
      </c>
      <c r="M256" s="13">
        <v>0.12730870378841164</v>
      </c>
      <c r="N256" s="7">
        <f>'Option source'!C501</f>
        <v>34430.699999999997</v>
      </c>
      <c r="O256" s="7">
        <f>'Option source'!G501</f>
        <v>0.5</v>
      </c>
      <c r="P256" s="7">
        <f>'Option source'!F501</f>
        <v>1.1499999999999999</v>
      </c>
      <c r="Q256" s="1" t="s">
        <v>88</v>
      </c>
      <c r="R256" s="1">
        <v>496</v>
      </c>
    </row>
    <row r="257" spans="1:18" ht="21" customHeight="1">
      <c r="A257" s="8">
        <v>46274</v>
      </c>
      <c r="B257" s="1" t="s">
        <v>93</v>
      </c>
      <c r="C257" s="39" t="s">
        <v>87</v>
      </c>
      <c r="D257" s="7">
        <v>7000</v>
      </c>
      <c r="E257" s="7">
        <f>'Option source'!B272</f>
        <v>521.42999999999995</v>
      </c>
      <c r="F257" s="7">
        <v>7085</v>
      </c>
      <c r="G257" s="14">
        <v>37</v>
      </c>
      <c r="H257" s="7">
        <f t="shared" si="9"/>
        <v>85</v>
      </c>
      <c r="I257" s="7">
        <f t="shared" si="10"/>
        <v>436.42999999999995</v>
      </c>
      <c r="J257" s="9">
        <f t="shared" si="11"/>
        <v>0.98800282286520824</v>
      </c>
      <c r="K257" s="9">
        <v>0.40296012389449731</v>
      </c>
      <c r="L257" s="13">
        <v>0.6536746956670747</v>
      </c>
      <c r="M257" s="13">
        <v>8.3229874615705448</v>
      </c>
      <c r="N257" s="7">
        <f>'Option source'!C272</f>
        <v>399605344</v>
      </c>
      <c r="O257" s="7">
        <f>'Option source'!G272</f>
        <v>410</v>
      </c>
      <c r="P257" s="7">
        <f>'Option source'!F272</f>
        <v>550</v>
      </c>
      <c r="Q257" s="1" t="s">
        <v>88</v>
      </c>
      <c r="R257" s="1">
        <v>267</v>
      </c>
    </row>
    <row r="258" spans="1:18" ht="21" customHeight="1">
      <c r="A258" s="8">
        <v>46274</v>
      </c>
      <c r="B258" s="1" t="s">
        <v>94</v>
      </c>
      <c r="C258" s="39" t="s">
        <v>90</v>
      </c>
      <c r="D258" s="7">
        <v>7000</v>
      </c>
      <c r="E258" s="7">
        <f>'Option source'!B766</f>
        <v>279.23</v>
      </c>
      <c r="F258" s="7">
        <v>7085</v>
      </c>
      <c r="G258" s="14">
        <v>37</v>
      </c>
      <c r="H258" s="7">
        <f t="shared" si="9"/>
        <v>0</v>
      </c>
      <c r="I258" s="7">
        <f t="shared" si="10"/>
        <v>279.23</v>
      </c>
      <c r="J258" s="9">
        <f t="shared" si="11"/>
        <v>0.98800282286520824</v>
      </c>
      <c r="K258" s="9">
        <v>0.44401835364440734</v>
      </c>
      <c r="L258" s="13">
        <v>-0.35525213614329865</v>
      </c>
      <c r="M258" s="13">
        <v>8.4001521339321545</v>
      </c>
      <c r="N258" s="7">
        <f>'Option source'!C766</f>
        <v>193098256</v>
      </c>
      <c r="O258" s="7">
        <f>'Option source'!G766</f>
        <v>265.01</v>
      </c>
      <c r="P258" s="7">
        <f>'Option source'!F766</f>
        <v>367</v>
      </c>
      <c r="Q258" s="1" t="s">
        <v>88</v>
      </c>
      <c r="R258" s="1">
        <v>761</v>
      </c>
    </row>
    <row r="259" spans="1:18" ht="21" customHeight="1">
      <c r="A259" s="8">
        <v>46274</v>
      </c>
      <c r="B259" s="1" t="s">
        <v>97</v>
      </c>
      <c r="C259" s="39" t="s">
        <v>87</v>
      </c>
      <c r="D259" s="7">
        <v>7200</v>
      </c>
      <c r="E259" s="7">
        <f>'Option source'!B291</f>
        <v>418.29</v>
      </c>
      <c r="F259" s="7">
        <v>7085</v>
      </c>
      <c r="G259" s="14">
        <v>37</v>
      </c>
      <c r="H259" s="7">
        <f t="shared" si="9"/>
        <v>0</v>
      </c>
      <c r="I259" s="7">
        <f t="shared" si="10"/>
        <v>418.29</v>
      </c>
      <c r="J259" s="9">
        <f t="shared" si="11"/>
        <v>1.0162314749470713</v>
      </c>
      <c r="K259" s="9">
        <v>0.40963638788781864</v>
      </c>
      <c r="L259" s="13">
        <v>0.56943270105377286</v>
      </c>
      <c r="M259" s="13">
        <v>8.8625669956224797</v>
      </c>
      <c r="N259" s="7">
        <f>'Option source'!C291</f>
        <v>233066080</v>
      </c>
      <c r="O259" s="7">
        <f>'Option source'!G291</f>
        <v>320</v>
      </c>
      <c r="P259" s="7">
        <f>'Option source'!F291</f>
        <v>444</v>
      </c>
      <c r="Q259" s="1" t="s">
        <v>88</v>
      </c>
      <c r="R259" s="1">
        <v>286</v>
      </c>
    </row>
    <row r="260" spans="1:18" ht="21" customHeight="1">
      <c r="A260" s="8">
        <v>46274</v>
      </c>
      <c r="B260" s="1" t="s">
        <v>98</v>
      </c>
      <c r="C260" s="39" t="s">
        <v>90</v>
      </c>
      <c r="D260" s="7">
        <v>7200</v>
      </c>
      <c r="E260" s="7">
        <f>'Option source'!B785</f>
        <v>369.17</v>
      </c>
      <c r="F260" s="7">
        <v>7085</v>
      </c>
      <c r="G260" s="14">
        <v>37</v>
      </c>
      <c r="H260" s="7">
        <f t="shared" si="9"/>
        <v>115</v>
      </c>
      <c r="I260" s="7">
        <f t="shared" si="10"/>
        <v>254.17000000000002</v>
      </c>
      <c r="J260" s="9">
        <f t="shared" si="11"/>
        <v>1.0162314749470713</v>
      </c>
      <c r="K260" s="9">
        <v>0.43792157488276096</v>
      </c>
      <c r="L260" s="13">
        <v>-0.43158269546796912</v>
      </c>
      <c r="M260" s="13">
        <v>8.8665441711726523</v>
      </c>
      <c r="N260" s="7">
        <f>'Option source'!C785</f>
        <v>66294692</v>
      </c>
      <c r="O260" s="7">
        <f>'Option source'!G785</f>
        <v>360</v>
      </c>
      <c r="P260" s="7">
        <f>'Option source'!F785</f>
        <v>477.99</v>
      </c>
      <c r="Q260" s="1" t="s">
        <v>88</v>
      </c>
      <c r="R260" s="1">
        <v>780</v>
      </c>
    </row>
    <row r="261" spans="1:18" ht="21" customHeight="1">
      <c r="A261" s="8">
        <v>46274</v>
      </c>
      <c r="B261" s="1" t="s">
        <v>86</v>
      </c>
      <c r="C261" s="39" t="s">
        <v>87</v>
      </c>
      <c r="D261" s="7">
        <v>6800</v>
      </c>
      <c r="E261" s="7">
        <f>'Option source'!B253</f>
        <v>630.86</v>
      </c>
      <c r="F261" s="7">
        <v>7085</v>
      </c>
      <c r="G261" s="14">
        <v>37</v>
      </c>
      <c r="H261" s="7">
        <f t="shared" si="9"/>
        <v>285</v>
      </c>
      <c r="I261" s="7">
        <f t="shared" si="10"/>
        <v>345.86</v>
      </c>
      <c r="J261" s="9">
        <f t="shared" si="11"/>
        <v>0.95977417078334515</v>
      </c>
      <c r="K261" s="9">
        <v>0.38094547938513457</v>
      </c>
      <c r="L261" s="13">
        <v>0.74211792619889316</v>
      </c>
      <c r="M261" s="13">
        <v>7.2860319317288136</v>
      </c>
      <c r="N261" s="7">
        <f>'Option source'!C253</f>
        <v>103997440</v>
      </c>
      <c r="O261" s="7">
        <f>'Option source'!G253</f>
        <v>520</v>
      </c>
      <c r="P261" s="7">
        <f>'Option source'!F253</f>
        <v>685</v>
      </c>
      <c r="Q261" s="1" t="s">
        <v>88</v>
      </c>
      <c r="R261" s="1">
        <v>248</v>
      </c>
    </row>
    <row r="262" spans="1:18" ht="21" customHeight="1">
      <c r="A262" s="8">
        <v>46274</v>
      </c>
      <c r="B262" s="1" t="s">
        <v>89</v>
      </c>
      <c r="C262" s="39" t="s">
        <v>90</v>
      </c>
      <c r="D262" s="7">
        <v>6800</v>
      </c>
      <c r="E262" s="7">
        <f>'Option source'!B747</f>
        <v>195.89</v>
      </c>
      <c r="F262" s="7">
        <v>7085</v>
      </c>
      <c r="G262" s="14">
        <v>37</v>
      </c>
      <c r="H262" s="7">
        <f t="shared" si="9"/>
        <v>0</v>
      </c>
      <c r="I262" s="7">
        <f t="shared" si="10"/>
        <v>195.89</v>
      </c>
      <c r="J262" s="9">
        <f t="shared" si="11"/>
        <v>0.95977417078334515</v>
      </c>
      <c r="K262" s="9">
        <v>0.43776606830115405</v>
      </c>
      <c r="L262" s="13">
        <v>-0.28013110368694316</v>
      </c>
      <c r="M262" s="13">
        <v>7.5951622390943996</v>
      </c>
      <c r="N262" s="7">
        <f>'Option source'!C747</f>
        <v>161789408</v>
      </c>
      <c r="O262" s="7">
        <f>'Option source'!G747</f>
        <v>142</v>
      </c>
      <c r="P262" s="7">
        <f>'Option source'!F747</f>
        <v>275</v>
      </c>
      <c r="Q262" s="1" t="s">
        <v>88</v>
      </c>
      <c r="R262" s="1">
        <v>742</v>
      </c>
    </row>
    <row r="263" spans="1:18" ht="21" customHeight="1">
      <c r="A263" s="8">
        <v>46274</v>
      </c>
      <c r="B263" s="1" t="s">
        <v>102</v>
      </c>
      <c r="C263" s="39" t="s">
        <v>87</v>
      </c>
      <c r="D263" s="7">
        <v>7400</v>
      </c>
      <c r="E263" s="7">
        <f>'Option source'!B310</f>
        <v>324.41000000000003</v>
      </c>
      <c r="F263" s="7">
        <v>7085</v>
      </c>
      <c r="G263" s="14">
        <v>37</v>
      </c>
      <c r="H263" s="7">
        <f t="shared" ref="H263:H326" si="12">MAX(IF(C263="call",F263-D263,D263-F263),0)</f>
        <v>0</v>
      </c>
      <c r="I263" s="7">
        <f t="shared" ref="I263:I326" si="13">E263-H263</f>
        <v>324.41000000000003</v>
      </c>
      <c r="J263" s="9">
        <f t="shared" ref="J263:J326" si="14">D263/F263</f>
        <v>1.0444601270289344</v>
      </c>
      <c r="K263" s="9">
        <v>0.40787294139226926</v>
      </c>
      <c r="L263" s="13">
        <v>0.48569581578723803</v>
      </c>
      <c r="M263" s="13">
        <v>8.9934239366766331</v>
      </c>
      <c r="N263" s="7">
        <f>'Option source'!C310</f>
        <v>186321136</v>
      </c>
      <c r="O263" s="7">
        <f>'Option source'!G310</f>
        <v>248</v>
      </c>
      <c r="P263" s="7">
        <f>'Option source'!F310</f>
        <v>350</v>
      </c>
      <c r="Q263" s="1" t="s">
        <v>88</v>
      </c>
      <c r="R263" s="1">
        <v>305</v>
      </c>
    </row>
    <row r="264" spans="1:18" ht="21" customHeight="1">
      <c r="A264" s="8">
        <v>46274</v>
      </c>
      <c r="B264" s="1" t="s">
        <v>103</v>
      </c>
      <c r="C264" s="39" t="s">
        <v>90</v>
      </c>
      <c r="D264" s="7">
        <v>7400</v>
      </c>
      <c r="E264" s="7">
        <f>'Option source'!B804</f>
        <v>480.11</v>
      </c>
      <c r="F264" s="7">
        <v>7085</v>
      </c>
      <c r="G264" s="14">
        <v>37</v>
      </c>
      <c r="H264" s="7">
        <f t="shared" si="12"/>
        <v>315</v>
      </c>
      <c r="I264" s="7">
        <f t="shared" si="13"/>
        <v>165.11</v>
      </c>
      <c r="J264" s="9">
        <f t="shared" si="14"/>
        <v>1.0444601270289344</v>
      </c>
      <c r="K264" s="9">
        <v>0.43438047982526795</v>
      </c>
      <c r="L264" s="13">
        <v>-0.51016886944786344</v>
      </c>
      <c r="M264" s="13">
        <v>8.9962856163444584</v>
      </c>
      <c r="N264" s="7">
        <f>'Option source'!C804</f>
        <v>11769648</v>
      </c>
      <c r="O264" s="7">
        <f>'Option source'!G804</f>
        <v>456.43</v>
      </c>
      <c r="P264" s="7">
        <f>'Option source'!F804</f>
        <v>610</v>
      </c>
      <c r="Q264" s="1" t="s">
        <v>88</v>
      </c>
      <c r="R264" s="1">
        <v>799</v>
      </c>
    </row>
    <row r="265" spans="1:18" ht="21" customHeight="1">
      <c r="A265" s="8">
        <v>46274</v>
      </c>
      <c r="B265" s="1" t="s">
        <v>91</v>
      </c>
      <c r="C265" s="39" t="s">
        <v>87</v>
      </c>
      <c r="D265" s="7">
        <v>6600</v>
      </c>
      <c r="E265" s="7">
        <f>'Option source'!B234</f>
        <v>773.75</v>
      </c>
      <c r="F265" s="7">
        <v>7085</v>
      </c>
      <c r="G265" s="14">
        <v>37</v>
      </c>
      <c r="H265" s="7">
        <f t="shared" si="12"/>
        <v>485</v>
      </c>
      <c r="I265" s="7">
        <f t="shared" si="13"/>
        <v>288.75</v>
      </c>
      <c r="J265" s="9">
        <f t="shared" si="14"/>
        <v>0.93154551870148206</v>
      </c>
      <c r="K265" s="9">
        <v>0.37918598565855555</v>
      </c>
      <c r="L265" s="13">
        <v>0.81583822857506272</v>
      </c>
      <c r="M265" s="13">
        <v>6.0043270575351686</v>
      </c>
      <c r="N265" s="7">
        <f>'Option source'!C234</f>
        <v>67822120</v>
      </c>
      <c r="O265" s="7">
        <f>'Option source'!G234</f>
        <v>639</v>
      </c>
      <c r="P265" s="7">
        <f>'Option source'!F234</f>
        <v>815</v>
      </c>
      <c r="Q265" s="1" t="s">
        <v>88</v>
      </c>
      <c r="R265" s="1">
        <v>229</v>
      </c>
    </row>
    <row r="266" spans="1:18" ht="21" customHeight="1">
      <c r="A266" s="8">
        <v>46274</v>
      </c>
      <c r="B266" s="1" t="s">
        <v>92</v>
      </c>
      <c r="C266" s="39" t="s">
        <v>90</v>
      </c>
      <c r="D266" s="7">
        <v>6600</v>
      </c>
      <c r="E266" s="7">
        <f>'Option source'!B728</f>
        <v>133.94999999999999</v>
      </c>
      <c r="F266" s="7">
        <v>7085</v>
      </c>
      <c r="G266" s="14">
        <v>37</v>
      </c>
      <c r="H266" s="7">
        <f t="shared" si="12"/>
        <v>0</v>
      </c>
      <c r="I266" s="7">
        <f t="shared" si="13"/>
        <v>133.94999999999999</v>
      </c>
      <c r="J266" s="9">
        <f t="shared" si="14"/>
        <v>0.93154551870148206</v>
      </c>
      <c r="K266" s="9">
        <v>0.43563015006037775</v>
      </c>
      <c r="L266" s="13">
        <v>-0.21189530581137772</v>
      </c>
      <c r="M266" s="13">
        <v>6.535487241286555</v>
      </c>
      <c r="N266" s="7">
        <f>'Option source'!C728</f>
        <v>190944560</v>
      </c>
      <c r="O266" s="7">
        <f>'Option source'!G728</f>
        <v>132</v>
      </c>
      <c r="P266" s="7">
        <f>'Option source'!F728</f>
        <v>200</v>
      </c>
      <c r="Q266" s="1" t="s">
        <v>88</v>
      </c>
      <c r="R266" s="1">
        <v>723</v>
      </c>
    </row>
    <row r="267" spans="1:18" ht="21" customHeight="1">
      <c r="A267" s="8">
        <v>46274</v>
      </c>
      <c r="B267" s="1" t="s">
        <v>106</v>
      </c>
      <c r="C267" s="39" t="s">
        <v>87</v>
      </c>
      <c r="D267" s="7">
        <v>7600</v>
      </c>
      <c r="E267" s="7">
        <f>'Option source'!B329</f>
        <v>247.27</v>
      </c>
      <c r="F267" s="7">
        <v>7085</v>
      </c>
      <c r="G267" s="14">
        <v>37</v>
      </c>
      <c r="H267" s="7">
        <f t="shared" si="12"/>
        <v>0</v>
      </c>
      <c r="I267" s="7">
        <f t="shared" si="13"/>
        <v>247.27</v>
      </c>
      <c r="J267" s="9">
        <f t="shared" si="14"/>
        <v>1.0726887791107975</v>
      </c>
      <c r="K267" s="9">
        <v>0.40711609309174013</v>
      </c>
      <c r="L267" s="13">
        <v>0.40442407451637807</v>
      </c>
      <c r="M267" s="13">
        <v>8.7397006748205861</v>
      </c>
      <c r="N267" s="7">
        <f>'Option source'!C329</f>
        <v>318630720</v>
      </c>
      <c r="O267" s="7">
        <f>'Option source'!G329</f>
        <v>187</v>
      </c>
      <c r="P267" s="7">
        <f>'Option source'!F329</f>
        <v>275</v>
      </c>
      <c r="Q267" s="1" t="s">
        <v>88</v>
      </c>
      <c r="R267" s="1">
        <v>324</v>
      </c>
    </row>
    <row r="268" spans="1:18" ht="21" customHeight="1">
      <c r="A268" s="8">
        <v>46274</v>
      </c>
      <c r="B268" s="1" t="s">
        <v>107</v>
      </c>
      <c r="C268" s="39" t="s">
        <v>90</v>
      </c>
      <c r="D268" s="7">
        <v>7600</v>
      </c>
      <c r="E268" s="7">
        <f>'Option source'!B823</f>
        <v>593.01</v>
      </c>
      <c r="F268" s="7">
        <v>7085</v>
      </c>
      <c r="G268" s="14">
        <v>37</v>
      </c>
      <c r="H268" s="7">
        <f t="shared" si="12"/>
        <v>515</v>
      </c>
      <c r="I268" s="7">
        <f t="shared" si="13"/>
        <v>78.009999999999991</v>
      </c>
      <c r="J268" s="9">
        <f t="shared" si="14"/>
        <v>1.0726887791107975</v>
      </c>
      <c r="K268" s="9">
        <v>0.40806620854333342</v>
      </c>
      <c r="L268" s="13">
        <v>-0.59524059968693477</v>
      </c>
      <c r="M268" s="13">
        <v>8.7415272670110298</v>
      </c>
      <c r="N268" s="7">
        <f>'Option source'!C823</f>
        <v>3909676</v>
      </c>
      <c r="O268" s="7">
        <f>'Option source'!G823</f>
        <v>590</v>
      </c>
      <c r="P268" s="7">
        <f>'Option source'!F823</f>
        <v>747.99</v>
      </c>
      <c r="Q268" s="1" t="s">
        <v>88</v>
      </c>
      <c r="R268" s="1">
        <v>818</v>
      </c>
    </row>
    <row r="269" spans="1:18" ht="21" customHeight="1">
      <c r="A269" s="8">
        <v>46274</v>
      </c>
      <c r="B269" s="1" t="s">
        <v>95</v>
      </c>
      <c r="C269" s="39" t="s">
        <v>87</v>
      </c>
      <c r="D269" s="7">
        <v>6400</v>
      </c>
      <c r="E269" s="7">
        <f>'Option source'!B215</f>
        <v>875.61</v>
      </c>
      <c r="F269" s="7">
        <v>7085</v>
      </c>
      <c r="G269" s="14">
        <v>37</v>
      </c>
      <c r="H269" s="7">
        <f t="shared" si="12"/>
        <v>685</v>
      </c>
      <c r="I269" s="7">
        <f t="shared" si="13"/>
        <v>190.61</v>
      </c>
      <c r="J269" s="9">
        <f t="shared" si="14"/>
        <v>0.90331686661961896</v>
      </c>
      <c r="K269" s="9"/>
      <c r="L269" s="13"/>
      <c r="M269" s="13"/>
      <c r="N269" s="7">
        <f>'Option source'!C215</f>
        <v>21708370</v>
      </c>
      <c r="O269" s="7">
        <f>'Option source'!G215</f>
        <v>773.01</v>
      </c>
      <c r="P269" s="7">
        <f>'Option source'!F215</f>
        <v>983.13</v>
      </c>
      <c r="Q269" s="1" t="s">
        <v>100</v>
      </c>
      <c r="R269" s="1">
        <v>210</v>
      </c>
    </row>
    <row r="270" spans="1:18" ht="21" customHeight="1">
      <c r="A270" s="8">
        <v>46274</v>
      </c>
      <c r="B270" s="1" t="s">
        <v>96</v>
      </c>
      <c r="C270" s="39" t="s">
        <v>90</v>
      </c>
      <c r="D270" s="7">
        <v>6400</v>
      </c>
      <c r="E270" s="7">
        <f>'Option source'!B709</f>
        <v>89.43</v>
      </c>
      <c r="F270" s="7">
        <v>7085</v>
      </c>
      <c r="G270" s="14">
        <v>37</v>
      </c>
      <c r="H270" s="7">
        <f t="shared" si="12"/>
        <v>0</v>
      </c>
      <c r="I270" s="7">
        <f t="shared" si="13"/>
        <v>89.43</v>
      </c>
      <c r="J270" s="9">
        <f t="shared" si="14"/>
        <v>0.90331686661961896</v>
      </c>
      <c r="K270" s="9">
        <v>0.43834915287775</v>
      </c>
      <c r="L270" s="13">
        <v>-0.15475578050537531</v>
      </c>
      <c r="M270" s="13">
        <v>5.3696206426182673</v>
      </c>
      <c r="N270" s="7">
        <f>'Option source'!C709</f>
        <v>55405064</v>
      </c>
      <c r="O270" s="7">
        <f>'Option source'!G709</f>
        <v>80.180000000000007</v>
      </c>
      <c r="P270" s="7">
        <f>'Option source'!F709</f>
        <v>132</v>
      </c>
      <c r="Q270" s="1" t="s">
        <v>88</v>
      </c>
      <c r="R270" s="1">
        <v>704</v>
      </c>
    </row>
    <row r="271" spans="1:18" ht="21" customHeight="1">
      <c r="A271" s="8">
        <v>46274</v>
      </c>
      <c r="B271" s="1" t="s">
        <v>111</v>
      </c>
      <c r="C271" s="39" t="s">
        <v>87</v>
      </c>
      <c r="D271" s="7">
        <v>7800</v>
      </c>
      <c r="E271" s="7">
        <f>'Option source'!B348</f>
        <v>187.56</v>
      </c>
      <c r="F271" s="7">
        <v>7085</v>
      </c>
      <c r="G271" s="14">
        <v>37</v>
      </c>
      <c r="H271" s="7">
        <f t="shared" si="12"/>
        <v>0</v>
      </c>
      <c r="I271" s="7">
        <f t="shared" si="13"/>
        <v>187.56</v>
      </c>
      <c r="J271" s="9">
        <f t="shared" si="14"/>
        <v>1.1009174311926606</v>
      </c>
      <c r="K271" s="9">
        <v>0.40970950946345219</v>
      </c>
      <c r="L271" s="13">
        <v>0.33044443015141689</v>
      </c>
      <c r="M271" s="13">
        <v>8.1736362279668562</v>
      </c>
      <c r="N271" s="7">
        <f>'Option source'!C348</f>
        <v>143086560</v>
      </c>
      <c r="O271" s="7">
        <f>'Option source'!G348</f>
        <v>130</v>
      </c>
      <c r="P271" s="7">
        <f>'Option source'!F348</f>
        <v>215</v>
      </c>
      <c r="Q271" s="1" t="s">
        <v>88</v>
      </c>
      <c r="R271" s="1">
        <v>343</v>
      </c>
    </row>
    <row r="272" spans="1:18" ht="21" customHeight="1">
      <c r="A272" s="8">
        <v>46274</v>
      </c>
      <c r="B272" s="1" t="s">
        <v>112</v>
      </c>
      <c r="C272" s="39" t="s">
        <v>90</v>
      </c>
      <c r="D272" s="7">
        <v>7800</v>
      </c>
      <c r="E272" s="7">
        <f>'Option source'!B842</f>
        <v>780</v>
      </c>
      <c r="F272" s="7">
        <v>7085</v>
      </c>
      <c r="G272" s="14">
        <v>37</v>
      </c>
      <c r="H272" s="7">
        <f t="shared" si="12"/>
        <v>715</v>
      </c>
      <c r="I272" s="7">
        <f t="shared" si="13"/>
        <v>65</v>
      </c>
      <c r="J272" s="9">
        <f t="shared" si="14"/>
        <v>1.1009174311926606</v>
      </c>
      <c r="K272" s="9"/>
      <c r="L272" s="13"/>
      <c r="M272" s="13"/>
      <c r="N272" s="7">
        <f>'Option source'!C842</f>
        <v>0</v>
      </c>
      <c r="O272" s="7">
        <f>'Option source'!G842</f>
        <v>790</v>
      </c>
      <c r="P272" s="7">
        <f>'Option source'!F842</f>
        <v>790</v>
      </c>
      <c r="Q272" s="1" t="s">
        <v>130</v>
      </c>
      <c r="R272" s="1">
        <v>837</v>
      </c>
    </row>
    <row r="273" spans="1:18" ht="21" customHeight="1">
      <c r="A273" s="8">
        <v>46274</v>
      </c>
      <c r="B273" s="1" t="s">
        <v>99</v>
      </c>
      <c r="C273" s="39" t="s">
        <v>87</v>
      </c>
      <c r="D273" s="7">
        <v>6200</v>
      </c>
      <c r="E273" s="7">
        <f>'Option source'!B196</f>
        <v>1070</v>
      </c>
      <c r="F273" s="7">
        <v>7085</v>
      </c>
      <c r="G273" s="14">
        <v>37</v>
      </c>
      <c r="H273" s="7">
        <f t="shared" si="12"/>
        <v>885</v>
      </c>
      <c r="I273" s="7">
        <f t="shared" si="13"/>
        <v>185</v>
      </c>
      <c r="J273" s="9">
        <f t="shared" si="14"/>
        <v>0.87508821453775587</v>
      </c>
      <c r="K273" s="9"/>
      <c r="L273" s="13"/>
      <c r="M273" s="13"/>
      <c r="N273" s="7">
        <f>'Option source'!C196</f>
        <v>6157861</v>
      </c>
      <c r="O273" s="7">
        <f>'Option source'!G196</f>
        <v>918</v>
      </c>
      <c r="P273" s="7">
        <f>'Option source'!F196</f>
        <v>1100</v>
      </c>
      <c r="Q273" s="1" t="s">
        <v>100</v>
      </c>
      <c r="R273" s="1">
        <v>191</v>
      </c>
    </row>
    <row r="274" spans="1:18" ht="21" customHeight="1">
      <c r="A274" s="8">
        <v>46274</v>
      </c>
      <c r="B274" s="1" t="s">
        <v>101</v>
      </c>
      <c r="C274" s="39" t="s">
        <v>90</v>
      </c>
      <c r="D274" s="7">
        <v>6200</v>
      </c>
      <c r="E274" s="7">
        <f>'Option source'!B690</f>
        <v>55.42</v>
      </c>
      <c r="F274" s="7">
        <v>7085</v>
      </c>
      <c r="G274" s="14">
        <v>37</v>
      </c>
      <c r="H274" s="7">
        <f t="shared" si="12"/>
        <v>0</v>
      </c>
      <c r="I274" s="7">
        <f t="shared" si="13"/>
        <v>55.42</v>
      </c>
      <c r="J274" s="9">
        <f t="shared" si="14"/>
        <v>0.87508821453775587</v>
      </c>
      <c r="K274" s="9">
        <v>0.43625464105451628</v>
      </c>
      <c r="L274" s="13">
        <v>-0.10582621906693879</v>
      </c>
      <c r="M274" s="13">
        <v>4.1251115497899784</v>
      </c>
      <c r="N274" s="7">
        <f>'Option source'!C690</f>
        <v>25460566</v>
      </c>
      <c r="O274" s="7">
        <f>'Option source'!G690</f>
        <v>50.1</v>
      </c>
      <c r="P274" s="7">
        <f>'Option source'!F690</f>
        <v>84</v>
      </c>
      <c r="Q274" s="1" t="s">
        <v>88</v>
      </c>
      <c r="R274" s="1">
        <v>685</v>
      </c>
    </row>
    <row r="275" spans="1:18" ht="21" customHeight="1">
      <c r="A275" s="8">
        <v>46274</v>
      </c>
      <c r="B275" s="1" t="s">
        <v>116</v>
      </c>
      <c r="C275" s="39" t="s">
        <v>87</v>
      </c>
      <c r="D275" s="7">
        <v>8000</v>
      </c>
      <c r="E275" s="7">
        <f>'Option source'!B367</f>
        <v>141.05000000000001</v>
      </c>
      <c r="F275" s="7">
        <v>7085</v>
      </c>
      <c r="G275" s="14">
        <v>37</v>
      </c>
      <c r="H275" s="7">
        <f t="shared" si="12"/>
        <v>0</v>
      </c>
      <c r="I275" s="7">
        <f t="shared" si="13"/>
        <v>141.05000000000001</v>
      </c>
      <c r="J275" s="9">
        <f t="shared" si="14"/>
        <v>1.1291460832745237</v>
      </c>
      <c r="K275" s="9">
        <v>0.41315839804665988</v>
      </c>
      <c r="L275" s="13">
        <v>0.26552719522440155</v>
      </c>
      <c r="M275" s="13">
        <v>7.3960785467858967</v>
      </c>
      <c r="N275" s="7">
        <f>'Option source'!C367</f>
        <v>270710112</v>
      </c>
      <c r="O275" s="7">
        <f>'Option source'!G367</f>
        <v>100.1</v>
      </c>
      <c r="P275" s="7">
        <f>'Option source'!F367</f>
        <v>156</v>
      </c>
      <c r="Q275" s="1" t="s">
        <v>88</v>
      </c>
      <c r="R275" s="1">
        <v>362</v>
      </c>
    </row>
    <row r="276" spans="1:18" ht="21" customHeight="1">
      <c r="A276" s="8">
        <v>46274</v>
      </c>
      <c r="B276" s="1" t="s">
        <v>117</v>
      </c>
      <c r="C276" s="39" t="s">
        <v>90</v>
      </c>
      <c r="D276" s="7">
        <v>8000</v>
      </c>
      <c r="E276" s="7">
        <f>'Option source'!B861</f>
        <v>900</v>
      </c>
      <c r="F276" s="7">
        <v>7085</v>
      </c>
      <c r="G276" s="14">
        <v>37</v>
      </c>
      <c r="H276" s="7">
        <f t="shared" si="12"/>
        <v>915</v>
      </c>
      <c r="I276" s="7">
        <f t="shared" si="13"/>
        <v>-15</v>
      </c>
      <c r="J276" s="9">
        <f t="shared" si="14"/>
        <v>1.1291460832745237</v>
      </c>
      <c r="K276" s="9"/>
      <c r="L276" s="13"/>
      <c r="M276" s="13"/>
      <c r="N276" s="7">
        <f>'Option source'!C861</f>
        <v>200000</v>
      </c>
      <c r="O276" s="7">
        <f>'Option source'!G861</f>
        <v>1100</v>
      </c>
      <c r="P276" s="7">
        <f>'Option source'!F861</f>
        <v>1100</v>
      </c>
      <c r="Q276" s="1" t="s">
        <v>113</v>
      </c>
      <c r="R276" s="1">
        <v>856</v>
      </c>
    </row>
    <row r="277" spans="1:18" ht="21" customHeight="1">
      <c r="A277" s="8">
        <v>46274</v>
      </c>
      <c r="B277" s="1" t="s">
        <v>104</v>
      </c>
      <c r="C277" s="39" t="s">
        <v>87</v>
      </c>
      <c r="D277" s="7">
        <v>6000</v>
      </c>
      <c r="E277" s="7">
        <f>'Option source'!B177</f>
        <v>1253.9100000000001</v>
      </c>
      <c r="F277" s="7">
        <v>7085</v>
      </c>
      <c r="G277" s="14">
        <v>37</v>
      </c>
      <c r="H277" s="7">
        <f t="shared" si="12"/>
        <v>1085</v>
      </c>
      <c r="I277" s="7">
        <f t="shared" si="13"/>
        <v>168.91000000000008</v>
      </c>
      <c r="J277" s="9">
        <f t="shared" si="14"/>
        <v>0.84685956245589278</v>
      </c>
      <c r="K277" s="9"/>
      <c r="L277" s="13"/>
      <c r="M277" s="13"/>
      <c r="N277" s="7">
        <f>'Option source'!C177</f>
        <v>3520692.25</v>
      </c>
      <c r="O277" s="7">
        <f>'Option source'!G177</f>
        <v>1085</v>
      </c>
      <c r="P277" s="7">
        <f>'Option source'!F177</f>
        <v>1253.92</v>
      </c>
      <c r="Q277" s="1" t="s">
        <v>100</v>
      </c>
      <c r="R277" s="1">
        <v>172</v>
      </c>
    </row>
    <row r="278" spans="1:18" ht="21" customHeight="1">
      <c r="A278" s="8">
        <v>46274</v>
      </c>
      <c r="B278" s="1" t="s">
        <v>105</v>
      </c>
      <c r="C278" s="39" t="s">
        <v>90</v>
      </c>
      <c r="D278" s="7">
        <v>6000</v>
      </c>
      <c r="E278" s="7">
        <f>'Option source'!B671</f>
        <v>32.380000000000003</v>
      </c>
      <c r="F278" s="7">
        <v>7085</v>
      </c>
      <c r="G278" s="14">
        <v>37</v>
      </c>
      <c r="H278" s="7">
        <f t="shared" si="12"/>
        <v>0</v>
      </c>
      <c r="I278" s="7">
        <f t="shared" si="13"/>
        <v>32.380000000000003</v>
      </c>
      <c r="J278" s="9">
        <f t="shared" si="14"/>
        <v>0.84685956245589278</v>
      </c>
      <c r="K278" s="9">
        <v>0.43447402559068671</v>
      </c>
      <c r="L278" s="13">
        <v>-6.8029992978733578E-2</v>
      </c>
      <c r="M278" s="13">
        <v>2.9628608902516835</v>
      </c>
      <c r="N278" s="7">
        <f>'Option source'!C671</f>
        <v>38441048</v>
      </c>
      <c r="O278" s="7">
        <f>'Option source'!G671</f>
        <v>32</v>
      </c>
      <c r="P278" s="7">
        <f>'Option source'!F671</f>
        <v>51</v>
      </c>
      <c r="Q278" s="1" t="s">
        <v>88</v>
      </c>
      <c r="R278" s="1">
        <v>666</v>
      </c>
    </row>
    <row r="279" spans="1:18" ht="21" customHeight="1">
      <c r="A279" s="8">
        <v>46274</v>
      </c>
      <c r="B279" s="1" t="s">
        <v>121</v>
      </c>
      <c r="C279" s="39" t="s">
        <v>87</v>
      </c>
      <c r="D279" s="7">
        <v>8300</v>
      </c>
      <c r="E279" s="7">
        <f>'Option source'!B386</f>
        <v>88.96</v>
      </c>
      <c r="F279" s="7">
        <v>7085</v>
      </c>
      <c r="G279" s="14">
        <v>37</v>
      </c>
      <c r="H279" s="7">
        <f t="shared" si="12"/>
        <v>0</v>
      </c>
      <c r="I279" s="7">
        <f t="shared" si="13"/>
        <v>88.96</v>
      </c>
      <c r="J279" s="9">
        <f t="shared" si="14"/>
        <v>1.1714890613973183</v>
      </c>
      <c r="K279" s="9">
        <v>0.416162911691913</v>
      </c>
      <c r="L279" s="13">
        <v>0.18438974830406302</v>
      </c>
      <c r="M279" s="13">
        <v>6.0089512565982064</v>
      </c>
      <c r="N279" s="7">
        <f>'Option source'!C386</f>
        <v>76354488</v>
      </c>
      <c r="O279" s="7">
        <f>'Option source'!G386</f>
        <v>62.4</v>
      </c>
      <c r="P279" s="7">
        <f>'Option source'!F386</f>
        <v>93</v>
      </c>
      <c r="Q279" s="1" t="s">
        <v>88</v>
      </c>
      <c r="R279" s="1">
        <v>381</v>
      </c>
    </row>
    <row r="280" spans="1:18" ht="21" customHeight="1">
      <c r="A280" s="8">
        <v>46274</v>
      </c>
      <c r="B280" s="1" t="s">
        <v>122</v>
      </c>
      <c r="C280" s="39" t="s">
        <v>90</v>
      </c>
      <c r="D280" s="7">
        <v>8300</v>
      </c>
      <c r="E280" s="7">
        <f>'Option source'!B880</f>
        <v>1234</v>
      </c>
      <c r="F280" s="7">
        <v>7085</v>
      </c>
      <c r="G280" s="14">
        <v>37</v>
      </c>
      <c r="H280" s="7">
        <f t="shared" si="12"/>
        <v>1215</v>
      </c>
      <c r="I280" s="7">
        <f t="shared" si="13"/>
        <v>19</v>
      </c>
      <c r="J280" s="9">
        <f t="shared" si="14"/>
        <v>1.1714890613973183</v>
      </c>
      <c r="K280" s="9">
        <v>0.52319883586260241</v>
      </c>
      <c r="L280" s="13">
        <v>-0.75310728186234821</v>
      </c>
      <c r="M280" s="13">
        <v>7.1206793178836794</v>
      </c>
      <c r="N280" s="7">
        <f>'Option source'!C880</f>
        <v>617000</v>
      </c>
      <c r="O280" s="7">
        <f>'Option source'!G880</f>
        <v>1234</v>
      </c>
      <c r="P280" s="7">
        <f>'Option source'!F880</f>
        <v>1234</v>
      </c>
      <c r="Q280" s="1" t="s">
        <v>88</v>
      </c>
      <c r="R280" s="1">
        <v>875</v>
      </c>
    </row>
    <row r="281" spans="1:18" ht="21" customHeight="1">
      <c r="A281" s="8">
        <v>46274</v>
      </c>
      <c r="B281" s="1" t="s">
        <v>108</v>
      </c>
      <c r="C281" s="39" t="s">
        <v>87</v>
      </c>
      <c r="D281" s="7">
        <v>5800</v>
      </c>
      <c r="E281" s="7">
        <f>'Option source'!B158</f>
        <v>1403.14</v>
      </c>
      <c r="F281" s="7">
        <v>7085</v>
      </c>
      <c r="G281" s="14">
        <v>37</v>
      </c>
      <c r="H281" s="7">
        <f t="shared" si="12"/>
        <v>1285</v>
      </c>
      <c r="I281" s="7">
        <f t="shared" si="13"/>
        <v>118.1400000000001</v>
      </c>
      <c r="J281" s="9">
        <f t="shared" si="14"/>
        <v>0.81863091037402969</v>
      </c>
      <c r="K281" s="9"/>
      <c r="L281" s="13"/>
      <c r="M281" s="13"/>
      <c r="N281" s="7">
        <f>'Option source'!C158</f>
        <v>7112980</v>
      </c>
      <c r="O281" s="7">
        <f>'Option source'!G158</f>
        <v>1265</v>
      </c>
      <c r="P281" s="7">
        <f>'Option source'!F158</f>
        <v>1285</v>
      </c>
      <c r="Q281" s="1" t="s">
        <v>109</v>
      </c>
      <c r="R281" s="1">
        <v>153</v>
      </c>
    </row>
    <row r="282" spans="1:18" ht="21" customHeight="1">
      <c r="A282" s="8">
        <v>46274</v>
      </c>
      <c r="B282" s="1" t="s">
        <v>110</v>
      </c>
      <c r="C282" s="39" t="s">
        <v>90</v>
      </c>
      <c r="D282" s="7">
        <v>5800</v>
      </c>
      <c r="E282" s="7">
        <f>'Option source'!B652</f>
        <v>18.329999999999998</v>
      </c>
      <c r="F282" s="7">
        <v>7085</v>
      </c>
      <c r="G282" s="14">
        <v>37</v>
      </c>
      <c r="H282" s="7">
        <f t="shared" si="12"/>
        <v>0</v>
      </c>
      <c r="I282" s="7">
        <f t="shared" si="13"/>
        <v>18.329999999999998</v>
      </c>
      <c r="J282" s="9">
        <f t="shared" si="14"/>
        <v>0.81863091037402969</v>
      </c>
      <c r="K282" s="9">
        <v>0.43663832006235315</v>
      </c>
      <c r="L282" s="13">
        <v>-4.2013365524496304E-2</v>
      </c>
      <c r="M282" s="13">
        <v>2.0228668959055143</v>
      </c>
      <c r="N282" s="7">
        <f>'Option source'!C652</f>
        <v>10470408</v>
      </c>
      <c r="O282" s="7">
        <f>'Option source'!G652</f>
        <v>18</v>
      </c>
      <c r="P282" s="7">
        <f>'Option source'!F652</f>
        <v>29.9</v>
      </c>
      <c r="Q282" s="1" t="s">
        <v>88</v>
      </c>
      <c r="R282" s="1">
        <v>647</v>
      </c>
    </row>
    <row r="283" spans="1:18" ht="21" customHeight="1">
      <c r="A283" s="8">
        <v>46274</v>
      </c>
      <c r="B283" s="1" t="s">
        <v>114</v>
      </c>
      <c r="C283" s="39" t="s">
        <v>87</v>
      </c>
      <c r="D283" s="7">
        <v>5600</v>
      </c>
      <c r="E283" s="7">
        <f>'Option source'!B148</f>
        <v>1490</v>
      </c>
      <c r="F283" s="7">
        <v>7085</v>
      </c>
      <c r="G283" s="14">
        <v>37</v>
      </c>
      <c r="H283" s="7">
        <f t="shared" si="12"/>
        <v>1485</v>
      </c>
      <c r="I283" s="7">
        <f t="shared" si="13"/>
        <v>5</v>
      </c>
      <c r="J283" s="9">
        <f t="shared" si="14"/>
        <v>0.79040225829216659</v>
      </c>
      <c r="K283" s="9"/>
      <c r="L283" s="13"/>
      <c r="M283" s="13"/>
      <c r="N283" s="7">
        <f>'Option source'!C148</f>
        <v>0</v>
      </c>
      <c r="O283" s="7">
        <f>'Option source'!G148</f>
        <v>1480</v>
      </c>
      <c r="P283" s="7">
        <f>'Option source'!F148</f>
        <v>1500</v>
      </c>
      <c r="Q283" s="1" t="s">
        <v>25</v>
      </c>
      <c r="R283" s="1">
        <v>143</v>
      </c>
    </row>
    <row r="284" spans="1:18" ht="21" customHeight="1">
      <c r="A284" s="8">
        <v>46274</v>
      </c>
      <c r="B284" s="1" t="s">
        <v>115</v>
      </c>
      <c r="C284" s="39" t="s">
        <v>90</v>
      </c>
      <c r="D284" s="7">
        <v>5600</v>
      </c>
      <c r="E284" s="7">
        <f>'Option source'!B633</f>
        <v>9.5</v>
      </c>
      <c r="F284" s="7">
        <v>7085</v>
      </c>
      <c r="G284" s="14">
        <v>37</v>
      </c>
      <c r="H284" s="7">
        <f t="shared" si="12"/>
        <v>0</v>
      </c>
      <c r="I284" s="7">
        <f t="shared" si="13"/>
        <v>9.5</v>
      </c>
      <c r="J284" s="9">
        <f t="shared" si="14"/>
        <v>0.79040225829216659</v>
      </c>
      <c r="K284" s="9">
        <v>0.43678445160602586</v>
      </c>
      <c r="L284" s="13">
        <v>-2.3874860471398085E-2</v>
      </c>
      <c r="M284" s="13">
        <v>1.2683923699916879</v>
      </c>
      <c r="N284" s="7">
        <f>'Option source'!C633</f>
        <v>4603535.5</v>
      </c>
      <c r="O284" s="7">
        <f>'Option source'!G633</f>
        <v>7.09</v>
      </c>
      <c r="P284" s="7">
        <f>'Option source'!F633</f>
        <v>16</v>
      </c>
      <c r="Q284" s="1" t="s">
        <v>88</v>
      </c>
      <c r="R284" s="1">
        <v>628</v>
      </c>
    </row>
    <row r="285" spans="1:18" ht="21" customHeight="1">
      <c r="A285" s="8">
        <v>46274</v>
      </c>
      <c r="B285" s="1" t="s">
        <v>127</v>
      </c>
      <c r="C285" s="39" t="s">
        <v>87</v>
      </c>
      <c r="D285" s="7">
        <v>8600</v>
      </c>
      <c r="E285" s="7">
        <f>'Option source'!B405</f>
        <v>53.35</v>
      </c>
      <c r="F285" s="7">
        <v>7085</v>
      </c>
      <c r="G285" s="14">
        <v>37</v>
      </c>
      <c r="H285" s="7">
        <f t="shared" si="12"/>
        <v>0</v>
      </c>
      <c r="I285" s="7">
        <f t="shared" si="13"/>
        <v>53.35</v>
      </c>
      <c r="J285" s="9">
        <f t="shared" si="14"/>
        <v>1.213832039520113</v>
      </c>
      <c r="K285" s="9">
        <v>0.41625083987507761</v>
      </c>
      <c r="L285" s="13">
        <v>0.1217139992918207</v>
      </c>
      <c r="M285" s="13">
        <v>4.5577120975385768</v>
      </c>
      <c r="N285" s="7">
        <f>'Option source'!C405</f>
        <v>56535192</v>
      </c>
      <c r="O285" s="7">
        <f>'Option source'!G405</f>
        <v>38</v>
      </c>
      <c r="P285" s="7">
        <f>'Option source'!F405</f>
        <v>58</v>
      </c>
      <c r="Q285" s="1" t="s">
        <v>88</v>
      </c>
      <c r="R285" s="1">
        <v>400</v>
      </c>
    </row>
    <row r="286" spans="1:18" ht="21" customHeight="1">
      <c r="A286" s="8">
        <v>46274</v>
      </c>
      <c r="B286" s="1" t="s">
        <v>128</v>
      </c>
      <c r="C286" s="39" t="s">
        <v>90</v>
      </c>
      <c r="D286" s="7">
        <v>8600</v>
      </c>
      <c r="E286" s="7">
        <f>'Option source'!B899</f>
        <v>1559.27</v>
      </c>
      <c r="F286" s="7">
        <v>7085</v>
      </c>
      <c r="G286" s="14">
        <v>37</v>
      </c>
      <c r="H286" s="7">
        <f t="shared" si="12"/>
        <v>1515</v>
      </c>
      <c r="I286" s="7">
        <f t="shared" si="13"/>
        <v>44.269999999999982</v>
      </c>
      <c r="J286" s="9">
        <f t="shared" si="14"/>
        <v>1.213832039520113</v>
      </c>
      <c r="K286" s="9"/>
      <c r="L286" s="13"/>
      <c r="M286" s="13"/>
      <c r="N286" s="7">
        <f>'Option source'!C899</f>
        <v>461754</v>
      </c>
      <c r="O286" s="7">
        <f>'Option source'!G899</f>
        <v>1499</v>
      </c>
      <c r="P286" s="7">
        <f>'Option source'!F899</f>
        <v>1499</v>
      </c>
      <c r="Q286" s="1" t="s">
        <v>109</v>
      </c>
      <c r="R286" s="1">
        <v>894</v>
      </c>
    </row>
    <row r="287" spans="1:18" ht="21" customHeight="1">
      <c r="A287" s="8">
        <v>46274</v>
      </c>
      <c r="B287" s="1" t="s">
        <v>119</v>
      </c>
      <c r="C287" s="39" t="s">
        <v>87</v>
      </c>
      <c r="D287" s="7">
        <v>5400</v>
      </c>
      <c r="E287" s="7">
        <f>'Option source'!B130</f>
        <v>1750</v>
      </c>
      <c r="F287" s="7">
        <v>7085</v>
      </c>
      <c r="G287" s="14">
        <v>37</v>
      </c>
      <c r="H287" s="7">
        <f t="shared" si="12"/>
        <v>1685</v>
      </c>
      <c r="I287" s="7">
        <f t="shared" si="13"/>
        <v>65</v>
      </c>
      <c r="J287" s="9">
        <f t="shared" si="14"/>
        <v>0.7621736062103035</v>
      </c>
      <c r="K287" s="9"/>
      <c r="L287" s="13"/>
      <c r="M287" s="13"/>
      <c r="N287" s="7">
        <f>'Option source'!C130</f>
        <v>350000</v>
      </c>
      <c r="O287" s="7">
        <f>'Option source'!G130</f>
        <v>0</v>
      </c>
      <c r="P287" s="7">
        <f>'Option source'!F130</f>
        <v>0</v>
      </c>
      <c r="Q287" s="1" t="s">
        <v>109</v>
      </c>
      <c r="R287" s="1">
        <v>125</v>
      </c>
    </row>
    <row r="288" spans="1:18" ht="21" customHeight="1">
      <c r="A288" s="8">
        <v>46274</v>
      </c>
      <c r="B288" s="1" t="s">
        <v>120</v>
      </c>
      <c r="C288" s="39" t="s">
        <v>90</v>
      </c>
      <c r="D288" s="7">
        <v>5400</v>
      </c>
      <c r="E288" s="7">
        <f>'Option source'!B614</f>
        <v>5.7</v>
      </c>
      <c r="F288" s="7">
        <v>7085</v>
      </c>
      <c r="G288" s="14">
        <v>37</v>
      </c>
      <c r="H288" s="7">
        <f t="shared" si="12"/>
        <v>0</v>
      </c>
      <c r="I288" s="7">
        <f t="shared" si="13"/>
        <v>5.7</v>
      </c>
      <c r="J288" s="9">
        <f t="shared" si="14"/>
        <v>0.7621736062103035</v>
      </c>
      <c r="K288" s="9">
        <v>0.45035721857905897</v>
      </c>
      <c r="L288" s="13">
        <v>-1.4709844133837802E-2</v>
      </c>
      <c r="M288" s="13">
        <v>0.84003979519390726</v>
      </c>
      <c r="N288" s="7">
        <f>'Option source'!C614</f>
        <v>1120865.5</v>
      </c>
      <c r="O288" s="7">
        <f>'Option source'!G614</f>
        <v>5</v>
      </c>
      <c r="P288" s="7">
        <f>'Option source'!F614</f>
        <v>9.9</v>
      </c>
      <c r="Q288" s="1" t="s">
        <v>88</v>
      </c>
      <c r="R288" s="1">
        <v>609</v>
      </c>
    </row>
    <row r="289" spans="1:18" ht="21" customHeight="1">
      <c r="A289" s="8">
        <v>46274</v>
      </c>
      <c r="B289" s="1" t="s">
        <v>132</v>
      </c>
      <c r="C289" s="39" t="s">
        <v>87</v>
      </c>
      <c r="D289" s="7">
        <v>8900</v>
      </c>
      <c r="E289" s="7">
        <f>'Option source'!B424</f>
        <v>30.7</v>
      </c>
      <c r="F289" s="7">
        <v>7085</v>
      </c>
      <c r="G289" s="14">
        <v>37</v>
      </c>
      <c r="H289" s="7">
        <f t="shared" si="12"/>
        <v>0</v>
      </c>
      <c r="I289" s="7">
        <f t="shared" si="13"/>
        <v>30.7</v>
      </c>
      <c r="J289" s="9">
        <f t="shared" si="14"/>
        <v>1.2561750176429076</v>
      </c>
      <c r="K289" s="9">
        <v>0.41556182109007833</v>
      </c>
      <c r="L289" s="13">
        <v>7.6678531284090079E-2</v>
      </c>
      <c r="M289" s="13">
        <v>3.2474436845383048</v>
      </c>
      <c r="N289" s="7">
        <f>'Option source'!C424</f>
        <v>11324418</v>
      </c>
      <c r="O289" s="7">
        <f>'Option source'!G424</f>
        <v>22.53</v>
      </c>
      <c r="P289" s="7">
        <f>'Option source'!F424</f>
        <v>33</v>
      </c>
      <c r="Q289" s="1" t="s">
        <v>88</v>
      </c>
      <c r="R289" s="1">
        <v>419</v>
      </c>
    </row>
    <row r="290" spans="1:18" ht="21" customHeight="1">
      <c r="A290" s="8">
        <v>46274</v>
      </c>
      <c r="B290" s="1" t="s">
        <v>133</v>
      </c>
      <c r="C290" s="39" t="s">
        <v>90</v>
      </c>
      <c r="D290" s="7">
        <v>8900</v>
      </c>
      <c r="E290" s="7">
        <f>'Option source'!B914</f>
        <v>2022.5</v>
      </c>
      <c r="F290" s="7">
        <v>7085</v>
      </c>
      <c r="G290" s="14">
        <v>37</v>
      </c>
      <c r="H290" s="7">
        <f t="shared" si="12"/>
        <v>1815</v>
      </c>
      <c r="I290" s="7">
        <f t="shared" si="13"/>
        <v>207.5</v>
      </c>
      <c r="J290" s="9">
        <f t="shared" si="14"/>
        <v>1.2561750176429076</v>
      </c>
      <c r="K290" s="9"/>
      <c r="L290" s="13"/>
      <c r="M290" s="13"/>
      <c r="N290" s="7">
        <f>'Option source'!C914</f>
        <v>0</v>
      </c>
      <c r="O290" s="7">
        <f>'Option source'!G914</f>
        <v>2022.5</v>
      </c>
      <c r="P290" s="7">
        <f>'Option source'!F914</f>
        <v>2037.67</v>
      </c>
      <c r="Q290" s="1" t="s">
        <v>25</v>
      </c>
      <c r="R290" s="1">
        <v>909</v>
      </c>
    </row>
    <row r="291" spans="1:18" ht="21" customHeight="1">
      <c r="A291" s="8">
        <v>46274</v>
      </c>
      <c r="B291" s="1" t="s">
        <v>123</v>
      </c>
      <c r="C291" s="39" t="s">
        <v>87</v>
      </c>
      <c r="D291" s="7">
        <v>5200</v>
      </c>
      <c r="E291" s="7">
        <f>'Option source'!B111</f>
        <v>1895.85</v>
      </c>
      <c r="F291" s="7">
        <v>7085</v>
      </c>
      <c r="G291" s="14">
        <v>37</v>
      </c>
      <c r="H291" s="7">
        <f t="shared" si="12"/>
        <v>1885</v>
      </c>
      <c r="I291" s="7">
        <f t="shared" si="13"/>
        <v>10.849999999999909</v>
      </c>
      <c r="J291" s="9">
        <f t="shared" si="14"/>
        <v>0.73394495412844041</v>
      </c>
      <c r="K291" s="9"/>
      <c r="L291" s="13"/>
      <c r="M291" s="13"/>
      <c r="N291" s="7">
        <f>'Option source'!C111</f>
        <v>745923.19</v>
      </c>
      <c r="O291" s="7">
        <f>'Option source'!G111</f>
        <v>1833.77</v>
      </c>
      <c r="P291" s="7">
        <f>'Option source'!F111</f>
        <v>1833.77</v>
      </c>
      <c r="Q291" s="1" t="s">
        <v>109</v>
      </c>
      <c r="R291" s="1">
        <v>106</v>
      </c>
    </row>
    <row r="292" spans="1:18" ht="21" customHeight="1">
      <c r="A292" s="8">
        <v>46274</v>
      </c>
      <c r="B292" s="1" t="s">
        <v>124</v>
      </c>
      <c r="C292" s="39" t="s">
        <v>90</v>
      </c>
      <c r="D292" s="7">
        <v>5200</v>
      </c>
      <c r="E292" s="7">
        <f>'Option source'!B595</f>
        <v>2.85</v>
      </c>
      <c r="F292" s="7">
        <v>7085</v>
      </c>
      <c r="G292" s="14">
        <v>37</v>
      </c>
      <c r="H292" s="7">
        <f t="shared" si="12"/>
        <v>0</v>
      </c>
      <c r="I292" s="7">
        <f t="shared" si="13"/>
        <v>2.85</v>
      </c>
      <c r="J292" s="9">
        <f t="shared" si="14"/>
        <v>0.73394495412844041</v>
      </c>
      <c r="K292" s="9">
        <v>0.45614161698445943</v>
      </c>
      <c r="L292" s="13">
        <v>-7.9348885404368907E-3</v>
      </c>
      <c r="M292" s="13">
        <v>0.49091409010894327</v>
      </c>
      <c r="N292" s="7">
        <f>'Option source'!C595</f>
        <v>820221.69</v>
      </c>
      <c r="O292" s="7">
        <f>'Option source'!G595</f>
        <v>2</v>
      </c>
      <c r="P292" s="7">
        <f>'Option source'!F595</f>
        <v>5</v>
      </c>
      <c r="Q292" s="1" t="s">
        <v>88</v>
      </c>
      <c r="R292" s="1">
        <v>590</v>
      </c>
    </row>
    <row r="293" spans="1:18" ht="21" customHeight="1">
      <c r="A293" s="8">
        <v>46274</v>
      </c>
      <c r="B293" s="1" t="s">
        <v>125</v>
      </c>
      <c r="C293" s="39" t="s">
        <v>87</v>
      </c>
      <c r="D293" s="7">
        <v>5000</v>
      </c>
      <c r="E293" s="7">
        <f>'Option source'!B92</f>
        <v>2047.78</v>
      </c>
      <c r="F293" s="7">
        <v>7085</v>
      </c>
      <c r="G293" s="14">
        <v>37</v>
      </c>
      <c r="H293" s="7">
        <f t="shared" si="12"/>
        <v>2085</v>
      </c>
      <c r="I293" s="7">
        <f t="shared" si="13"/>
        <v>-37.220000000000027</v>
      </c>
      <c r="J293" s="9">
        <f t="shared" si="14"/>
        <v>0.70571630204657732</v>
      </c>
      <c r="K293" s="9"/>
      <c r="L293" s="13"/>
      <c r="M293" s="13"/>
      <c r="N293" s="7">
        <f>'Option source'!C92</f>
        <v>1842999.75</v>
      </c>
      <c r="O293" s="7">
        <f>'Option source'!G92</f>
        <v>2040</v>
      </c>
      <c r="P293" s="7">
        <f>'Option source'!F92</f>
        <v>2050</v>
      </c>
      <c r="Q293" s="1" t="s">
        <v>144</v>
      </c>
      <c r="R293" s="1">
        <v>87</v>
      </c>
    </row>
    <row r="294" spans="1:18" ht="21" customHeight="1">
      <c r="A294" s="8">
        <v>46274</v>
      </c>
      <c r="B294" s="1" t="s">
        <v>126</v>
      </c>
      <c r="C294" s="39" t="s">
        <v>90</v>
      </c>
      <c r="D294" s="7">
        <v>5000</v>
      </c>
      <c r="E294" s="7">
        <f>'Option source'!B576</f>
        <v>1.66</v>
      </c>
      <c r="F294" s="7">
        <v>7085</v>
      </c>
      <c r="G294" s="14">
        <v>37</v>
      </c>
      <c r="H294" s="7">
        <f t="shared" si="12"/>
        <v>0</v>
      </c>
      <c r="I294" s="7">
        <f t="shared" si="13"/>
        <v>1.66</v>
      </c>
      <c r="J294" s="9">
        <f t="shared" si="14"/>
        <v>0.70571630204657732</v>
      </c>
      <c r="K294" s="9">
        <v>0.47157165523744715</v>
      </c>
      <c r="L294" s="13">
        <v>-4.6743139289761038E-3</v>
      </c>
      <c r="M294" s="13">
        <v>0.30716986033542265</v>
      </c>
      <c r="N294" s="7">
        <f>'Option source'!C576</f>
        <v>753124.12</v>
      </c>
      <c r="O294" s="7">
        <f>'Option source'!G576</f>
        <v>1.55</v>
      </c>
      <c r="P294" s="7">
        <f>'Option source'!F576</f>
        <v>2.99</v>
      </c>
      <c r="Q294" s="1" t="s">
        <v>88</v>
      </c>
      <c r="R294" s="1">
        <v>571</v>
      </c>
    </row>
    <row r="295" spans="1:18" ht="21" customHeight="1">
      <c r="A295" s="8">
        <v>46274</v>
      </c>
      <c r="B295" s="1" t="s">
        <v>138</v>
      </c>
      <c r="C295" s="39" t="s">
        <v>87</v>
      </c>
      <c r="D295" s="7">
        <v>9200</v>
      </c>
      <c r="E295" s="7">
        <f>'Option source'!B443</f>
        <v>17.579999999999998</v>
      </c>
      <c r="F295" s="7">
        <v>7085</v>
      </c>
      <c r="G295" s="14">
        <v>37</v>
      </c>
      <c r="H295" s="7">
        <f t="shared" si="12"/>
        <v>0</v>
      </c>
      <c r="I295" s="7">
        <f t="shared" si="13"/>
        <v>17.579999999999998</v>
      </c>
      <c r="J295" s="9">
        <f t="shared" si="14"/>
        <v>1.2985179957657023</v>
      </c>
      <c r="K295" s="9">
        <v>0.417183256222317</v>
      </c>
      <c r="L295" s="13">
        <v>4.7331087841584171E-2</v>
      </c>
      <c r="M295" s="13">
        <v>2.2266821666023908</v>
      </c>
      <c r="N295" s="7">
        <f>'Option source'!C443</f>
        <v>2789457.25</v>
      </c>
      <c r="O295" s="7">
        <f>'Option source'!G443</f>
        <v>13.5</v>
      </c>
      <c r="P295" s="7">
        <f>'Option source'!F443</f>
        <v>20</v>
      </c>
      <c r="Q295" s="1" t="s">
        <v>88</v>
      </c>
      <c r="R295" s="1">
        <v>438</v>
      </c>
    </row>
    <row r="296" spans="1:18" ht="21" customHeight="1">
      <c r="A296" s="8">
        <v>46274</v>
      </c>
      <c r="B296" s="1" t="s">
        <v>139</v>
      </c>
      <c r="C296" s="39" t="s">
        <v>90</v>
      </c>
      <c r="D296" s="7">
        <v>9200</v>
      </c>
      <c r="E296" s="7">
        <f>'Option source'!B921</f>
        <v>2000</v>
      </c>
      <c r="F296" s="7">
        <v>7085</v>
      </c>
      <c r="G296" s="14">
        <v>37</v>
      </c>
      <c r="H296" s="7">
        <f t="shared" si="12"/>
        <v>2115</v>
      </c>
      <c r="I296" s="7">
        <f t="shared" si="13"/>
        <v>-115</v>
      </c>
      <c r="J296" s="9">
        <f t="shared" si="14"/>
        <v>1.2985179957657023</v>
      </c>
      <c r="K296" s="9"/>
      <c r="L296" s="13"/>
      <c r="M296" s="13"/>
      <c r="N296" s="7">
        <f>'Option source'!C921</f>
        <v>0</v>
      </c>
      <c r="O296" s="7">
        <f>'Option source'!G921</f>
        <v>2000</v>
      </c>
      <c r="P296" s="7">
        <f>'Option source'!F921</f>
        <v>2000</v>
      </c>
      <c r="Q296" s="1" t="s">
        <v>118</v>
      </c>
      <c r="R296" s="1">
        <v>916</v>
      </c>
    </row>
    <row r="297" spans="1:18" ht="21" customHeight="1">
      <c r="A297" s="8">
        <v>46274</v>
      </c>
      <c r="B297" s="1" t="s">
        <v>129</v>
      </c>
      <c r="C297" s="39" t="s">
        <v>87</v>
      </c>
      <c r="D297" s="7">
        <v>4800</v>
      </c>
      <c r="E297" s="7">
        <f>'Option source'!B75</f>
        <v>2347.98</v>
      </c>
      <c r="F297" s="7">
        <v>7085</v>
      </c>
      <c r="G297" s="14">
        <v>37</v>
      </c>
      <c r="H297" s="7">
        <f t="shared" si="12"/>
        <v>2285</v>
      </c>
      <c r="I297" s="7">
        <f t="shared" si="13"/>
        <v>62.980000000000018</v>
      </c>
      <c r="J297" s="9">
        <f t="shared" si="14"/>
        <v>0.67748764996471422</v>
      </c>
      <c r="K297" s="9"/>
      <c r="L297" s="13"/>
      <c r="M297" s="13"/>
      <c r="N297" s="7">
        <f>'Option source'!C75</f>
        <v>0</v>
      </c>
      <c r="O297" s="7">
        <f>'Option source'!G75</f>
        <v>2343.5500000000002</v>
      </c>
      <c r="P297" s="7">
        <f>'Option source'!F75</f>
        <v>2353.5100000000002</v>
      </c>
      <c r="Q297" s="1" t="s">
        <v>25</v>
      </c>
      <c r="R297" s="1">
        <v>70</v>
      </c>
    </row>
    <row r="298" spans="1:18" ht="21" customHeight="1">
      <c r="A298" s="8">
        <v>46274</v>
      </c>
      <c r="B298" s="1" t="s">
        <v>131</v>
      </c>
      <c r="C298" s="39" t="s">
        <v>90</v>
      </c>
      <c r="D298" s="7">
        <v>4800</v>
      </c>
      <c r="E298" s="7">
        <f>'Option source'!B557</f>
        <v>1.39</v>
      </c>
      <c r="F298" s="7">
        <v>7085</v>
      </c>
      <c r="G298" s="14">
        <v>37</v>
      </c>
      <c r="H298" s="7">
        <f t="shared" si="12"/>
        <v>0</v>
      </c>
      <c r="I298" s="7">
        <f t="shared" si="13"/>
        <v>1.39</v>
      </c>
      <c r="J298" s="9">
        <f t="shared" si="14"/>
        <v>0.67748764996471422</v>
      </c>
      <c r="K298" s="9">
        <v>0.50891194769645054</v>
      </c>
      <c r="L298" s="13">
        <v>-3.7730792427157489E-3</v>
      </c>
      <c r="M298" s="13">
        <v>0.25361676256593879</v>
      </c>
      <c r="N298" s="7">
        <f>'Option source'!C557</f>
        <v>165984.70000000001</v>
      </c>
      <c r="O298" s="7">
        <f>'Option source'!G557</f>
        <v>1.2</v>
      </c>
      <c r="P298" s="7">
        <f>'Option source'!F557</f>
        <v>2.06</v>
      </c>
      <c r="Q298" s="1" t="s">
        <v>88</v>
      </c>
      <c r="R298" s="1">
        <v>552</v>
      </c>
    </row>
    <row r="299" spans="1:18" ht="21" customHeight="1">
      <c r="A299" s="8">
        <v>46274</v>
      </c>
      <c r="B299" s="1" t="s">
        <v>142</v>
      </c>
      <c r="C299" s="39" t="s">
        <v>87</v>
      </c>
      <c r="D299" s="7">
        <v>9500</v>
      </c>
      <c r="E299" s="7">
        <f>'Option source'!B462</f>
        <v>10.59</v>
      </c>
      <c r="F299" s="7">
        <v>7085</v>
      </c>
      <c r="G299" s="14">
        <v>37</v>
      </c>
      <c r="H299" s="7">
        <f t="shared" si="12"/>
        <v>0</v>
      </c>
      <c r="I299" s="7">
        <f t="shared" si="13"/>
        <v>10.59</v>
      </c>
      <c r="J299" s="9">
        <f t="shared" si="14"/>
        <v>1.3408609738884969</v>
      </c>
      <c r="K299" s="9">
        <v>0.42373680766553512</v>
      </c>
      <c r="L299" s="13">
        <v>2.9970411912605122E-2</v>
      </c>
      <c r="M299" s="13">
        <v>1.5336125876235787</v>
      </c>
      <c r="N299" s="7">
        <f>'Option source'!C462</f>
        <v>3283683.25</v>
      </c>
      <c r="O299" s="7">
        <f>'Option source'!G462</f>
        <v>6.5</v>
      </c>
      <c r="P299" s="7">
        <f>'Option source'!F462</f>
        <v>11.9</v>
      </c>
      <c r="Q299" s="1" t="s">
        <v>88</v>
      </c>
      <c r="R299" s="1">
        <v>457</v>
      </c>
    </row>
    <row r="300" spans="1:18" ht="21" customHeight="1">
      <c r="A300" s="8">
        <v>46274</v>
      </c>
      <c r="B300" s="1" t="s">
        <v>134</v>
      </c>
      <c r="C300" s="39" t="s">
        <v>87</v>
      </c>
      <c r="D300" s="7">
        <v>4600</v>
      </c>
      <c r="E300" s="7">
        <f>'Option source'!B58</f>
        <v>2550</v>
      </c>
      <c r="F300" s="7">
        <v>7085</v>
      </c>
      <c r="G300" s="14">
        <v>37</v>
      </c>
      <c r="H300" s="7">
        <f t="shared" si="12"/>
        <v>2485</v>
      </c>
      <c r="I300" s="7">
        <f t="shared" si="13"/>
        <v>65</v>
      </c>
      <c r="J300" s="9">
        <f t="shared" si="14"/>
        <v>0.64925899788285113</v>
      </c>
      <c r="K300" s="9"/>
      <c r="L300" s="13"/>
      <c r="M300" s="13"/>
      <c r="N300" s="7">
        <f>'Option source'!C58</f>
        <v>3203120</v>
      </c>
      <c r="O300" s="7">
        <f>'Option source'!G58</f>
        <v>2400</v>
      </c>
      <c r="P300" s="7">
        <f>'Option source'!F58</f>
        <v>2483.73</v>
      </c>
      <c r="Q300" s="1" t="s">
        <v>109</v>
      </c>
      <c r="R300" s="1">
        <v>53</v>
      </c>
    </row>
    <row r="301" spans="1:18" ht="21" customHeight="1">
      <c r="A301" s="8">
        <v>46274</v>
      </c>
      <c r="B301" s="1" t="s">
        <v>135</v>
      </c>
      <c r="C301" s="39" t="s">
        <v>90</v>
      </c>
      <c r="D301" s="7">
        <v>4600</v>
      </c>
      <c r="E301" s="7">
        <f>'Option source'!B538</f>
        <v>1.22</v>
      </c>
      <c r="F301" s="7">
        <v>7085</v>
      </c>
      <c r="G301" s="14">
        <v>37</v>
      </c>
      <c r="H301" s="7">
        <f t="shared" si="12"/>
        <v>0</v>
      </c>
      <c r="I301" s="7">
        <f t="shared" si="13"/>
        <v>1.22</v>
      </c>
      <c r="J301" s="9">
        <f t="shared" si="14"/>
        <v>0.64925899788285113</v>
      </c>
      <c r="K301" s="9">
        <v>0.5474802957197713</v>
      </c>
      <c r="L301" s="13">
        <v>-3.0764406651774268E-3</v>
      </c>
      <c r="M301" s="13">
        <v>0.21111537106352635</v>
      </c>
      <c r="N301" s="7">
        <f>'Option source'!C538</f>
        <v>117621.1</v>
      </c>
      <c r="O301" s="7">
        <f>'Option source'!G538</f>
        <v>1</v>
      </c>
      <c r="P301" s="7">
        <f>'Option source'!F538</f>
        <v>1.8</v>
      </c>
      <c r="Q301" s="1" t="s">
        <v>88</v>
      </c>
      <c r="R301" s="1">
        <v>533</v>
      </c>
    </row>
    <row r="302" spans="1:18" ht="21" customHeight="1">
      <c r="A302" s="8">
        <v>46274</v>
      </c>
      <c r="B302" s="1" t="s">
        <v>136</v>
      </c>
      <c r="C302" s="39" t="s">
        <v>87</v>
      </c>
      <c r="D302" s="7">
        <v>4400</v>
      </c>
      <c r="E302" s="7">
        <f>'Option source'!B39</f>
        <v>2762.2</v>
      </c>
      <c r="F302" s="7">
        <v>7085</v>
      </c>
      <c r="G302" s="14">
        <v>37</v>
      </c>
      <c r="H302" s="7">
        <f t="shared" si="12"/>
        <v>2685</v>
      </c>
      <c r="I302" s="7">
        <f t="shared" si="13"/>
        <v>77.199999999999818</v>
      </c>
      <c r="J302" s="9">
        <f t="shared" si="14"/>
        <v>0.62103034580098804</v>
      </c>
      <c r="K302" s="9"/>
      <c r="L302" s="13"/>
      <c r="M302" s="13"/>
      <c r="N302" s="7">
        <f>'Option source'!C39</f>
        <v>0</v>
      </c>
      <c r="O302" s="7">
        <f>'Option source'!G39</f>
        <v>2619.23</v>
      </c>
      <c r="P302" s="7">
        <f>'Option source'!F39</f>
        <v>3006.1</v>
      </c>
      <c r="Q302" s="1" t="s">
        <v>25</v>
      </c>
      <c r="R302" s="1">
        <v>34</v>
      </c>
    </row>
    <row r="303" spans="1:18" ht="21" customHeight="1">
      <c r="A303" s="8">
        <v>46274</v>
      </c>
      <c r="B303" s="1" t="s">
        <v>137</v>
      </c>
      <c r="C303" s="39" t="s">
        <v>90</v>
      </c>
      <c r="D303" s="7">
        <v>4400</v>
      </c>
      <c r="E303" s="7">
        <f>'Option source'!B519</f>
        <v>1</v>
      </c>
      <c r="F303" s="7">
        <v>7085</v>
      </c>
      <c r="G303" s="14">
        <v>37</v>
      </c>
      <c r="H303" s="7">
        <f t="shared" si="12"/>
        <v>0</v>
      </c>
      <c r="I303" s="7">
        <f t="shared" si="13"/>
        <v>1</v>
      </c>
      <c r="J303" s="9">
        <f t="shared" si="14"/>
        <v>0.62103034580098804</v>
      </c>
      <c r="K303" s="9">
        <v>0.58519110679109854</v>
      </c>
      <c r="L303" s="13">
        <v>-2.4526918375776807E-3</v>
      </c>
      <c r="M303" s="13">
        <v>0.17206885957410145</v>
      </c>
      <c r="N303" s="7">
        <f>'Option source'!C519</f>
        <v>14229</v>
      </c>
      <c r="O303" s="7">
        <f>'Option source'!G519</f>
        <v>1</v>
      </c>
      <c r="P303" s="7">
        <f>'Option source'!F519</f>
        <v>1.5</v>
      </c>
      <c r="Q303" s="1" t="s">
        <v>88</v>
      </c>
      <c r="R303" s="1">
        <v>514</v>
      </c>
    </row>
    <row r="304" spans="1:18" ht="21" customHeight="1">
      <c r="A304" s="8">
        <v>46274</v>
      </c>
      <c r="B304" s="1" t="s">
        <v>143</v>
      </c>
      <c r="C304" s="39" t="s">
        <v>87</v>
      </c>
      <c r="D304" s="7">
        <v>9900</v>
      </c>
      <c r="E304" s="7">
        <f>'Option source'!B481</f>
        <v>6.34</v>
      </c>
      <c r="F304" s="7">
        <v>7085</v>
      </c>
      <c r="G304" s="14">
        <v>37</v>
      </c>
      <c r="H304" s="7">
        <f t="shared" si="12"/>
        <v>0</v>
      </c>
      <c r="I304" s="7">
        <f t="shared" si="13"/>
        <v>6.34</v>
      </c>
      <c r="J304" s="9">
        <f t="shared" si="14"/>
        <v>1.3973182780522231</v>
      </c>
      <c r="K304" s="9">
        <v>0.44221976935787066</v>
      </c>
      <c r="L304" s="13">
        <v>1.8319465036988163E-2</v>
      </c>
      <c r="M304" s="13">
        <v>1.0136707915439069</v>
      </c>
      <c r="N304" s="7">
        <f>'Option source'!C481</f>
        <v>1272586.5</v>
      </c>
      <c r="O304" s="7">
        <f>'Option source'!G481</f>
        <v>5.3</v>
      </c>
      <c r="P304" s="7">
        <f>'Option source'!F481</f>
        <v>7.5</v>
      </c>
      <c r="Q304" s="1" t="s">
        <v>88</v>
      </c>
      <c r="R304" s="1">
        <v>476</v>
      </c>
    </row>
    <row r="305" spans="1:18" ht="21" customHeight="1">
      <c r="A305" s="8">
        <v>46274</v>
      </c>
      <c r="B305" s="1" t="s">
        <v>140</v>
      </c>
      <c r="C305" s="39" t="s">
        <v>87</v>
      </c>
      <c r="D305" s="7">
        <v>4200</v>
      </c>
      <c r="E305" s="7">
        <f>'Option source'!B20</f>
        <v>2845.62</v>
      </c>
      <c r="F305" s="7">
        <v>7085</v>
      </c>
      <c r="G305" s="14">
        <v>37</v>
      </c>
      <c r="H305" s="7">
        <f t="shared" si="12"/>
        <v>2885</v>
      </c>
      <c r="I305" s="7">
        <f t="shared" si="13"/>
        <v>-39.380000000000109</v>
      </c>
      <c r="J305" s="9">
        <f t="shared" si="14"/>
        <v>0.59280169371912494</v>
      </c>
      <c r="K305" s="9"/>
      <c r="L305" s="13"/>
      <c r="M305" s="13"/>
      <c r="N305" s="7">
        <f>'Option source'!C20</f>
        <v>0</v>
      </c>
      <c r="O305" s="7">
        <f>'Option source'!G20</f>
        <v>2839.03</v>
      </c>
      <c r="P305" s="7">
        <f>'Option source'!F20</f>
        <v>2938.68</v>
      </c>
      <c r="Q305" s="1" t="s">
        <v>118</v>
      </c>
      <c r="R305" s="1">
        <v>15</v>
      </c>
    </row>
    <row r="306" spans="1:18" ht="21" customHeight="1">
      <c r="A306" s="8">
        <v>46274</v>
      </c>
      <c r="B306" s="1" t="s">
        <v>141</v>
      </c>
      <c r="C306" s="39" t="s">
        <v>90</v>
      </c>
      <c r="D306" s="7">
        <v>4200</v>
      </c>
      <c r="E306" s="7">
        <f>'Option source'!B500</f>
        <v>0.81</v>
      </c>
      <c r="F306" s="7">
        <v>7085</v>
      </c>
      <c r="G306" s="14">
        <v>37</v>
      </c>
      <c r="H306" s="7">
        <f t="shared" si="12"/>
        <v>0</v>
      </c>
      <c r="I306" s="7">
        <f t="shared" si="13"/>
        <v>0.81</v>
      </c>
      <c r="J306" s="9">
        <f t="shared" si="14"/>
        <v>0.59280169371912494</v>
      </c>
      <c r="K306" s="9">
        <v>0.62113892709788754</v>
      </c>
      <c r="L306" s="13">
        <v>-1.8854409766202451E-3</v>
      </c>
      <c r="M306" s="13">
        <v>0.13555853697616177</v>
      </c>
      <c r="N306" s="7">
        <f>'Option source'!C500</f>
        <v>37293.199999999997</v>
      </c>
      <c r="O306" s="7">
        <f>'Option source'!G500</f>
        <v>0.78</v>
      </c>
      <c r="P306" s="7">
        <f>'Option source'!F500</f>
        <v>1.25</v>
      </c>
      <c r="Q306" s="1" t="s">
        <v>88</v>
      </c>
      <c r="R306" s="1">
        <v>495</v>
      </c>
    </row>
    <row r="307" spans="1:18" ht="21" customHeight="1">
      <c r="A307" s="8">
        <v>46273</v>
      </c>
      <c r="B307" s="1" t="s">
        <v>93</v>
      </c>
      <c r="C307" s="39" t="s">
        <v>87</v>
      </c>
      <c r="D307" s="7">
        <v>7000</v>
      </c>
      <c r="E307" s="7">
        <f>'Option source'!B271</f>
        <v>485.45</v>
      </c>
      <c r="F307" s="7">
        <v>7015</v>
      </c>
      <c r="G307" s="14">
        <v>38</v>
      </c>
      <c r="H307" s="7">
        <f t="shared" si="12"/>
        <v>15</v>
      </c>
      <c r="I307" s="7">
        <f t="shared" si="13"/>
        <v>470.45</v>
      </c>
      <c r="J307" s="9">
        <f t="shared" si="14"/>
        <v>0.99786172487526725</v>
      </c>
      <c r="K307" s="9">
        <v>0.4041019936917703</v>
      </c>
      <c r="L307" s="13">
        <v>0.62595141494868667</v>
      </c>
      <c r="M307" s="13">
        <v>8.576048036037724</v>
      </c>
      <c r="N307" s="7">
        <f>'Option source'!C271</f>
        <v>448907360</v>
      </c>
      <c r="O307" s="7">
        <f>'Option source'!G271</f>
        <v>390</v>
      </c>
      <c r="P307" s="7">
        <f>'Option source'!F271</f>
        <v>535</v>
      </c>
      <c r="Q307" s="1" t="s">
        <v>88</v>
      </c>
      <c r="R307" s="1">
        <v>266</v>
      </c>
    </row>
    <row r="308" spans="1:18" ht="21" customHeight="1">
      <c r="A308" s="8">
        <v>46273</v>
      </c>
      <c r="B308" s="1" t="s">
        <v>94</v>
      </c>
      <c r="C308" s="39" t="s">
        <v>90</v>
      </c>
      <c r="D308" s="7">
        <v>7000</v>
      </c>
      <c r="E308" s="7">
        <f>'Option source'!B765</f>
        <v>317.07</v>
      </c>
      <c r="F308" s="7">
        <v>7015</v>
      </c>
      <c r="G308" s="14">
        <v>38</v>
      </c>
      <c r="H308" s="7">
        <f t="shared" si="12"/>
        <v>0</v>
      </c>
      <c r="I308" s="7">
        <f t="shared" si="13"/>
        <v>317.07</v>
      </c>
      <c r="J308" s="9">
        <f t="shared" si="14"/>
        <v>0.99786172487526725</v>
      </c>
      <c r="K308" s="9">
        <v>0.45187481201290974</v>
      </c>
      <c r="L308" s="13">
        <v>-0.38140355109723401</v>
      </c>
      <c r="M308" s="13">
        <v>8.6278994481895754</v>
      </c>
      <c r="N308" s="7">
        <f>'Option source'!C765</f>
        <v>194390672</v>
      </c>
      <c r="O308" s="7">
        <f>'Option source'!G765</f>
        <v>300.11</v>
      </c>
      <c r="P308" s="7">
        <f>'Option source'!F765</f>
        <v>360</v>
      </c>
      <c r="Q308" s="1" t="s">
        <v>88</v>
      </c>
      <c r="R308" s="1">
        <v>760</v>
      </c>
    </row>
    <row r="309" spans="1:18" ht="21" customHeight="1">
      <c r="A309" s="8">
        <v>46273</v>
      </c>
      <c r="B309" s="1" t="s">
        <v>97</v>
      </c>
      <c r="C309" s="39" t="s">
        <v>87</v>
      </c>
      <c r="D309" s="7">
        <v>7200</v>
      </c>
      <c r="E309" s="7">
        <f>'Option source'!B290</f>
        <v>385.82</v>
      </c>
      <c r="F309" s="7">
        <v>7015</v>
      </c>
      <c r="G309" s="14">
        <v>38</v>
      </c>
      <c r="H309" s="7">
        <f t="shared" si="12"/>
        <v>0</v>
      </c>
      <c r="I309" s="7">
        <f t="shared" si="13"/>
        <v>385.82</v>
      </c>
      <c r="J309" s="9">
        <f t="shared" si="14"/>
        <v>1.0263720598717034</v>
      </c>
      <c r="K309" s="9">
        <v>0.40814932303976798</v>
      </c>
      <c r="L309" s="13">
        <v>0.5419516898811183</v>
      </c>
      <c r="M309" s="13">
        <v>8.9799307445764391</v>
      </c>
      <c r="N309" s="7">
        <f>'Option source'!C290</f>
        <v>219621456</v>
      </c>
      <c r="O309" s="7">
        <f>'Option source'!G290</f>
        <v>316.22000000000003</v>
      </c>
      <c r="P309" s="7">
        <f>'Option source'!F290</f>
        <v>409</v>
      </c>
      <c r="Q309" s="1" t="s">
        <v>88</v>
      </c>
      <c r="R309" s="1">
        <v>285</v>
      </c>
    </row>
    <row r="310" spans="1:18" ht="21" customHeight="1">
      <c r="A310" s="8">
        <v>46273</v>
      </c>
      <c r="B310" s="1" t="s">
        <v>98</v>
      </c>
      <c r="C310" s="39" t="s">
        <v>90</v>
      </c>
      <c r="D310" s="7">
        <v>7200</v>
      </c>
      <c r="E310" s="7">
        <f>'Option source'!B784</f>
        <v>419.99</v>
      </c>
      <c r="F310" s="7">
        <v>7015</v>
      </c>
      <c r="G310" s="14">
        <v>38</v>
      </c>
      <c r="H310" s="7">
        <f t="shared" si="12"/>
        <v>185</v>
      </c>
      <c r="I310" s="7">
        <f t="shared" si="13"/>
        <v>234.99</v>
      </c>
      <c r="J310" s="9">
        <f t="shared" si="14"/>
        <v>1.0263720598717034</v>
      </c>
      <c r="K310" s="9">
        <v>0.45272904101493178</v>
      </c>
      <c r="L310" s="13">
        <v>-0.45673851172964797</v>
      </c>
      <c r="M310" s="13">
        <v>8.9767584573055927</v>
      </c>
      <c r="N310" s="7">
        <f>'Option source'!C784</f>
        <v>48001704</v>
      </c>
      <c r="O310" s="7">
        <f>'Option source'!G784</f>
        <v>398.07</v>
      </c>
      <c r="P310" s="7">
        <f>'Option source'!F784</f>
        <v>480</v>
      </c>
      <c r="Q310" s="1" t="s">
        <v>88</v>
      </c>
      <c r="R310" s="1">
        <v>779</v>
      </c>
    </row>
    <row r="311" spans="1:18" ht="21" customHeight="1">
      <c r="A311" s="8">
        <v>46273</v>
      </c>
      <c r="B311" s="1" t="s">
        <v>86</v>
      </c>
      <c r="C311" s="39" t="s">
        <v>87</v>
      </c>
      <c r="D311" s="7">
        <v>6800</v>
      </c>
      <c r="E311" s="7">
        <f>'Option source'!B252</f>
        <v>595.26</v>
      </c>
      <c r="F311" s="7">
        <v>7015</v>
      </c>
      <c r="G311" s="14">
        <v>38</v>
      </c>
      <c r="H311" s="7">
        <f t="shared" si="12"/>
        <v>215</v>
      </c>
      <c r="I311" s="7">
        <f t="shared" si="13"/>
        <v>380.26</v>
      </c>
      <c r="J311" s="9">
        <f t="shared" si="14"/>
        <v>0.96935138987883107</v>
      </c>
      <c r="K311" s="9">
        <v>0.39118078488655805</v>
      </c>
      <c r="L311" s="13">
        <v>0.7112981145309456</v>
      </c>
      <c r="M311" s="13">
        <v>7.7316039972073352</v>
      </c>
      <c r="N311" s="7">
        <f>'Option source'!C252</f>
        <v>118256008</v>
      </c>
      <c r="O311" s="7">
        <f>'Option source'!G252</f>
        <v>520</v>
      </c>
      <c r="P311" s="7">
        <f>'Option source'!F252</f>
        <v>624</v>
      </c>
      <c r="Q311" s="1" t="s">
        <v>88</v>
      </c>
      <c r="R311" s="1">
        <v>247</v>
      </c>
    </row>
    <row r="312" spans="1:18" ht="21" customHeight="1">
      <c r="A312" s="8">
        <v>46273</v>
      </c>
      <c r="B312" s="1" t="s">
        <v>89</v>
      </c>
      <c r="C312" s="39" t="s">
        <v>90</v>
      </c>
      <c r="D312" s="7">
        <v>6800</v>
      </c>
      <c r="E312" s="7">
        <f>'Option source'!B746</f>
        <v>224.24</v>
      </c>
      <c r="F312" s="7">
        <v>7015</v>
      </c>
      <c r="G312" s="14">
        <v>38</v>
      </c>
      <c r="H312" s="7">
        <f t="shared" si="12"/>
        <v>0</v>
      </c>
      <c r="I312" s="7">
        <f t="shared" si="13"/>
        <v>224.24</v>
      </c>
      <c r="J312" s="9">
        <f t="shared" si="14"/>
        <v>0.96935138987883107</v>
      </c>
      <c r="K312" s="9">
        <v>0.44089093632617787</v>
      </c>
      <c r="L312" s="13">
        <v>-0.30520283059136932</v>
      </c>
      <c r="M312" s="13">
        <v>7.9307638884868696</v>
      </c>
      <c r="N312" s="7">
        <f>'Option source'!C746</f>
        <v>105680440</v>
      </c>
      <c r="O312" s="7">
        <f>'Option source'!G746</f>
        <v>215</v>
      </c>
      <c r="P312" s="7">
        <f>'Option source'!F746</f>
        <v>284.99</v>
      </c>
      <c r="Q312" s="1" t="s">
        <v>88</v>
      </c>
      <c r="R312" s="1">
        <v>741</v>
      </c>
    </row>
    <row r="313" spans="1:18" ht="21" customHeight="1">
      <c r="A313" s="8">
        <v>46273</v>
      </c>
      <c r="B313" s="1" t="s">
        <v>102</v>
      </c>
      <c r="C313" s="39" t="s">
        <v>87</v>
      </c>
      <c r="D313" s="7">
        <v>7400</v>
      </c>
      <c r="E313" s="7">
        <f>'Option source'!B309</f>
        <v>298.68</v>
      </c>
      <c r="F313" s="7">
        <v>7015</v>
      </c>
      <c r="G313" s="14">
        <v>38</v>
      </c>
      <c r="H313" s="7">
        <f t="shared" si="12"/>
        <v>0</v>
      </c>
      <c r="I313" s="7">
        <f t="shared" si="13"/>
        <v>298.68</v>
      </c>
      <c r="J313" s="9">
        <f t="shared" si="14"/>
        <v>1.0548823948681396</v>
      </c>
      <c r="K313" s="9">
        <v>0.40782996371271213</v>
      </c>
      <c r="L313" s="13">
        <v>0.45902804307805561</v>
      </c>
      <c r="M313" s="13">
        <v>8.9822396348192211</v>
      </c>
      <c r="N313" s="7">
        <f>'Option source'!C309</f>
        <v>233745536</v>
      </c>
      <c r="O313" s="7">
        <f>'Option source'!G309</f>
        <v>250.5</v>
      </c>
      <c r="P313" s="7">
        <f>'Option source'!F309</f>
        <v>319</v>
      </c>
      <c r="Q313" s="1" t="s">
        <v>88</v>
      </c>
      <c r="R313" s="1">
        <v>304</v>
      </c>
    </row>
    <row r="314" spans="1:18" ht="21" customHeight="1">
      <c r="A314" s="8">
        <v>46273</v>
      </c>
      <c r="B314" s="1" t="s">
        <v>103</v>
      </c>
      <c r="C314" s="39" t="s">
        <v>90</v>
      </c>
      <c r="D314" s="7">
        <v>7400</v>
      </c>
      <c r="E314" s="7">
        <f>'Option source'!B803</f>
        <v>535.47</v>
      </c>
      <c r="F314" s="7">
        <v>7015</v>
      </c>
      <c r="G314" s="14">
        <v>38</v>
      </c>
      <c r="H314" s="7">
        <f t="shared" si="12"/>
        <v>385</v>
      </c>
      <c r="I314" s="7">
        <f t="shared" si="13"/>
        <v>150.47000000000003</v>
      </c>
      <c r="J314" s="9">
        <f t="shared" si="14"/>
        <v>1.0548823948681396</v>
      </c>
      <c r="K314" s="9">
        <v>0.4478251854503455</v>
      </c>
      <c r="L314" s="13">
        <v>-0.53242441183052613</v>
      </c>
      <c r="M314" s="13">
        <v>9.0000622411033078</v>
      </c>
      <c r="N314" s="7">
        <f>'Option source'!C803</f>
        <v>9589832</v>
      </c>
      <c r="O314" s="7">
        <f>'Option source'!G803</f>
        <v>511.69</v>
      </c>
      <c r="P314" s="7">
        <f>'Option source'!F803</f>
        <v>602.03</v>
      </c>
      <c r="Q314" s="1" t="s">
        <v>88</v>
      </c>
      <c r="R314" s="1">
        <v>798</v>
      </c>
    </row>
    <row r="315" spans="1:18" ht="21" customHeight="1">
      <c r="A315" s="8">
        <v>46273</v>
      </c>
      <c r="B315" s="1" t="s">
        <v>91</v>
      </c>
      <c r="C315" s="39" t="s">
        <v>87</v>
      </c>
      <c r="D315" s="7">
        <v>6600</v>
      </c>
      <c r="E315" s="7">
        <f>'Option source'!B233</f>
        <v>731.04</v>
      </c>
      <c r="F315" s="7">
        <v>7015</v>
      </c>
      <c r="G315" s="14">
        <v>38</v>
      </c>
      <c r="H315" s="7">
        <f t="shared" si="12"/>
        <v>415</v>
      </c>
      <c r="I315" s="7">
        <f t="shared" si="13"/>
        <v>316.03999999999996</v>
      </c>
      <c r="J315" s="9">
        <f t="shared" si="14"/>
        <v>0.94084105488239489</v>
      </c>
      <c r="K315" s="9">
        <v>0.38897288267428326</v>
      </c>
      <c r="L315" s="13">
        <v>0.78741674555067731</v>
      </c>
      <c r="M315" s="13">
        <v>6.5702148078271367</v>
      </c>
      <c r="N315" s="7">
        <f>'Option source'!C233</f>
        <v>70286280</v>
      </c>
      <c r="O315" s="7">
        <f>'Option source'!G233</f>
        <v>650</v>
      </c>
      <c r="P315" s="7">
        <f>'Option source'!F233</f>
        <v>750</v>
      </c>
      <c r="Q315" s="1" t="s">
        <v>88</v>
      </c>
      <c r="R315" s="1">
        <v>228</v>
      </c>
    </row>
    <row r="316" spans="1:18" ht="21" customHeight="1">
      <c r="A316" s="8">
        <v>46273</v>
      </c>
      <c r="B316" s="1" t="s">
        <v>92</v>
      </c>
      <c r="C316" s="39" t="s">
        <v>90</v>
      </c>
      <c r="D316" s="7">
        <v>6600</v>
      </c>
      <c r="E316" s="7">
        <f>'Option source'!B727</f>
        <v>164.7</v>
      </c>
      <c r="F316" s="7">
        <v>7015</v>
      </c>
      <c r="G316" s="14">
        <v>38</v>
      </c>
      <c r="H316" s="7">
        <f t="shared" si="12"/>
        <v>0</v>
      </c>
      <c r="I316" s="7">
        <f t="shared" si="13"/>
        <v>164.7</v>
      </c>
      <c r="J316" s="9">
        <f t="shared" si="14"/>
        <v>0.94084105488239489</v>
      </c>
      <c r="K316" s="9">
        <v>0.45174651211435035</v>
      </c>
      <c r="L316" s="13">
        <v>-0.24024335797357976</v>
      </c>
      <c r="M316" s="13">
        <v>7.0403822852339628</v>
      </c>
      <c r="N316" s="7">
        <f>'Option source'!C727</f>
        <v>68128544</v>
      </c>
      <c r="O316" s="7">
        <f>'Option source'!G727</f>
        <v>154</v>
      </c>
      <c r="P316" s="7">
        <f>'Option source'!F727</f>
        <v>200</v>
      </c>
      <c r="Q316" s="1" t="s">
        <v>88</v>
      </c>
      <c r="R316" s="1">
        <v>722</v>
      </c>
    </row>
    <row r="317" spans="1:18" ht="21" customHeight="1">
      <c r="A317" s="8">
        <v>46273</v>
      </c>
      <c r="B317" s="1" t="s">
        <v>106</v>
      </c>
      <c r="C317" s="39" t="s">
        <v>87</v>
      </c>
      <c r="D317" s="7">
        <v>7600</v>
      </c>
      <c r="E317" s="7">
        <f>'Option source'!B328</f>
        <v>227.39</v>
      </c>
      <c r="F317" s="7">
        <v>7015</v>
      </c>
      <c r="G317" s="14">
        <v>38</v>
      </c>
      <c r="H317" s="7">
        <f t="shared" si="12"/>
        <v>0</v>
      </c>
      <c r="I317" s="7">
        <f t="shared" si="13"/>
        <v>227.39</v>
      </c>
      <c r="J317" s="9">
        <f t="shared" si="14"/>
        <v>1.0833927298645758</v>
      </c>
      <c r="K317" s="9">
        <v>0.40800935105909969</v>
      </c>
      <c r="L317" s="13">
        <v>0.38004927563246182</v>
      </c>
      <c r="M317" s="13">
        <v>8.6185938527126194</v>
      </c>
      <c r="N317" s="7">
        <f>'Option source'!C328</f>
        <v>340755424</v>
      </c>
      <c r="O317" s="7">
        <f>'Option source'!G328</f>
        <v>189.34</v>
      </c>
      <c r="P317" s="7">
        <f>'Option source'!F328</f>
        <v>247.9</v>
      </c>
      <c r="Q317" s="1" t="s">
        <v>88</v>
      </c>
      <c r="R317" s="1">
        <v>323</v>
      </c>
    </row>
    <row r="318" spans="1:18" ht="21" customHeight="1">
      <c r="A318" s="8">
        <v>46273</v>
      </c>
      <c r="B318" s="1" t="s">
        <v>107</v>
      </c>
      <c r="C318" s="39" t="s">
        <v>90</v>
      </c>
      <c r="D318" s="7">
        <v>7600</v>
      </c>
      <c r="E318" s="7">
        <f>'Option source'!B822</f>
        <v>643.01</v>
      </c>
      <c r="F318" s="7">
        <v>7015</v>
      </c>
      <c r="G318" s="14">
        <v>38</v>
      </c>
      <c r="H318" s="7">
        <f t="shared" si="12"/>
        <v>585</v>
      </c>
      <c r="I318" s="7">
        <f t="shared" si="13"/>
        <v>58.009999999999991</v>
      </c>
      <c r="J318" s="9">
        <f t="shared" si="14"/>
        <v>1.0833927298645758</v>
      </c>
      <c r="K318" s="9"/>
      <c r="L318" s="13"/>
      <c r="M318" s="13"/>
      <c r="N318" s="7">
        <f>'Option source'!C822</f>
        <v>6452029</v>
      </c>
      <c r="O318" s="7">
        <f>'Option source'!G822</f>
        <v>650</v>
      </c>
      <c r="P318" s="7">
        <f>'Option source'!F822</f>
        <v>688.07</v>
      </c>
      <c r="Q318" s="1" t="s">
        <v>109</v>
      </c>
      <c r="R318" s="1">
        <v>817</v>
      </c>
    </row>
    <row r="319" spans="1:18" ht="21" customHeight="1">
      <c r="A319" s="8">
        <v>46273</v>
      </c>
      <c r="B319" s="1" t="s">
        <v>95</v>
      </c>
      <c r="C319" s="39" t="s">
        <v>87</v>
      </c>
      <c r="D319" s="7">
        <v>6400</v>
      </c>
      <c r="E319" s="7">
        <f>'Option source'!B214</f>
        <v>900</v>
      </c>
      <c r="F319" s="7">
        <v>7015</v>
      </c>
      <c r="G319" s="14">
        <v>38</v>
      </c>
      <c r="H319" s="7">
        <f t="shared" si="12"/>
        <v>615</v>
      </c>
      <c r="I319" s="7">
        <f t="shared" si="13"/>
        <v>285</v>
      </c>
      <c r="J319" s="9">
        <f t="shared" si="14"/>
        <v>0.91233071988595871</v>
      </c>
      <c r="K319" s="9">
        <v>0.41959811031252331</v>
      </c>
      <c r="L319" s="13">
        <v>0.83549010063794671</v>
      </c>
      <c r="M319" s="13">
        <v>5.6078404503033985</v>
      </c>
      <c r="N319" s="7">
        <f>'Option source'!C214</f>
        <v>19926616</v>
      </c>
      <c r="O319" s="7">
        <f>'Option source'!G214</f>
        <v>800</v>
      </c>
      <c r="P319" s="7">
        <f>'Option source'!F214</f>
        <v>955</v>
      </c>
      <c r="Q319" s="1" t="s">
        <v>88</v>
      </c>
      <c r="R319" s="1">
        <v>209</v>
      </c>
    </row>
    <row r="320" spans="1:18" ht="21" customHeight="1">
      <c r="A320" s="8">
        <v>46273</v>
      </c>
      <c r="B320" s="1" t="s">
        <v>96</v>
      </c>
      <c r="C320" s="39" t="s">
        <v>90</v>
      </c>
      <c r="D320" s="7">
        <v>6400</v>
      </c>
      <c r="E320" s="7">
        <f>'Option source'!B708</f>
        <v>109.53</v>
      </c>
      <c r="F320" s="7">
        <v>7015</v>
      </c>
      <c r="G320" s="14">
        <v>38</v>
      </c>
      <c r="H320" s="7">
        <f t="shared" si="12"/>
        <v>0</v>
      </c>
      <c r="I320" s="7">
        <f t="shared" si="13"/>
        <v>109.53</v>
      </c>
      <c r="J320" s="9">
        <f t="shared" si="14"/>
        <v>0.91233071988595871</v>
      </c>
      <c r="K320" s="9">
        <v>0.44678217563346595</v>
      </c>
      <c r="L320" s="13">
        <v>-0.17742959615597842</v>
      </c>
      <c r="M320" s="13">
        <v>5.8857805679590447</v>
      </c>
      <c r="N320" s="7">
        <f>'Option source'!C708</f>
        <v>32637114</v>
      </c>
      <c r="O320" s="7">
        <f>'Option source'!G708</f>
        <v>101.3</v>
      </c>
      <c r="P320" s="7">
        <f>'Option source'!F708</f>
        <v>134</v>
      </c>
      <c r="Q320" s="1" t="s">
        <v>88</v>
      </c>
      <c r="R320" s="1">
        <v>703</v>
      </c>
    </row>
    <row r="321" spans="1:18" ht="21" customHeight="1">
      <c r="A321" s="8">
        <v>46273</v>
      </c>
      <c r="B321" s="1" t="s">
        <v>111</v>
      </c>
      <c r="C321" s="39" t="s">
        <v>87</v>
      </c>
      <c r="D321" s="7">
        <v>7800</v>
      </c>
      <c r="E321" s="7">
        <f>'Option source'!B347</f>
        <v>174.8</v>
      </c>
      <c r="F321" s="7">
        <v>7015</v>
      </c>
      <c r="G321" s="14">
        <v>38</v>
      </c>
      <c r="H321" s="7">
        <f t="shared" si="12"/>
        <v>0</v>
      </c>
      <c r="I321" s="7">
        <f t="shared" si="13"/>
        <v>174.8</v>
      </c>
      <c r="J321" s="9">
        <f t="shared" si="14"/>
        <v>1.1119030648610122</v>
      </c>
      <c r="K321" s="9">
        <v>0.41407473225117397</v>
      </c>
      <c r="L321" s="13">
        <v>0.31088079743669295</v>
      </c>
      <c r="M321" s="13">
        <v>7.9952048982592272</v>
      </c>
      <c r="N321" s="7">
        <f>'Option source'!C347</f>
        <v>101308856</v>
      </c>
      <c r="O321" s="7">
        <f>'Option source'!G347</f>
        <v>140</v>
      </c>
      <c r="P321" s="7">
        <f>'Option source'!F347</f>
        <v>187.5</v>
      </c>
      <c r="Q321" s="1" t="s">
        <v>88</v>
      </c>
      <c r="R321" s="1">
        <v>342</v>
      </c>
    </row>
    <row r="322" spans="1:18" ht="21" customHeight="1">
      <c r="A322" s="8">
        <v>46273</v>
      </c>
      <c r="B322" s="1" t="s">
        <v>112</v>
      </c>
      <c r="C322" s="39" t="s">
        <v>90</v>
      </c>
      <c r="D322" s="7">
        <v>7800</v>
      </c>
      <c r="E322" s="7">
        <f>'Option source'!B841</f>
        <v>780</v>
      </c>
      <c r="F322" s="7">
        <v>7015</v>
      </c>
      <c r="G322" s="14">
        <v>38</v>
      </c>
      <c r="H322" s="7">
        <f t="shared" si="12"/>
        <v>785</v>
      </c>
      <c r="I322" s="7">
        <f t="shared" si="13"/>
        <v>-5</v>
      </c>
      <c r="J322" s="9">
        <f t="shared" si="14"/>
        <v>1.1119030648610122</v>
      </c>
      <c r="K322" s="9"/>
      <c r="L322" s="13"/>
      <c r="M322" s="13"/>
      <c r="N322" s="7">
        <f>'Option source'!C841</f>
        <v>0</v>
      </c>
      <c r="O322" s="7">
        <f>'Option source'!G841</f>
        <v>790</v>
      </c>
      <c r="P322" s="7">
        <f>'Option source'!F841</f>
        <v>790</v>
      </c>
      <c r="Q322" s="1" t="s">
        <v>145</v>
      </c>
      <c r="R322" s="1">
        <v>836</v>
      </c>
    </row>
    <row r="323" spans="1:18" ht="21" customHeight="1">
      <c r="A323" s="8">
        <v>46273</v>
      </c>
      <c r="B323" s="1" t="s">
        <v>99</v>
      </c>
      <c r="C323" s="39" t="s">
        <v>87</v>
      </c>
      <c r="D323" s="7">
        <v>6200</v>
      </c>
      <c r="E323" s="7">
        <f>'Option source'!B195</f>
        <v>1065</v>
      </c>
      <c r="F323" s="7">
        <v>7015</v>
      </c>
      <c r="G323" s="14">
        <v>38</v>
      </c>
      <c r="H323" s="7">
        <f t="shared" si="12"/>
        <v>815</v>
      </c>
      <c r="I323" s="7">
        <f t="shared" si="13"/>
        <v>250</v>
      </c>
      <c r="J323" s="9">
        <f t="shared" si="14"/>
        <v>0.88382038488952241</v>
      </c>
      <c r="K323" s="9">
        <v>0.42881562330739448</v>
      </c>
      <c r="L323" s="13">
        <v>0.88248724171801163</v>
      </c>
      <c r="M323" s="13">
        <v>4.461337773008748</v>
      </c>
      <c r="N323" s="7">
        <f>'Option source'!C195</f>
        <v>2420717.5</v>
      </c>
      <c r="O323" s="7">
        <f>'Option source'!G195</f>
        <v>980</v>
      </c>
      <c r="P323" s="7">
        <f>'Option source'!F195</f>
        <v>1065</v>
      </c>
      <c r="Q323" s="1" t="s">
        <v>88</v>
      </c>
      <c r="R323" s="1">
        <v>190</v>
      </c>
    </row>
    <row r="324" spans="1:18" ht="21" customHeight="1">
      <c r="A324" s="8">
        <v>46273</v>
      </c>
      <c r="B324" s="1" t="s">
        <v>101</v>
      </c>
      <c r="C324" s="39" t="s">
        <v>90</v>
      </c>
      <c r="D324" s="7">
        <v>6200</v>
      </c>
      <c r="E324" s="7">
        <f>'Option source'!B689</f>
        <v>68.23</v>
      </c>
      <c r="F324" s="7">
        <v>7015</v>
      </c>
      <c r="G324" s="14">
        <v>38</v>
      </c>
      <c r="H324" s="7">
        <f t="shared" si="12"/>
        <v>0</v>
      </c>
      <c r="I324" s="7">
        <f t="shared" si="13"/>
        <v>68.23</v>
      </c>
      <c r="J324" s="9">
        <f t="shared" si="14"/>
        <v>0.88382038488952241</v>
      </c>
      <c r="K324" s="9">
        <v>0.44168627479121708</v>
      </c>
      <c r="L324" s="13">
        <v>-0.12363597810376281</v>
      </c>
      <c r="M324" s="13">
        <v>4.6237960886862535</v>
      </c>
      <c r="N324" s="7">
        <f>'Option source'!C689</f>
        <v>21542124</v>
      </c>
      <c r="O324" s="7">
        <f>'Option source'!G689</f>
        <v>67</v>
      </c>
      <c r="P324" s="7">
        <f>'Option source'!F689</f>
        <v>85.9</v>
      </c>
      <c r="Q324" s="1" t="s">
        <v>88</v>
      </c>
      <c r="R324" s="1">
        <v>684</v>
      </c>
    </row>
    <row r="325" spans="1:18" ht="21" customHeight="1">
      <c r="A325" s="8">
        <v>46273</v>
      </c>
      <c r="B325" s="1" t="s">
        <v>116</v>
      </c>
      <c r="C325" s="39" t="s">
        <v>87</v>
      </c>
      <c r="D325" s="7">
        <v>8000</v>
      </c>
      <c r="E325" s="7">
        <f>'Option source'!B366</f>
        <v>128.68</v>
      </c>
      <c r="F325" s="7">
        <v>7015</v>
      </c>
      <c r="G325" s="14">
        <v>38</v>
      </c>
      <c r="H325" s="7">
        <f t="shared" si="12"/>
        <v>0</v>
      </c>
      <c r="I325" s="7">
        <f t="shared" si="13"/>
        <v>128.68</v>
      </c>
      <c r="J325" s="9">
        <f t="shared" si="14"/>
        <v>1.1404133998574484</v>
      </c>
      <c r="K325" s="9">
        <v>0.41340481984137029</v>
      </c>
      <c r="L325" s="13">
        <v>0.24693233946669815</v>
      </c>
      <c r="M325" s="13">
        <v>7.1455799325223506</v>
      </c>
      <c r="N325" s="7">
        <f>'Option source'!C366</f>
        <v>364902048</v>
      </c>
      <c r="O325" s="7">
        <f>'Option source'!G366</f>
        <v>108</v>
      </c>
      <c r="P325" s="7">
        <f>'Option source'!F366</f>
        <v>145</v>
      </c>
      <c r="Q325" s="1" t="s">
        <v>88</v>
      </c>
      <c r="R325" s="1">
        <v>361</v>
      </c>
    </row>
    <row r="326" spans="1:18" ht="21" customHeight="1">
      <c r="A326" s="8">
        <v>46273</v>
      </c>
      <c r="B326" s="1" t="s">
        <v>117</v>
      </c>
      <c r="C326" s="39" t="s">
        <v>90</v>
      </c>
      <c r="D326" s="7">
        <v>8000</v>
      </c>
      <c r="E326" s="7">
        <f>'Option source'!B860</f>
        <v>960</v>
      </c>
      <c r="F326" s="7">
        <v>7015</v>
      </c>
      <c r="G326" s="14">
        <v>38</v>
      </c>
      <c r="H326" s="7">
        <f t="shared" si="12"/>
        <v>985</v>
      </c>
      <c r="I326" s="7">
        <f t="shared" si="13"/>
        <v>-25</v>
      </c>
      <c r="J326" s="9">
        <f t="shared" si="14"/>
        <v>1.1404133998574484</v>
      </c>
      <c r="K326" s="9"/>
      <c r="L326" s="13"/>
      <c r="M326" s="13"/>
      <c r="N326" s="7">
        <f>'Option source'!C860</f>
        <v>498793</v>
      </c>
      <c r="O326" s="7">
        <f>'Option source'!G860</f>
        <v>947.93</v>
      </c>
      <c r="P326" s="7">
        <f>'Option source'!F860</f>
        <v>1100</v>
      </c>
      <c r="Q326" s="1" t="s">
        <v>144</v>
      </c>
      <c r="R326" s="1">
        <v>855</v>
      </c>
    </row>
    <row r="327" spans="1:18" ht="21" customHeight="1">
      <c r="A327" s="8">
        <v>46273</v>
      </c>
      <c r="B327" s="1" t="s">
        <v>104</v>
      </c>
      <c r="C327" s="39" t="s">
        <v>87</v>
      </c>
      <c r="D327" s="7">
        <v>6000</v>
      </c>
      <c r="E327" s="7">
        <f>'Option source'!B176</f>
        <v>1200</v>
      </c>
      <c r="F327" s="7">
        <v>7015</v>
      </c>
      <c r="G327" s="14">
        <v>38</v>
      </c>
      <c r="H327" s="7">
        <f t="shared" ref="H327:H390" si="15">MAX(IF(C327="call",F327-D327,D327-F327),0)</f>
        <v>1015</v>
      </c>
      <c r="I327" s="7">
        <f t="shared" ref="I327:I390" si="16">E327-H327</f>
        <v>185</v>
      </c>
      <c r="J327" s="9">
        <f t="shared" ref="J327:J390" si="17">D327/F327</f>
        <v>0.85531004989308623</v>
      </c>
      <c r="K327" s="9">
        <v>0.216571663398199</v>
      </c>
      <c r="L327" s="13">
        <v>0.99672099087754251</v>
      </c>
      <c r="M327" s="13">
        <v>0.22434762966019461</v>
      </c>
      <c r="N327" s="7">
        <f>'Option source'!C176</f>
        <v>1927000</v>
      </c>
      <c r="O327" s="7">
        <f>'Option source'!G176</f>
        <v>1200</v>
      </c>
      <c r="P327" s="7">
        <f>'Option source'!F176</f>
        <v>1210</v>
      </c>
      <c r="Q327" s="1" t="s">
        <v>88</v>
      </c>
      <c r="R327" s="1">
        <v>171</v>
      </c>
    </row>
    <row r="328" spans="1:18" ht="21" customHeight="1">
      <c r="A328" s="8">
        <v>46273</v>
      </c>
      <c r="B328" s="1" t="s">
        <v>105</v>
      </c>
      <c r="C328" s="39" t="s">
        <v>90</v>
      </c>
      <c r="D328" s="7">
        <v>6000</v>
      </c>
      <c r="E328" s="7">
        <f>'Option source'!B670</f>
        <v>42.06</v>
      </c>
      <c r="F328" s="7">
        <v>7015</v>
      </c>
      <c r="G328" s="14">
        <v>38</v>
      </c>
      <c r="H328" s="7">
        <f t="shared" si="15"/>
        <v>0</v>
      </c>
      <c r="I328" s="7">
        <f t="shared" si="16"/>
        <v>42.06</v>
      </c>
      <c r="J328" s="9">
        <f t="shared" si="17"/>
        <v>0.85531004989308623</v>
      </c>
      <c r="K328" s="9">
        <v>0.44244802928135951</v>
      </c>
      <c r="L328" s="13">
        <v>-8.3035568400066762E-2</v>
      </c>
      <c r="M328" s="13">
        <v>3.4608483038548905</v>
      </c>
      <c r="N328" s="7">
        <f>'Option source'!C670</f>
        <v>20004866</v>
      </c>
      <c r="O328" s="7">
        <f>'Option source'!G670</f>
        <v>40</v>
      </c>
      <c r="P328" s="7">
        <f>'Option source'!F670</f>
        <v>52.99</v>
      </c>
      <c r="Q328" s="1" t="s">
        <v>88</v>
      </c>
      <c r="R328" s="1">
        <v>665</v>
      </c>
    </row>
    <row r="329" spans="1:18" ht="21" customHeight="1">
      <c r="A329" s="8">
        <v>46273</v>
      </c>
      <c r="B329" s="1" t="s">
        <v>108</v>
      </c>
      <c r="C329" s="39" t="s">
        <v>87</v>
      </c>
      <c r="D329" s="7">
        <v>5800</v>
      </c>
      <c r="E329" s="7">
        <f>'Option source'!B157</f>
        <v>1310</v>
      </c>
      <c r="F329" s="7">
        <v>7015</v>
      </c>
      <c r="G329" s="14">
        <v>38</v>
      </c>
      <c r="H329" s="7">
        <f t="shared" si="15"/>
        <v>1215</v>
      </c>
      <c r="I329" s="7">
        <f t="shared" si="16"/>
        <v>95</v>
      </c>
      <c r="J329" s="9">
        <f t="shared" si="17"/>
        <v>0.82679971489665005</v>
      </c>
      <c r="K329" s="9"/>
      <c r="L329" s="13"/>
      <c r="M329" s="13"/>
      <c r="N329" s="7">
        <f>'Option source'!C157</f>
        <v>776913.62</v>
      </c>
      <c r="O329" s="7">
        <f>'Option source'!G157</f>
        <v>1277.08</v>
      </c>
      <c r="P329" s="7">
        <f>'Option source'!F157</f>
        <v>1310</v>
      </c>
      <c r="Q329" s="1" t="s">
        <v>100</v>
      </c>
      <c r="R329" s="1">
        <v>152</v>
      </c>
    </row>
    <row r="330" spans="1:18" ht="21" customHeight="1">
      <c r="A330" s="8">
        <v>46273</v>
      </c>
      <c r="B330" s="1" t="s">
        <v>110</v>
      </c>
      <c r="C330" s="39" t="s">
        <v>90</v>
      </c>
      <c r="D330" s="7">
        <v>5800</v>
      </c>
      <c r="E330" s="7">
        <f>'Option source'!B651</f>
        <v>23.9</v>
      </c>
      <c r="F330" s="7">
        <v>7015</v>
      </c>
      <c r="G330" s="14">
        <v>38</v>
      </c>
      <c r="H330" s="7">
        <f t="shared" si="15"/>
        <v>0</v>
      </c>
      <c r="I330" s="7">
        <f t="shared" si="16"/>
        <v>23.9</v>
      </c>
      <c r="J330" s="9">
        <f t="shared" si="17"/>
        <v>0.82679971489665005</v>
      </c>
      <c r="K330" s="9">
        <v>0.44090596587573005</v>
      </c>
      <c r="L330" s="13">
        <v>-5.180628382206165E-2</v>
      </c>
      <c r="M330" s="13">
        <v>2.401329566772922</v>
      </c>
      <c r="N330" s="7">
        <f>'Option source'!C651</f>
        <v>8513327</v>
      </c>
      <c r="O330" s="7">
        <f>'Option source'!G651</f>
        <v>22.16</v>
      </c>
      <c r="P330" s="7">
        <f>'Option source'!F651</f>
        <v>30</v>
      </c>
      <c r="Q330" s="1" t="s">
        <v>88</v>
      </c>
      <c r="R330" s="1">
        <v>646</v>
      </c>
    </row>
    <row r="331" spans="1:18" ht="21" customHeight="1">
      <c r="A331" s="8">
        <v>46273</v>
      </c>
      <c r="B331" s="1" t="s">
        <v>121</v>
      </c>
      <c r="C331" s="39" t="s">
        <v>87</v>
      </c>
      <c r="D331" s="7">
        <v>8300</v>
      </c>
      <c r="E331" s="7">
        <f>'Option source'!B385</f>
        <v>81.94</v>
      </c>
      <c r="F331" s="7">
        <v>7015</v>
      </c>
      <c r="G331" s="14">
        <v>38</v>
      </c>
      <c r="H331" s="7">
        <f t="shared" si="15"/>
        <v>0</v>
      </c>
      <c r="I331" s="7">
        <f t="shared" si="16"/>
        <v>81.94</v>
      </c>
      <c r="J331" s="9">
        <f t="shared" si="17"/>
        <v>1.1831789023521027</v>
      </c>
      <c r="K331" s="9">
        <v>0.4182037196716149</v>
      </c>
      <c r="L331" s="13">
        <v>0.1716648948245697</v>
      </c>
      <c r="M331" s="13">
        <v>5.763601779102653</v>
      </c>
      <c r="N331" s="7">
        <f>'Option source'!C385</f>
        <v>47876372</v>
      </c>
      <c r="O331" s="7">
        <f>'Option source'!G385</f>
        <v>67</v>
      </c>
      <c r="P331" s="7">
        <f>'Option source'!F385</f>
        <v>92</v>
      </c>
      <c r="Q331" s="1" t="s">
        <v>88</v>
      </c>
      <c r="R331" s="1">
        <v>380</v>
      </c>
    </row>
    <row r="332" spans="1:18" ht="21" customHeight="1">
      <c r="A332" s="8">
        <v>46273</v>
      </c>
      <c r="B332" s="1" t="s">
        <v>122</v>
      </c>
      <c r="C332" s="39" t="s">
        <v>90</v>
      </c>
      <c r="D332" s="7">
        <v>8300</v>
      </c>
      <c r="E332" s="7">
        <f>'Option source'!B879</f>
        <v>1350</v>
      </c>
      <c r="F332" s="7">
        <v>7015</v>
      </c>
      <c r="G332" s="14">
        <v>38</v>
      </c>
      <c r="H332" s="7">
        <f t="shared" si="15"/>
        <v>1285</v>
      </c>
      <c r="I332" s="7">
        <f t="shared" si="16"/>
        <v>65</v>
      </c>
      <c r="J332" s="9">
        <f t="shared" si="17"/>
        <v>1.1831789023521027</v>
      </c>
      <c r="K332" s="9"/>
      <c r="L332" s="13"/>
      <c r="M332" s="13"/>
      <c r="N332" s="7">
        <f>'Option source'!C879</f>
        <v>0</v>
      </c>
      <c r="O332" s="7">
        <f>'Option source'!G879</f>
        <v>1350</v>
      </c>
      <c r="P332" s="7">
        <f>'Option source'!F879</f>
        <v>1350</v>
      </c>
      <c r="Q332" s="1" t="s">
        <v>25</v>
      </c>
      <c r="R332" s="1">
        <v>874</v>
      </c>
    </row>
    <row r="333" spans="1:18" ht="21" customHeight="1">
      <c r="A333" s="8">
        <v>46273</v>
      </c>
      <c r="B333" s="1" t="s">
        <v>114</v>
      </c>
      <c r="C333" s="39" t="s">
        <v>87</v>
      </c>
      <c r="D333" s="7">
        <v>5600</v>
      </c>
      <c r="E333" s="7">
        <f>'Option source'!B147</f>
        <v>1490</v>
      </c>
      <c r="F333" s="7">
        <v>7015</v>
      </c>
      <c r="G333" s="14">
        <v>38</v>
      </c>
      <c r="H333" s="7">
        <f t="shared" si="15"/>
        <v>1415</v>
      </c>
      <c r="I333" s="7">
        <f t="shared" si="16"/>
        <v>75</v>
      </c>
      <c r="J333" s="9">
        <f t="shared" si="17"/>
        <v>0.79828937990021387</v>
      </c>
      <c r="K333" s="9"/>
      <c r="L333" s="13"/>
      <c r="M333" s="13"/>
      <c r="N333" s="7">
        <f>'Option source'!C147</f>
        <v>8490000</v>
      </c>
      <c r="O333" s="7">
        <f>'Option source'!G147</f>
        <v>1480</v>
      </c>
      <c r="P333" s="7">
        <f>'Option source'!F147</f>
        <v>1500</v>
      </c>
      <c r="Q333" s="1" t="s">
        <v>100</v>
      </c>
      <c r="R333" s="1">
        <v>142</v>
      </c>
    </row>
    <row r="334" spans="1:18" ht="21" customHeight="1">
      <c r="A334" s="8">
        <v>46273</v>
      </c>
      <c r="B334" s="1" t="s">
        <v>115</v>
      </c>
      <c r="C334" s="39" t="s">
        <v>90</v>
      </c>
      <c r="D334" s="7">
        <v>5600</v>
      </c>
      <c r="E334" s="7">
        <f>'Option source'!B632</f>
        <v>13.29</v>
      </c>
      <c r="F334" s="7">
        <v>7015</v>
      </c>
      <c r="G334" s="14">
        <v>38</v>
      </c>
      <c r="H334" s="7">
        <f t="shared" si="15"/>
        <v>0</v>
      </c>
      <c r="I334" s="7">
        <f t="shared" si="16"/>
        <v>13.29</v>
      </c>
      <c r="J334" s="9">
        <f t="shared" si="17"/>
        <v>0.79828937990021387</v>
      </c>
      <c r="K334" s="9">
        <v>0.44412341483601769</v>
      </c>
      <c r="L334" s="13">
        <v>-3.1322097018764872E-2</v>
      </c>
      <c r="M334" s="13">
        <v>1.5960988969764072</v>
      </c>
      <c r="N334" s="7">
        <f>'Option source'!C632</f>
        <v>3739372.25</v>
      </c>
      <c r="O334" s="7">
        <f>'Option source'!G632</f>
        <v>12.1</v>
      </c>
      <c r="P334" s="7">
        <f>'Option source'!F632</f>
        <v>17.100000000000001</v>
      </c>
      <c r="Q334" s="1" t="s">
        <v>88</v>
      </c>
      <c r="R334" s="1">
        <v>627</v>
      </c>
    </row>
    <row r="335" spans="1:18" ht="21" customHeight="1">
      <c r="A335" s="8">
        <v>46273</v>
      </c>
      <c r="B335" s="1" t="s">
        <v>127</v>
      </c>
      <c r="C335" s="39" t="s">
        <v>87</v>
      </c>
      <c r="D335" s="7">
        <v>8600</v>
      </c>
      <c r="E335" s="7">
        <f>'Option source'!B404</f>
        <v>51.36</v>
      </c>
      <c r="F335" s="7">
        <v>7015</v>
      </c>
      <c r="G335" s="14">
        <v>38</v>
      </c>
      <c r="H335" s="7">
        <f t="shared" si="15"/>
        <v>0</v>
      </c>
      <c r="I335" s="7">
        <f t="shared" si="16"/>
        <v>51.36</v>
      </c>
      <c r="J335" s="9">
        <f t="shared" si="17"/>
        <v>1.2259444048467569</v>
      </c>
      <c r="K335" s="9">
        <v>0.4233164264520079</v>
      </c>
      <c r="L335" s="13">
        <v>0.11614555962349615</v>
      </c>
      <c r="M335" s="13">
        <v>4.4244813733951842</v>
      </c>
      <c r="N335" s="7">
        <f>'Option source'!C404</f>
        <v>44179408</v>
      </c>
      <c r="O335" s="7">
        <f>'Option source'!G404</f>
        <v>38.1</v>
      </c>
      <c r="P335" s="7">
        <f>'Option source'!F404</f>
        <v>55</v>
      </c>
      <c r="Q335" s="1" t="s">
        <v>88</v>
      </c>
      <c r="R335" s="1">
        <v>399</v>
      </c>
    </row>
    <row r="336" spans="1:18" ht="21" customHeight="1">
      <c r="A336" s="8">
        <v>46273</v>
      </c>
      <c r="B336" s="1" t="s">
        <v>128</v>
      </c>
      <c r="C336" s="39" t="s">
        <v>90</v>
      </c>
      <c r="D336" s="7">
        <v>8600</v>
      </c>
      <c r="E336" s="7">
        <f>'Option source'!B898</f>
        <v>1463.59</v>
      </c>
      <c r="F336" s="7">
        <v>7015</v>
      </c>
      <c r="G336" s="14">
        <v>38</v>
      </c>
      <c r="H336" s="7">
        <f t="shared" si="15"/>
        <v>1585</v>
      </c>
      <c r="I336" s="7">
        <f t="shared" si="16"/>
        <v>-121.41000000000008</v>
      </c>
      <c r="J336" s="9">
        <f t="shared" si="17"/>
        <v>1.2259444048467569</v>
      </c>
      <c r="K336" s="9"/>
      <c r="L336" s="13"/>
      <c r="M336" s="13"/>
      <c r="N336" s="7">
        <f>'Option source'!C898</f>
        <v>876669</v>
      </c>
      <c r="O336" s="7">
        <f>'Option source'!G898</f>
        <v>1452.64</v>
      </c>
      <c r="P336" s="7">
        <f>'Option source'!F898</f>
        <v>1463.59</v>
      </c>
      <c r="Q336" s="1" t="s">
        <v>144</v>
      </c>
      <c r="R336" s="1">
        <v>893</v>
      </c>
    </row>
    <row r="337" spans="1:18" ht="21" customHeight="1">
      <c r="A337" s="8">
        <v>46273</v>
      </c>
      <c r="B337" s="1" t="s">
        <v>119</v>
      </c>
      <c r="C337" s="39" t="s">
        <v>87</v>
      </c>
      <c r="D337" s="7">
        <v>5400</v>
      </c>
      <c r="E337" s="7">
        <f>'Option source'!B129</f>
        <v>1636.72</v>
      </c>
      <c r="F337" s="7">
        <v>7015</v>
      </c>
      <c r="G337" s="14">
        <v>38</v>
      </c>
      <c r="H337" s="7">
        <f t="shared" si="15"/>
        <v>1615</v>
      </c>
      <c r="I337" s="7">
        <f t="shared" si="16"/>
        <v>21.720000000000027</v>
      </c>
      <c r="J337" s="9">
        <f t="shared" si="17"/>
        <v>0.76977904490377758</v>
      </c>
      <c r="K337" s="9"/>
      <c r="L337" s="13"/>
      <c r="M337" s="13"/>
      <c r="N337" s="7">
        <f>'Option source'!C129</f>
        <v>0</v>
      </c>
      <c r="O337" s="7">
        <f>'Option source'!G129</f>
        <v>1705.98</v>
      </c>
      <c r="P337" s="7">
        <f>'Option source'!F129</f>
        <v>1901.18</v>
      </c>
      <c r="Q337" s="1" t="s">
        <v>130</v>
      </c>
      <c r="R337" s="1">
        <v>124</v>
      </c>
    </row>
    <row r="338" spans="1:18" ht="21" customHeight="1">
      <c r="A338" s="8">
        <v>46273</v>
      </c>
      <c r="B338" s="1" t="s">
        <v>120</v>
      </c>
      <c r="C338" s="39" t="s">
        <v>90</v>
      </c>
      <c r="D338" s="7">
        <v>5400</v>
      </c>
      <c r="E338" s="7">
        <f>'Option source'!B613</f>
        <v>7.99</v>
      </c>
      <c r="F338" s="7">
        <v>7015</v>
      </c>
      <c r="G338" s="14">
        <v>38</v>
      </c>
      <c r="H338" s="7">
        <f t="shared" si="15"/>
        <v>0</v>
      </c>
      <c r="I338" s="7">
        <f t="shared" si="16"/>
        <v>7.99</v>
      </c>
      <c r="J338" s="9">
        <f t="shared" si="17"/>
        <v>0.76977904490377758</v>
      </c>
      <c r="K338" s="9">
        <v>0.45596659757802355</v>
      </c>
      <c r="L338" s="13">
        <v>-1.9493793521219493E-2</v>
      </c>
      <c r="M338" s="13">
        <v>1.0723339408186801</v>
      </c>
      <c r="N338" s="7">
        <f>'Option source'!C613</f>
        <v>565793.62</v>
      </c>
      <c r="O338" s="7">
        <f>'Option source'!G613</f>
        <v>6.8</v>
      </c>
      <c r="P338" s="7">
        <f>'Option source'!F613</f>
        <v>9.99</v>
      </c>
      <c r="Q338" s="1" t="s">
        <v>88</v>
      </c>
      <c r="R338" s="1">
        <v>608</v>
      </c>
    </row>
    <row r="339" spans="1:18" ht="21" customHeight="1">
      <c r="A339" s="8">
        <v>46273</v>
      </c>
      <c r="B339" s="1" t="s">
        <v>123</v>
      </c>
      <c r="C339" s="39" t="s">
        <v>87</v>
      </c>
      <c r="D339" s="7">
        <v>5200</v>
      </c>
      <c r="E339" s="7">
        <f>'Option source'!B110</f>
        <v>1880.26</v>
      </c>
      <c r="F339" s="7">
        <v>7015</v>
      </c>
      <c r="G339" s="14">
        <v>38</v>
      </c>
      <c r="H339" s="7">
        <f t="shared" si="15"/>
        <v>1815</v>
      </c>
      <c r="I339" s="7">
        <f t="shared" si="16"/>
        <v>65.259999999999991</v>
      </c>
      <c r="J339" s="9">
        <f t="shared" si="17"/>
        <v>0.74126870990734139</v>
      </c>
      <c r="K339" s="9"/>
      <c r="L339" s="13"/>
      <c r="M339" s="13"/>
      <c r="N339" s="7">
        <f>'Option source'!C110</f>
        <v>0</v>
      </c>
      <c r="O339" s="7">
        <f>'Option source'!G110</f>
        <v>1840.52</v>
      </c>
      <c r="P339" s="7">
        <f>'Option source'!F110</f>
        <v>1925.73</v>
      </c>
      <c r="Q339" s="1" t="s">
        <v>25</v>
      </c>
      <c r="R339" s="1">
        <v>105</v>
      </c>
    </row>
    <row r="340" spans="1:18" ht="21" customHeight="1">
      <c r="A340" s="8">
        <v>46273</v>
      </c>
      <c r="B340" s="1" t="s">
        <v>124</v>
      </c>
      <c r="C340" s="39" t="s">
        <v>90</v>
      </c>
      <c r="D340" s="7">
        <v>5200</v>
      </c>
      <c r="E340" s="7">
        <f>'Option source'!B594</f>
        <v>4</v>
      </c>
      <c r="F340" s="7">
        <v>7015</v>
      </c>
      <c r="G340" s="14">
        <v>38</v>
      </c>
      <c r="H340" s="7">
        <f t="shared" si="15"/>
        <v>0</v>
      </c>
      <c r="I340" s="7">
        <f t="shared" si="16"/>
        <v>4</v>
      </c>
      <c r="J340" s="9">
        <f t="shared" si="17"/>
        <v>0.74126870990734139</v>
      </c>
      <c r="K340" s="9">
        <v>0.45897024747574605</v>
      </c>
      <c r="L340" s="13">
        <v>-1.0538031994963615E-2</v>
      </c>
      <c r="M340" s="13">
        <v>0.63147043694224958</v>
      </c>
      <c r="N340" s="7">
        <f>'Option source'!C594</f>
        <v>1499138.75</v>
      </c>
      <c r="O340" s="7">
        <f>'Option source'!G594</f>
        <v>3.1</v>
      </c>
      <c r="P340" s="7">
        <f>'Option source'!F594</f>
        <v>5.6</v>
      </c>
      <c r="Q340" s="1" t="s">
        <v>88</v>
      </c>
      <c r="R340" s="1">
        <v>589</v>
      </c>
    </row>
    <row r="341" spans="1:18" ht="21" customHeight="1">
      <c r="A341" s="8">
        <v>46273</v>
      </c>
      <c r="B341" s="1" t="s">
        <v>132</v>
      </c>
      <c r="C341" s="39" t="s">
        <v>87</v>
      </c>
      <c r="D341" s="7">
        <v>8900</v>
      </c>
      <c r="E341" s="7">
        <f>'Option source'!B423</f>
        <v>29.55</v>
      </c>
      <c r="F341" s="7">
        <v>7015</v>
      </c>
      <c r="G341" s="14">
        <v>38</v>
      </c>
      <c r="H341" s="7">
        <f t="shared" si="15"/>
        <v>0</v>
      </c>
      <c r="I341" s="7">
        <f t="shared" si="16"/>
        <v>29.55</v>
      </c>
      <c r="J341" s="9">
        <f t="shared" si="17"/>
        <v>1.2687099073414112</v>
      </c>
      <c r="K341" s="9">
        <v>0.42151119712179413</v>
      </c>
      <c r="L341" s="13">
        <v>7.3209982083195485E-2</v>
      </c>
      <c r="M341" s="13">
        <v>3.1454696480124351</v>
      </c>
      <c r="N341" s="7">
        <f>'Option source'!C423</f>
        <v>16737050</v>
      </c>
      <c r="O341" s="7">
        <f>'Option source'!G423</f>
        <v>24.1</v>
      </c>
      <c r="P341" s="7">
        <f>'Option source'!F423</f>
        <v>37.979999999999997</v>
      </c>
      <c r="Q341" s="1" t="s">
        <v>88</v>
      </c>
      <c r="R341" s="1">
        <v>418</v>
      </c>
    </row>
    <row r="342" spans="1:18" ht="21" customHeight="1">
      <c r="A342" s="8">
        <v>46273</v>
      </c>
      <c r="B342" s="1" t="s">
        <v>133</v>
      </c>
      <c r="C342" s="39" t="s">
        <v>90</v>
      </c>
      <c r="D342" s="7">
        <v>8900</v>
      </c>
      <c r="E342" s="7">
        <f>'Option source'!B913</f>
        <v>2022.5</v>
      </c>
      <c r="F342" s="7">
        <v>7015</v>
      </c>
      <c r="G342" s="14">
        <v>38</v>
      </c>
      <c r="H342" s="7">
        <f t="shared" si="15"/>
        <v>1885</v>
      </c>
      <c r="I342" s="7">
        <f t="shared" si="16"/>
        <v>137.5</v>
      </c>
      <c r="J342" s="9">
        <f t="shared" si="17"/>
        <v>1.2687099073414112</v>
      </c>
      <c r="K342" s="9"/>
      <c r="L342" s="13"/>
      <c r="M342" s="13"/>
      <c r="N342" s="7">
        <f>'Option source'!C913</f>
        <v>0</v>
      </c>
      <c r="O342" s="7">
        <f>'Option source'!G913</f>
        <v>2022.5</v>
      </c>
      <c r="P342" s="7">
        <f>'Option source'!F913</f>
        <v>2037.67</v>
      </c>
      <c r="Q342" s="1" t="s">
        <v>25</v>
      </c>
      <c r="R342" s="1">
        <v>908</v>
      </c>
    </row>
    <row r="343" spans="1:18" ht="21" customHeight="1">
      <c r="A343" s="8">
        <v>46273</v>
      </c>
      <c r="B343" s="1" t="s">
        <v>125</v>
      </c>
      <c r="C343" s="39" t="s">
        <v>87</v>
      </c>
      <c r="D343" s="7">
        <v>5000</v>
      </c>
      <c r="E343" s="7">
        <f>'Option source'!B91</f>
        <v>2094.25</v>
      </c>
      <c r="F343" s="7">
        <v>7015</v>
      </c>
      <c r="G343" s="14">
        <v>38</v>
      </c>
      <c r="H343" s="7">
        <f t="shared" si="15"/>
        <v>2015</v>
      </c>
      <c r="I343" s="7">
        <f t="shared" si="16"/>
        <v>79.25</v>
      </c>
      <c r="J343" s="9">
        <f t="shared" si="17"/>
        <v>0.71275837491090521</v>
      </c>
      <c r="K343" s="9"/>
      <c r="L343" s="13"/>
      <c r="M343" s="13"/>
      <c r="N343" s="7">
        <f>'Option source'!C91</f>
        <v>0</v>
      </c>
      <c r="O343" s="7">
        <f>'Option source'!G91</f>
        <v>2035.2</v>
      </c>
      <c r="P343" s="7">
        <f>'Option source'!F91</f>
        <v>2110.38</v>
      </c>
      <c r="Q343" s="1" t="s">
        <v>25</v>
      </c>
      <c r="R343" s="1">
        <v>86</v>
      </c>
    </row>
    <row r="344" spans="1:18" ht="21" customHeight="1">
      <c r="A344" s="8">
        <v>46273</v>
      </c>
      <c r="B344" s="1" t="s">
        <v>126</v>
      </c>
      <c r="C344" s="39" t="s">
        <v>90</v>
      </c>
      <c r="D344" s="7">
        <v>5000</v>
      </c>
      <c r="E344" s="7">
        <f>'Option source'!B575</f>
        <v>2.3199999999999998</v>
      </c>
      <c r="F344" s="7">
        <v>7015</v>
      </c>
      <c r="G344" s="14">
        <v>38</v>
      </c>
      <c r="H344" s="7">
        <f t="shared" si="15"/>
        <v>0</v>
      </c>
      <c r="I344" s="7">
        <f t="shared" si="16"/>
        <v>2.3199999999999998</v>
      </c>
      <c r="J344" s="9">
        <f t="shared" si="17"/>
        <v>0.71275837491090521</v>
      </c>
      <c r="K344" s="9">
        <v>0.47361584597954598</v>
      </c>
      <c r="L344" s="13">
        <v>-6.2695919321293925E-3</v>
      </c>
      <c r="M344" s="13">
        <v>0.40013499547137144</v>
      </c>
      <c r="N344" s="7">
        <f>'Option source'!C575</f>
        <v>532717.81000000006</v>
      </c>
      <c r="O344" s="7">
        <f>'Option source'!G575</f>
        <v>2.13</v>
      </c>
      <c r="P344" s="7">
        <f>'Option source'!F575</f>
        <v>3.5</v>
      </c>
      <c r="Q344" s="1" t="s">
        <v>88</v>
      </c>
      <c r="R344" s="1">
        <v>570</v>
      </c>
    </row>
    <row r="345" spans="1:18" ht="21" customHeight="1">
      <c r="A345" s="8">
        <v>46273</v>
      </c>
      <c r="B345" s="1" t="s">
        <v>138</v>
      </c>
      <c r="C345" s="39" t="s">
        <v>87</v>
      </c>
      <c r="D345" s="7">
        <v>9200</v>
      </c>
      <c r="E345" s="7">
        <f>'Option source'!B442</f>
        <v>17.97</v>
      </c>
      <c r="F345" s="7">
        <v>7015</v>
      </c>
      <c r="G345" s="14">
        <v>38</v>
      </c>
      <c r="H345" s="7">
        <f t="shared" si="15"/>
        <v>0</v>
      </c>
      <c r="I345" s="7">
        <f t="shared" si="16"/>
        <v>17.97</v>
      </c>
      <c r="J345" s="9">
        <f t="shared" si="17"/>
        <v>1.3114754098360655</v>
      </c>
      <c r="K345" s="9">
        <v>0.42699164424209607</v>
      </c>
      <c r="L345" s="13">
        <v>4.7210387579440155E-2</v>
      </c>
      <c r="M345" s="13">
        <v>2.2297091890710146</v>
      </c>
      <c r="N345" s="7">
        <f>'Option source'!C442</f>
        <v>3717689.5</v>
      </c>
      <c r="O345" s="7">
        <f>'Option source'!G442</f>
        <v>14.75</v>
      </c>
      <c r="P345" s="7">
        <f>'Option source'!F442</f>
        <v>20.99</v>
      </c>
      <c r="Q345" s="1" t="s">
        <v>88</v>
      </c>
      <c r="R345" s="1">
        <v>437</v>
      </c>
    </row>
    <row r="346" spans="1:18" ht="21" customHeight="1">
      <c r="A346" s="8">
        <v>46273</v>
      </c>
      <c r="B346" s="1" t="s">
        <v>139</v>
      </c>
      <c r="C346" s="39" t="s">
        <v>90</v>
      </c>
      <c r="D346" s="7">
        <v>9200</v>
      </c>
      <c r="E346" s="7">
        <f>'Option source'!B920</f>
        <v>2000</v>
      </c>
      <c r="F346" s="7">
        <v>7015</v>
      </c>
      <c r="G346" s="14">
        <v>38</v>
      </c>
      <c r="H346" s="7">
        <f t="shared" si="15"/>
        <v>2185</v>
      </c>
      <c r="I346" s="7">
        <f t="shared" si="16"/>
        <v>-185</v>
      </c>
      <c r="J346" s="9">
        <f t="shared" si="17"/>
        <v>1.3114754098360655</v>
      </c>
      <c r="K346" s="9"/>
      <c r="L346" s="13"/>
      <c r="M346" s="13"/>
      <c r="N346" s="7">
        <f>'Option source'!C920</f>
        <v>200000</v>
      </c>
      <c r="O346" s="7">
        <f>'Option source'!G920</f>
        <v>0</v>
      </c>
      <c r="P346" s="7">
        <f>'Option source'!F920</f>
        <v>0</v>
      </c>
      <c r="Q346" s="1" t="s">
        <v>113</v>
      </c>
      <c r="R346" s="1">
        <v>915</v>
      </c>
    </row>
    <row r="347" spans="1:18" ht="21" customHeight="1">
      <c r="A347" s="8">
        <v>46273</v>
      </c>
      <c r="B347" s="1" t="s">
        <v>129</v>
      </c>
      <c r="C347" s="39" t="s">
        <v>87</v>
      </c>
      <c r="D347" s="7">
        <v>4800</v>
      </c>
      <c r="E347" s="7">
        <f>'Option source'!B74</f>
        <v>2347.98</v>
      </c>
      <c r="F347" s="7">
        <v>7015</v>
      </c>
      <c r="G347" s="14">
        <v>38</v>
      </c>
      <c r="H347" s="7">
        <f t="shared" si="15"/>
        <v>2215</v>
      </c>
      <c r="I347" s="7">
        <f t="shared" si="16"/>
        <v>132.98000000000002</v>
      </c>
      <c r="J347" s="9">
        <f t="shared" si="17"/>
        <v>0.68424803991446903</v>
      </c>
      <c r="K347" s="9"/>
      <c r="L347" s="13"/>
      <c r="M347" s="13"/>
      <c r="N347" s="7">
        <f>'Option source'!C74</f>
        <v>4226358</v>
      </c>
      <c r="O347" s="7">
        <f>'Option source'!G74</f>
        <v>2343.5500000000002</v>
      </c>
      <c r="P347" s="7">
        <f>'Option source'!F74</f>
        <v>2353.5100000000002</v>
      </c>
      <c r="Q347" s="1" t="s">
        <v>100</v>
      </c>
      <c r="R347" s="1">
        <v>69</v>
      </c>
    </row>
    <row r="348" spans="1:18" ht="21" customHeight="1">
      <c r="A348" s="8">
        <v>46273</v>
      </c>
      <c r="B348" s="1" t="s">
        <v>131</v>
      </c>
      <c r="C348" s="39" t="s">
        <v>90</v>
      </c>
      <c r="D348" s="7">
        <v>4800</v>
      </c>
      <c r="E348" s="7">
        <f>'Option source'!B556</f>
        <v>1.68</v>
      </c>
      <c r="F348" s="7">
        <v>7015</v>
      </c>
      <c r="G348" s="14">
        <v>38</v>
      </c>
      <c r="H348" s="7">
        <f t="shared" si="15"/>
        <v>0</v>
      </c>
      <c r="I348" s="7">
        <f t="shared" si="16"/>
        <v>1.68</v>
      </c>
      <c r="J348" s="9">
        <f t="shared" si="17"/>
        <v>0.68424803991446903</v>
      </c>
      <c r="K348" s="9">
        <v>0.50191357674109804</v>
      </c>
      <c r="L348" s="13">
        <v>-4.4381658099768018E-3</v>
      </c>
      <c r="M348" s="13">
        <v>0.29427832840245871</v>
      </c>
      <c r="N348" s="7">
        <f>'Option source'!C556</f>
        <v>117623.5</v>
      </c>
      <c r="O348" s="7">
        <f>'Option source'!G556</f>
        <v>1</v>
      </c>
      <c r="P348" s="7">
        <f>'Option source'!F556</f>
        <v>2.5</v>
      </c>
      <c r="Q348" s="1" t="s">
        <v>88</v>
      </c>
      <c r="R348" s="1">
        <v>551</v>
      </c>
    </row>
    <row r="349" spans="1:18" ht="21" customHeight="1">
      <c r="A349" s="8">
        <v>46273</v>
      </c>
      <c r="B349" s="1" t="s">
        <v>134</v>
      </c>
      <c r="C349" s="39" t="s">
        <v>87</v>
      </c>
      <c r="D349" s="7">
        <v>4600</v>
      </c>
      <c r="E349" s="7">
        <f>'Option source'!B57</f>
        <v>2453.9</v>
      </c>
      <c r="F349" s="7">
        <v>7015</v>
      </c>
      <c r="G349" s="14">
        <v>38</v>
      </c>
      <c r="H349" s="7">
        <f t="shared" si="15"/>
        <v>2415</v>
      </c>
      <c r="I349" s="7">
        <f t="shared" si="16"/>
        <v>38.900000000000091</v>
      </c>
      <c r="J349" s="9">
        <f t="shared" si="17"/>
        <v>0.65573770491803274</v>
      </c>
      <c r="K349" s="9"/>
      <c r="L349" s="13"/>
      <c r="M349" s="13"/>
      <c r="N349" s="7">
        <f>'Option source'!C57</f>
        <v>2521660</v>
      </c>
      <c r="O349" s="7">
        <f>'Option source'!G57</f>
        <v>2453.9</v>
      </c>
      <c r="P349" s="7">
        <f>'Option source'!F57</f>
        <v>2538.6</v>
      </c>
      <c r="Q349" s="1" t="s">
        <v>100</v>
      </c>
      <c r="R349" s="1">
        <v>52</v>
      </c>
    </row>
    <row r="350" spans="1:18" ht="21" customHeight="1">
      <c r="A350" s="8">
        <v>46273</v>
      </c>
      <c r="B350" s="1" t="s">
        <v>135</v>
      </c>
      <c r="C350" s="39" t="s">
        <v>90</v>
      </c>
      <c r="D350" s="7">
        <v>4600</v>
      </c>
      <c r="E350" s="7">
        <f>'Option source'!B537</f>
        <v>1.45</v>
      </c>
      <c r="F350" s="7">
        <v>7015</v>
      </c>
      <c r="G350" s="14">
        <v>38</v>
      </c>
      <c r="H350" s="7">
        <f t="shared" si="15"/>
        <v>0</v>
      </c>
      <c r="I350" s="7">
        <f t="shared" si="16"/>
        <v>1.45</v>
      </c>
      <c r="J350" s="9">
        <f t="shared" si="17"/>
        <v>0.65573770491803274</v>
      </c>
      <c r="K350" s="9">
        <v>0.54170466259808769</v>
      </c>
      <c r="L350" s="13">
        <v>-3.6764188395232988E-3</v>
      </c>
      <c r="M350" s="13">
        <v>0.2486269152211884</v>
      </c>
      <c r="N350" s="7">
        <f>'Option source'!C537</f>
        <v>200094.91</v>
      </c>
      <c r="O350" s="7">
        <f>'Option source'!G537</f>
        <v>1</v>
      </c>
      <c r="P350" s="7">
        <f>'Option source'!F537</f>
        <v>1.79</v>
      </c>
      <c r="Q350" s="1" t="s">
        <v>88</v>
      </c>
      <c r="R350" s="1">
        <v>532</v>
      </c>
    </row>
    <row r="351" spans="1:18" ht="21" customHeight="1">
      <c r="A351" s="8">
        <v>46273</v>
      </c>
      <c r="B351" s="1" t="s">
        <v>142</v>
      </c>
      <c r="C351" s="39" t="s">
        <v>87</v>
      </c>
      <c r="D351" s="7">
        <v>9500</v>
      </c>
      <c r="E351" s="7">
        <f>'Option source'!B461</f>
        <v>11.36</v>
      </c>
      <c r="F351" s="7">
        <v>7015</v>
      </c>
      <c r="G351" s="14">
        <v>38</v>
      </c>
      <c r="H351" s="7">
        <f t="shared" si="15"/>
        <v>0</v>
      </c>
      <c r="I351" s="7">
        <f t="shared" si="16"/>
        <v>11.36</v>
      </c>
      <c r="J351" s="9">
        <f t="shared" si="17"/>
        <v>1.35424091233072</v>
      </c>
      <c r="K351" s="9">
        <v>0.4355672950260801</v>
      </c>
      <c r="L351" s="13">
        <v>3.1078276361552758E-2</v>
      </c>
      <c r="M351" s="13">
        <v>1.5858149650654694</v>
      </c>
      <c r="N351" s="7">
        <f>'Option source'!C461</f>
        <v>2922035</v>
      </c>
      <c r="O351" s="7">
        <f>'Option source'!G461</f>
        <v>9.5</v>
      </c>
      <c r="P351" s="7">
        <f>'Option source'!F461</f>
        <v>12.5</v>
      </c>
      <c r="Q351" s="1" t="s">
        <v>88</v>
      </c>
      <c r="R351" s="1">
        <v>456</v>
      </c>
    </row>
    <row r="352" spans="1:18" ht="21" customHeight="1">
      <c r="A352" s="8">
        <v>46273</v>
      </c>
      <c r="B352" s="1" t="s">
        <v>136</v>
      </c>
      <c r="C352" s="39" t="s">
        <v>87</v>
      </c>
      <c r="D352" s="7">
        <v>4400</v>
      </c>
      <c r="E352" s="7">
        <f>'Option source'!B38</f>
        <v>2762.2</v>
      </c>
      <c r="F352" s="7">
        <v>7015</v>
      </c>
      <c r="G352" s="14">
        <v>38</v>
      </c>
      <c r="H352" s="7">
        <f t="shared" si="15"/>
        <v>2615</v>
      </c>
      <c r="I352" s="7">
        <f t="shared" si="16"/>
        <v>147.19999999999982</v>
      </c>
      <c r="J352" s="9">
        <f t="shared" si="17"/>
        <v>0.62722736992159656</v>
      </c>
      <c r="K352" s="9"/>
      <c r="L352" s="13"/>
      <c r="M352" s="13"/>
      <c r="N352" s="7">
        <f>'Option source'!C38</f>
        <v>0</v>
      </c>
      <c r="O352" s="7">
        <f>'Option source'!G38</f>
        <v>2619.23</v>
      </c>
      <c r="P352" s="7">
        <f>'Option source'!F38</f>
        <v>3006.1</v>
      </c>
      <c r="Q352" s="1" t="s">
        <v>25</v>
      </c>
      <c r="R352" s="1">
        <v>33</v>
      </c>
    </row>
    <row r="353" spans="1:18" ht="21" customHeight="1">
      <c r="A353" s="8">
        <v>46273</v>
      </c>
      <c r="B353" s="1" t="s">
        <v>137</v>
      </c>
      <c r="C353" s="39" t="s">
        <v>90</v>
      </c>
      <c r="D353" s="7">
        <v>4400</v>
      </c>
      <c r="E353" s="7">
        <f>'Option source'!B518</f>
        <v>1.0900000000000001</v>
      </c>
      <c r="F353" s="7">
        <v>7015</v>
      </c>
      <c r="G353" s="14">
        <v>38</v>
      </c>
      <c r="H353" s="7">
        <f t="shared" si="15"/>
        <v>0</v>
      </c>
      <c r="I353" s="7">
        <f t="shared" si="16"/>
        <v>1.0900000000000001</v>
      </c>
      <c r="J353" s="9">
        <f t="shared" si="17"/>
        <v>0.62722736992159656</v>
      </c>
      <c r="K353" s="9">
        <v>0.57276288263048003</v>
      </c>
      <c r="L353" s="13">
        <v>-2.6734238226913121E-3</v>
      </c>
      <c r="M353" s="13">
        <v>0.1866405120074556</v>
      </c>
      <c r="N353" s="7">
        <f>'Option source'!C518</f>
        <v>62530.7</v>
      </c>
      <c r="O353" s="7">
        <f>'Option source'!G518</f>
        <v>0.8</v>
      </c>
      <c r="P353" s="7">
        <f>'Option source'!F518</f>
        <v>1.98</v>
      </c>
      <c r="Q353" s="1" t="s">
        <v>88</v>
      </c>
      <c r="R353" s="1">
        <v>513</v>
      </c>
    </row>
    <row r="354" spans="1:18" ht="21" customHeight="1">
      <c r="A354" s="8">
        <v>46273</v>
      </c>
      <c r="B354" s="1" t="s">
        <v>140</v>
      </c>
      <c r="C354" s="39" t="s">
        <v>87</v>
      </c>
      <c r="D354" s="7">
        <v>4200</v>
      </c>
      <c r="E354" s="7">
        <f>'Option source'!B19</f>
        <v>2845.62</v>
      </c>
      <c r="F354" s="7">
        <v>7015</v>
      </c>
      <c r="G354" s="14">
        <v>38</v>
      </c>
      <c r="H354" s="7">
        <f t="shared" si="15"/>
        <v>2815</v>
      </c>
      <c r="I354" s="7">
        <f t="shared" si="16"/>
        <v>30.619999999999891</v>
      </c>
      <c r="J354" s="9">
        <f t="shared" si="17"/>
        <v>0.59871703492516037</v>
      </c>
      <c r="K354" s="9"/>
      <c r="L354" s="13"/>
      <c r="M354" s="13"/>
      <c r="N354" s="7">
        <f>'Option source'!C19</f>
        <v>3711328.25</v>
      </c>
      <c r="O354" s="7">
        <f>'Option source'!G19</f>
        <v>2839.03</v>
      </c>
      <c r="P354" s="7">
        <f>'Option source'!F19</f>
        <v>2938.68</v>
      </c>
      <c r="Q354" s="1" t="s">
        <v>100</v>
      </c>
      <c r="R354" s="1">
        <v>14</v>
      </c>
    </row>
    <row r="355" spans="1:18" ht="21" customHeight="1">
      <c r="A355" s="8">
        <v>46273</v>
      </c>
      <c r="B355" s="1" t="s">
        <v>141</v>
      </c>
      <c r="C355" s="39" t="s">
        <v>90</v>
      </c>
      <c r="D355" s="7">
        <v>4200</v>
      </c>
      <c r="E355" s="7">
        <f>'Option source'!B499</f>
        <v>0.98</v>
      </c>
      <c r="F355" s="7">
        <v>7015</v>
      </c>
      <c r="G355" s="14">
        <v>38</v>
      </c>
      <c r="H355" s="7">
        <f t="shared" si="15"/>
        <v>0</v>
      </c>
      <c r="I355" s="7">
        <f t="shared" si="16"/>
        <v>0.98</v>
      </c>
      <c r="J355" s="9">
        <f t="shared" si="17"/>
        <v>0.59871703492516037</v>
      </c>
      <c r="K355" s="9">
        <v>0.61564443821506165</v>
      </c>
      <c r="L355" s="13">
        <v>-2.2635211968293767E-3</v>
      </c>
      <c r="M355" s="13">
        <v>0.16055587520742937</v>
      </c>
      <c r="N355" s="7">
        <f>'Option source'!C499</f>
        <v>90312.7</v>
      </c>
      <c r="O355" s="7">
        <f>'Option source'!G499</f>
        <v>0.82</v>
      </c>
      <c r="P355" s="7">
        <f>'Option source'!F499</f>
        <v>1.45</v>
      </c>
      <c r="Q355" s="1" t="s">
        <v>88</v>
      </c>
      <c r="R355" s="1">
        <v>494</v>
      </c>
    </row>
    <row r="356" spans="1:18" ht="21" customHeight="1">
      <c r="A356" s="8">
        <v>46273</v>
      </c>
      <c r="B356" s="1" t="s">
        <v>143</v>
      </c>
      <c r="C356" s="39" t="s">
        <v>87</v>
      </c>
      <c r="D356" s="7">
        <v>9900</v>
      </c>
      <c r="E356" s="7">
        <f>'Option source'!B480</f>
        <v>6.97</v>
      </c>
      <c r="F356" s="7">
        <v>7015</v>
      </c>
      <c r="G356" s="14">
        <v>38</v>
      </c>
      <c r="H356" s="7">
        <f t="shared" si="15"/>
        <v>0</v>
      </c>
      <c r="I356" s="7">
        <f t="shared" si="16"/>
        <v>6.97</v>
      </c>
      <c r="J356" s="9">
        <f t="shared" si="17"/>
        <v>1.4112615823235923</v>
      </c>
      <c r="K356" s="9">
        <v>0.45397946047572396</v>
      </c>
      <c r="L356" s="13">
        <v>1.9448792953027469E-2</v>
      </c>
      <c r="M356" s="13">
        <v>1.0702308037248702</v>
      </c>
      <c r="N356" s="7">
        <f>'Option source'!C480</f>
        <v>896252.19</v>
      </c>
      <c r="O356" s="7">
        <f>'Option source'!G480</f>
        <v>5.6</v>
      </c>
      <c r="P356" s="7">
        <f>'Option source'!F480</f>
        <v>8.1999999999999993</v>
      </c>
      <c r="Q356" s="1" t="s">
        <v>88</v>
      </c>
      <c r="R356" s="1">
        <v>475</v>
      </c>
    </row>
    <row r="357" spans="1:18" ht="21" customHeight="1">
      <c r="A357" s="8">
        <v>46272</v>
      </c>
      <c r="B357" s="1" t="s">
        <v>93</v>
      </c>
      <c r="C357" s="39" t="s">
        <v>87</v>
      </c>
      <c r="D357" s="7">
        <v>7000</v>
      </c>
      <c r="E357" s="7">
        <f>'Option source'!B270</f>
        <v>460.71</v>
      </c>
      <c r="F357" s="7">
        <v>6935</v>
      </c>
      <c r="G357" s="14">
        <v>39</v>
      </c>
      <c r="H357" s="7">
        <f t="shared" si="15"/>
        <v>0</v>
      </c>
      <c r="I357" s="7">
        <f t="shared" si="16"/>
        <v>460.71</v>
      </c>
      <c r="J357" s="9">
        <f t="shared" si="17"/>
        <v>1.0093727469358327</v>
      </c>
      <c r="K357" s="9">
        <v>0.42273407148583275</v>
      </c>
      <c r="L357" s="13">
        <v>0.59233388111139307</v>
      </c>
      <c r="M357" s="13">
        <v>8.8003045046272863</v>
      </c>
      <c r="N357" s="7">
        <f>'Option source'!C270</f>
        <v>73510856</v>
      </c>
      <c r="O357" s="7">
        <f>'Option source'!G270</f>
        <v>458</v>
      </c>
      <c r="P357" s="7">
        <f>'Option source'!F270</f>
        <v>490</v>
      </c>
      <c r="Q357" s="1" t="s">
        <v>88</v>
      </c>
      <c r="R357" s="1">
        <v>265</v>
      </c>
    </row>
    <row r="358" spans="1:18" ht="21" customHeight="1">
      <c r="A358" s="8">
        <v>46272</v>
      </c>
      <c r="B358" s="1" t="s">
        <v>94</v>
      </c>
      <c r="C358" s="39" t="s">
        <v>90</v>
      </c>
      <c r="D358" s="7">
        <v>7000</v>
      </c>
      <c r="E358" s="7">
        <f>'Option source'!B764</f>
        <v>341.02</v>
      </c>
      <c r="F358" s="7">
        <v>6935</v>
      </c>
      <c r="G358" s="14">
        <v>39</v>
      </c>
      <c r="H358" s="7">
        <f t="shared" si="15"/>
        <v>65</v>
      </c>
      <c r="I358" s="7">
        <f t="shared" si="16"/>
        <v>276.02</v>
      </c>
      <c r="J358" s="9">
        <f t="shared" si="17"/>
        <v>1.0093727469358327</v>
      </c>
      <c r="K358" s="9">
        <v>0.43505106862557574</v>
      </c>
      <c r="L358" s="13">
        <v>-0.40869250539255686</v>
      </c>
      <c r="M358" s="13">
        <v>8.8057078600169856</v>
      </c>
      <c r="N358" s="7">
        <f>'Option source'!C764</f>
        <v>39547268</v>
      </c>
      <c r="O358" s="7">
        <f>'Option source'!G764</f>
        <v>332</v>
      </c>
      <c r="P358" s="7">
        <f>'Option source'!F764</f>
        <v>377.43</v>
      </c>
      <c r="Q358" s="1" t="s">
        <v>88</v>
      </c>
      <c r="R358" s="1">
        <v>759</v>
      </c>
    </row>
    <row r="359" spans="1:18" ht="21" customHeight="1">
      <c r="A359" s="8">
        <v>46272</v>
      </c>
      <c r="B359" s="1" t="s">
        <v>86</v>
      </c>
      <c r="C359" s="39" t="s">
        <v>87</v>
      </c>
      <c r="D359" s="7">
        <v>6800</v>
      </c>
      <c r="E359" s="7">
        <f>'Option source'!B251</f>
        <v>567</v>
      </c>
      <c r="F359" s="7">
        <v>6935</v>
      </c>
      <c r="G359" s="14">
        <v>39</v>
      </c>
      <c r="H359" s="7">
        <f t="shared" si="15"/>
        <v>135</v>
      </c>
      <c r="I359" s="7">
        <f t="shared" si="16"/>
        <v>432</v>
      </c>
      <c r="J359" s="9">
        <f t="shared" si="17"/>
        <v>0.98053352559480889</v>
      </c>
      <c r="K359" s="9">
        <v>0.41557605139653075</v>
      </c>
      <c r="L359" s="13">
        <v>0.67314204154610591</v>
      </c>
      <c r="M359" s="13">
        <v>8.1779057395007335</v>
      </c>
      <c r="N359" s="7">
        <f>'Option source'!C251</f>
        <v>17502592</v>
      </c>
      <c r="O359" s="7">
        <f>'Option source'!G251</f>
        <v>565</v>
      </c>
      <c r="P359" s="7">
        <f>'Option source'!F251</f>
        <v>600</v>
      </c>
      <c r="Q359" s="1" t="s">
        <v>88</v>
      </c>
      <c r="R359" s="1">
        <v>246</v>
      </c>
    </row>
    <row r="360" spans="1:18" ht="21" customHeight="1">
      <c r="A360" s="8">
        <v>46272</v>
      </c>
      <c r="B360" s="1" t="s">
        <v>89</v>
      </c>
      <c r="C360" s="39" t="s">
        <v>90</v>
      </c>
      <c r="D360" s="7">
        <v>6800</v>
      </c>
      <c r="E360" s="7">
        <f>'Option source'!B745</f>
        <v>254.66</v>
      </c>
      <c r="F360" s="7">
        <v>6935</v>
      </c>
      <c r="G360" s="14">
        <v>39</v>
      </c>
      <c r="H360" s="7">
        <f t="shared" si="15"/>
        <v>0</v>
      </c>
      <c r="I360" s="7">
        <f t="shared" si="16"/>
        <v>254.66</v>
      </c>
      <c r="J360" s="9">
        <f t="shared" si="17"/>
        <v>0.98053352559480889</v>
      </c>
      <c r="K360" s="9">
        <v>0.44079963800447708</v>
      </c>
      <c r="L360" s="13">
        <v>-0.33325424003470427</v>
      </c>
      <c r="M360" s="13">
        <v>8.2416703285415913</v>
      </c>
      <c r="N360" s="7">
        <f>'Option source'!C745</f>
        <v>12808101</v>
      </c>
      <c r="O360" s="7">
        <f>'Option source'!G745</f>
        <v>240.01</v>
      </c>
      <c r="P360" s="7">
        <f>'Option source'!F745</f>
        <v>264.99</v>
      </c>
      <c r="Q360" s="1" t="s">
        <v>88</v>
      </c>
      <c r="R360" s="1">
        <v>740</v>
      </c>
    </row>
    <row r="361" spans="1:18" ht="21" customHeight="1">
      <c r="A361" s="8">
        <v>46272</v>
      </c>
      <c r="B361" s="1" t="s">
        <v>97</v>
      </c>
      <c r="C361" s="39" t="s">
        <v>87</v>
      </c>
      <c r="D361" s="7">
        <v>7200</v>
      </c>
      <c r="E361" s="7">
        <f>'Option source'!B289</f>
        <v>366.28</v>
      </c>
      <c r="F361" s="7">
        <v>6935</v>
      </c>
      <c r="G361" s="14">
        <v>39</v>
      </c>
      <c r="H361" s="7">
        <f t="shared" si="15"/>
        <v>0</v>
      </c>
      <c r="I361" s="7">
        <f t="shared" si="16"/>
        <v>366.28</v>
      </c>
      <c r="J361" s="9">
        <f t="shared" si="17"/>
        <v>1.0382119682768565</v>
      </c>
      <c r="K361" s="9">
        <v>0.42480510812378924</v>
      </c>
      <c r="L361" s="13">
        <v>0.51205267521896347</v>
      </c>
      <c r="M361" s="13">
        <v>9.0394944688134267</v>
      </c>
      <c r="N361" s="7">
        <f>'Option source'!C289</f>
        <v>32911494</v>
      </c>
      <c r="O361" s="7">
        <f>'Option source'!G289</f>
        <v>365.4</v>
      </c>
      <c r="P361" s="7">
        <f>'Option source'!F289</f>
        <v>398</v>
      </c>
      <c r="Q361" s="1" t="s">
        <v>88</v>
      </c>
      <c r="R361" s="1">
        <v>284</v>
      </c>
    </row>
    <row r="362" spans="1:18" ht="21" customHeight="1">
      <c r="A362" s="8">
        <v>46272</v>
      </c>
      <c r="B362" s="1" t="s">
        <v>98</v>
      </c>
      <c r="C362" s="39" t="s">
        <v>90</v>
      </c>
      <c r="D362" s="7">
        <v>7200</v>
      </c>
      <c r="E362" s="7">
        <f>'Option source'!B783</f>
        <v>455</v>
      </c>
      <c r="F362" s="7">
        <v>6935</v>
      </c>
      <c r="G362" s="14">
        <v>39</v>
      </c>
      <c r="H362" s="7">
        <f t="shared" si="15"/>
        <v>265</v>
      </c>
      <c r="I362" s="7">
        <f t="shared" si="16"/>
        <v>190</v>
      </c>
      <c r="J362" s="9">
        <f t="shared" si="17"/>
        <v>1.0382119682768565</v>
      </c>
      <c r="K362" s="9">
        <v>0.44118278234008068</v>
      </c>
      <c r="L362" s="13">
        <v>-0.48629957737550245</v>
      </c>
      <c r="M362" s="13">
        <v>9.038288633143619</v>
      </c>
      <c r="N362" s="7">
        <f>'Option source'!C783</f>
        <v>19048068</v>
      </c>
      <c r="O362" s="7">
        <f>'Option source'!G783</f>
        <v>434.99</v>
      </c>
      <c r="P362" s="7">
        <f>'Option source'!F783</f>
        <v>465.89</v>
      </c>
      <c r="Q362" s="1" t="s">
        <v>88</v>
      </c>
      <c r="R362" s="1">
        <v>778</v>
      </c>
    </row>
    <row r="363" spans="1:18" ht="21" customHeight="1">
      <c r="A363" s="8">
        <v>46272</v>
      </c>
      <c r="B363" s="1" t="s">
        <v>91</v>
      </c>
      <c r="C363" s="39" t="s">
        <v>87</v>
      </c>
      <c r="D363" s="7">
        <v>6600</v>
      </c>
      <c r="E363" s="7">
        <f>'Option source'!B232</f>
        <v>687.1</v>
      </c>
      <c r="F363" s="7">
        <v>6935</v>
      </c>
      <c r="G363" s="14">
        <v>39</v>
      </c>
      <c r="H363" s="7">
        <f t="shared" si="15"/>
        <v>335</v>
      </c>
      <c r="I363" s="7">
        <f t="shared" si="16"/>
        <v>352.1</v>
      </c>
      <c r="J363" s="9">
        <f t="shared" si="17"/>
        <v>0.95169430425378509</v>
      </c>
      <c r="K363" s="9">
        <v>0.40396161729293523</v>
      </c>
      <c r="L363" s="13">
        <v>0.75292797356683583</v>
      </c>
      <c r="M363" s="13">
        <v>7.1586015399711256</v>
      </c>
      <c r="N363" s="7">
        <f>'Option source'!C232</f>
        <v>26867160</v>
      </c>
      <c r="O363" s="7">
        <f>'Option source'!G232</f>
        <v>680.11</v>
      </c>
      <c r="P363" s="7">
        <f>'Option source'!F232</f>
        <v>715.86</v>
      </c>
      <c r="Q363" s="1" t="s">
        <v>88</v>
      </c>
      <c r="R363" s="1">
        <v>227</v>
      </c>
    </row>
    <row r="364" spans="1:18" ht="21" customHeight="1">
      <c r="A364" s="8">
        <v>46272</v>
      </c>
      <c r="B364" s="1" t="s">
        <v>92</v>
      </c>
      <c r="C364" s="39" t="s">
        <v>90</v>
      </c>
      <c r="D364" s="7">
        <v>6600</v>
      </c>
      <c r="E364" s="7">
        <f>'Option source'!B726</f>
        <v>180.32</v>
      </c>
      <c r="F364" s="7">
        <v>6935</v>
      </c>
      <c r="G364" s="14">
        <v>39</v>
      </c>
      <c r="H364" s="7">
        <f t="shared" si="15"/>
        <v>0</v>
      </c>
      <c r="I364" s="7">
        <f t="shared" si="16"/>
        <v>180.32</v>
      </c>
      <c r="J364" s="9">
        <f t="shared" si="17"/>
        <v>0.95169430425378509</v>
      </c>
      <c r="K364" s="9">
        <v>0.43896135989959717</v>
      </c>
      <c r="L364" s="13">
        <v>-0.26102096134929398</v>
      </c>
      <c r="M364" s="13">
        <v>7.3678879392164269</v>
      </c>
      <c r="N364" s="7">
        <f>'Option source'!C726</f>
        <v>16609572</v>
      </c>
      <c r="O364" s="7">
        <f>'Option source'!G726</f>
        <v>168.58</v>
      </c>
      <c r="P364" s="7">
        <f>'Option source'!F726</f>
        <v>184.94</v>
      </c>
      <c r="Q364" s="1" t="s">
        <v>88</v>
      </c>
      <c r="R364" s="1">
        <v>721</v>
      </c>
    </row>
    <row r="365" spans="1:18" ht="21" customHeight="1">
      <c r="A365" s="8">
        <v>46272</v>
      </c>
      <c r="B365" s="1" t="s">
        <v>102</v>
      </c>
      <c r="C365" s="39" t="s">
        <v>87</v>
      </c>
      <c r="D365" s="7">
        <v>7400</v>
      </c>
      <c r="E365" s="7">
        <f>'Option source'!B308</f>
        <v>286.38</v>
      </c>
      <c r="F365" s="7">
        <v>6935</v>
      </c>
      <c r="G365" s="14">
        <v>39</v>
      </c>
      <c r="H365" s="7">
        <f t="shared" si="15"/>
        <v>0</v>
      </c>
      <c r="I365" s="7">
        <f t="shared" si="16"/>
        <v>286.38</v>
      </c>
      <c r="J365" s="9">
        <f t="shared" si="17"/>
        <v>1.0670511896178803</v>
      </c>
      <c r="K365" s="9">
        <v>0.42596253938602191</v>
      </c>
      <c r="L365" s="13">
        <v>0.43397368352587229</v>
      </c>
      <c r="M365" s="13">
        <v>8.9194788023764424</v>
      </c>
      <c r="N365" s="7">
        <f>'Option source'!C308</f>
        <v>25585736</v>
      </c>
      <c r="O365" s="7">
        <f>'Option source'!G308</f>
        <v>276.01</v>
      </c>
      <c r="P365" s="7">
        <f>'Option source'!F308</f>
        <v>303.38</v>
      </c>
      <c r="Q365" s="1" t="s">
        <v>88</v>
      </c>
      <c r="R365" s="1">
        <v>303</v>
      </c>
    </row>
    <row r="366" spans="1:18" ht="21" customHeight="1">
      <c r="A366" s="8">
        <v>46272</v>
      </c>
      <c r="B366" s="1" t="s">
        <v>103</v>
      </c>
      <c r="C366" s="39" t="s">
        <v>90</v>
      </c>
      <c r="D366" s="7">
        <v>7400</v>
      </c>
      <c r="E366" s="7">
        <f>'Option source'!B802</f>
        <v>555</v>
      </c>
      <c r="F366" s="7">
        <v>6935</v>
      </c>
      <c r="G366" s="14">
        <v>39</v>
      </c>
      <c r="H366" s="7">
        <f t="shared" si="15"/>
        <v>465</v>
      </c>
      <c r="I366" s="7">
        <f t="shared" si="16"/>
        <v>90</v>
      </c>
      <c r="J366" s="9">
        <f t="shared" si="17"/>
        <v>1.0670511896178803</v>
      </c>
      <c r="K366" s="9">
        <v>0.40556956424225621</v>
      </c>
      <c r="L366" s="13">
        <v>-0.57199681001240554</v>
      </c>
      <c r="M366" s="13">
        <v>8.8959477136152074</v>
      </c>
      <c r="N366" s="7">
        <f>'Option source'!C802</f>
        <v>2981400</v>
      </c>
      <c r="O366" s="7">
        <f>'Option source'!G802</f>
        <v>550</v>
      </c>
      <c r="P366" s="7">
        <f>'Option source'!F802</f>
        <v>600</v>
      </c>
      <c r="Q366" s="1" t="s">
        <v>88</v>
      </c>
      <c r="R366" s="1">
        <v>797</v>
      </c>
    </row>
    <row r="367" spans="1:18" ht="21" customHeight="1">
      <c r="A367" s="8">
        <v>46272</v>
      </c>
      <c r="B367" s="1" t="s">
        <v>95</v>
      </c>
      <c r="C367" s="39" t="s">
        <v>87</v>
      </c>
      <c r="D367" s="7">
        <v>6400</v>
      </c>
      <c r="E367" s="7">
        <f>'Option source'!B213</f>
        <v>829</v>
      </c>
      <c r="F367" s="7">
        <v>6935</v>
      </c>
      <c r="G367" s="14">
        <v>39</v>
      </c>
      <c r="H367" s="7">
        <f t="shared" si="15"/>
        <v>535</v>
      </c>
      <c r="I367" s="7">
        <f t="shared" si="16"/>
        <v>294</v>
      </c>
      <c r="J367" s="9">
        <f t="shared" si="17"/>
        <v>0.9228550829127613</v>
      </c>
      <c r="K367" s="9">
        <v>0.39914305901366964</v>
      </c>
      <c r="L367" s="13">
        <v>0.82284260975473367</v>
      </c>
      <c r="M367" s="13">
        <v>5.8890101247688902</v>
      </c>
      <c r="N367" s="7">
        <f>'Option source'!C213</f>
        <v>16878956</v>
      </c>
      <c r="O367" s="7">
        <f>'Option source'!G213</f>
        <v>821</v>
      </c>
      <c r="P367" s="7">
        <f>'Option source'!F213</f>
        <v>850</v>
      </c>
      <c r="Q367" s="1" t="s">
        <v>88</v>
      </c>
      <c r="R367" s="1">
        <v>208</v>
      </c>
    </row>
    <row r="368" spans="1:18" ht="21" customHeight="1">
      <c r="A368" s="8">
        <v>46272</v>
      </c>
      <c r="B368" s="1" t="s">
        <v>96</v>
      </c>
      <c r="C368" s="39" t="s">
        <v>90</v>
      </c>
      <c r="D368" s="7">
        <v>6400</v>
      </c>
      <c r="E368" s="7">
        <f>'Option source'!B707</f>
        <v>124.24</v>
      </c>
      <c r="F368" s="7">
        <v>6935</v>
      </c>
      <c r="G368" s="14">
        <v>39</v>
      </c>
      <c r="H368" s="7">
        <f t="shared" si="15"/>
        <v>0</v>
      </c>
      <c r="I368" s="7">
        <f t="shared" si="16"/>
        <v>124.24</v>
      </c>
      <c r="J368" s="9">
        <f t="shared" si="17"/>
        <v>0.9228550829127613</v>
      </c>
      <c r="K368" s="9">
        <v>0.44109335998440358</v>
      </c>
      <c r="L368" s="13">
        <v>-0.19732314296990472</v>
      </c>
      <c r="M368" s="13">
        <v>6.295094528862653</v>
      </c>
      <c r="N368" s="7">
        <f>'Option source'!C707</f>
        <v>6553844.5</v>
      </c>
      <c r="O368" s="7">
        <f>'Option source'!G707</f>
        <v>111</v>
      </c>
      <c r="P368" s="7">
        <f>'Option source'!F707</f>
        <v>130.1</v>
      </c>
      <c r="Q368" s="1" t="s">
        <v>88</v>
      </c>
      <c r="R368" s="1">
        <v>702</v>
      </c>
    </row>
    <row r="369" spans="1:18" ht="21" customHeight="1">
      <c r="A369" s="8">
        <v>46272</v>
      </c>
      <c r="B369" s="1" t="s">
        <v>106</v>
      </c>
      <c r="C369" s="39" t="s">
        <v>87</v>
      </c>
      <c r="D369" s="7">
        <v>7600</v>
      </c>
      <c r="E369" s="7">
        <f>'Option source'!B327</f>
        <v>221.81</v>
      </c>
      <c r="F369" s="7">
        <v>6935</v>
      </c>
      <c r="G369" s="14">
        <v>39</v>
      </c>
      <c r="H369" s="7">
        <f t="shared" si="15"/>
        <v>0</v>
      </c>
      <c r="I369" s="7">
        <f t="shared" si="16"/>
        <v>221.81</v>
      </c>
      <c r="J369" s="9">
        <f t="shared" si="17"/>
        <v>1.095890410958904</v>
      </c>
      <c r="K369" s="9">
        <v>0.42843029879320516</v>
      </c>
      <c r="L369" s="13">
        <v>0.36132054811701053</v>
      </c>
      <c r="M369" s="13">
        <v>8.4915509525770663</v>
      </c>
      <c r="N369" s="7">
        <f>'Option source'!C327</f>
        <v>49931008</v>
      </c>
      <c r="O369" s="7">
        <f>'Option source'!G327</f>
        <v>220</v>
      </c>
      <c r="P369" s="7">
        <f>'Option source'!F327</f>
        <v>246</v>
      </c>
      <c r="Q369" s="1" t="s">
        <v>88</v>
      </c>
      <c r="R369" s="1">
        <v>322</v>
      </c>
    </row>
    <row r="370" spans="1:18" ht="21" customHeight="1">
      <c r="A370" s="8">
        <v>46272</v>
      </c>
      <c r="B370" s="1" t="s">
        <v>107</v>
      </c>
      <c r="C370" s="39" t="s">
        <v>90</v>
      </c>
      <c r="D370" s="7">
        <v>7600</v>
      </c>
      <c r="E370" s="7">
        <f>'Option source'!B821</f>
        <v>625</v>
      </c>
      <c r="F370" s="7">
        <v>6935</v>
      </c>
      <c r="G370" s="14">
        <v>39</v>
      </c>
      <c r="H370" s="7">
        <f t="shared" si="15"/>
        <v>665</v>
      </c>
      <c r="I370" s="7">
        <f t="shared" si="16"/>
        <v>-40</v>
      </c>
      <c r="J370" s="9">
        <f t="shared" si="17"/>
        <v>1.095890410958904</v>
      </c>
      <c r="K370" s="9"/>
      <c r="L370" s="13"/>
      <c r="M370" s="13"/>
      <c r="N370" s="7">
        <f>'Option source'!C821</f>
        <v>62500</v>
      </c>
      <c r="O370" s="7">
        <f>'Option source'!G821</f>
        <v>0</v>
      </c>
      <c r="P370" s="7">
        <f>'Option source'!F821</f>
        <v>0</v>
      </c>
      <c r="Q370" s="1" t="s">
        <v>113</v>
      </c>
      <c r="R370" s="1">
        <v>816</v>
      </c>
    </row>
    <row r="371" spans="1:18" ht="21" customHeight="1">
      <c r="A371" s="8">
        <v>46272</v>
      </c>
      <c r="B371" s="1" t="s">
        <v>99</v>
      </c>
      <c r="C371" s="39" t="s">
        <v>87</v>
      </c>
      <c r="D371" s="7">
        <v>6200</v>
      </c>
      <c r="E371" s="7">
        <f>'Option source'!B194</f>
        <v>1015</v>
      </c>
      <c r="F371" s="7">
        <v>6935</v>
      </c>
      <c r="G371" s="14">
        <v>39</v>
      </c>
      <c r="H371" s="7">
        <f t="shared" si="15"/>
        <v>735</v>
      </c>
      <c r="I371" s="7">
        <f t="shared" si="16"/>
        <v>280</v>
      </c>
      <c r="J371" s="9">
        <f t="shared" si="17"/>
        <v>0.89401586157173751</v>
      </c>
      <c r="K371" s="9"/>
      <c r="L371" s="13"/>
      <c r="M371" s="13"/>
      <c r="N371" s="7">
        <f>'Option source'!C194</f>
        <v>0</v>
      </c>
      <c r="O371" s="7">
        <f>'Option source'!G194</f>
        <v>1010</v>
      </c>
      <c r="P371" s="7">
        <f>'Option source'!F194</f>
        <v>1100.3800000000001</v>
      </c>
      <c r="Q371" s="1" t="s">
        <v>25</v>
      </c>
      <c r="R371" s="1">
        <v>189</v>
      </c>
    </row>
    <row r="372" spans="1:18" ht="21" customHeight="1">
      <c r="A372" s="8">
        <v>46272</v>
      </c>
      <c r="B372" s="1" t="s">
        <v>101</v>
      </c>
      <c r="C372" s="39" t="s">
        <v>90</v>
      </c>
      <c r="D372" s="7">
        <v>6200</v>
      </c>
      <c r="E372" s="7">
        <f>'Option source'!B688</f>
        <v>81.09</v>
      </c>
      <c r="F372" s="7">
        <v>6935</v>
      </c>
      <c r="G372" s="14">
        <v>39</v>
      </c>
      <c r="H372" s="7">
        <f t="shared" si="15"/>
        <v>0</v>
      </c>
      <c r="I372" s="7">
        <f t="shared" si="16"/>
        <v>81.09</v>
      </c>
      <c r="J372" s="9">
        <f t="shared" si="17"/>
        <v>0.89401586157173751</v>
      </c>
      <c r="K372" s="9">
        <v>0.44004255662730207</v>
      </c>
      <c r="L372" s="13">
        <v>-0.1414937743323289</v>
      </c>
      <c r="M372" s="13">
        <v>5.0820599566584637</v>
      </c>
      <c r="N372" s="7">
        <f>'Option source'!C688</f>
        <v>3770500</v>
      </c>
      <c r="O372" s="7">
        <f>'Option source'!G688</f>
        <v>75.12</v>
      </c>
      <c r="P372" s="7">
        <f>'Option source'!F688</f>
        <v>83</v>
      </c>
      <c r="Q372" s="1" t="s">
        <v>88</v>
      </c>
      <c r="R372" s="1">
        <v>683</v>
      </c>
    </row>
    <row r="373" spans="1:18" ht="21" customHeight="1">
      <c r="A373" s="8">
        <v>46272</v>
      </c>
      <c r="B373" s="1" t="s">
        <v>111</v>
      </c>
      <c r="C373" s="39" t="s">
        <v>87</v>
      </c>
      <c r="D373" s="7">
        <v>7800</v>
      </c>
      <c r="E373" s="7">
        <f>'Option source'!B346</f>
        <v>170.27</v>
      </c>
      <c r="F373" s="7">
        <v>6935</v>
      </c>
      <c r="G373" s="14">
        <v>39</v>
      </c>
      <c r="H373" s="7">
        <f t="shared" si="15"/>
        <v>0</v>
      </c>
      <c r="I373" s="7">
        <f t="shared" si="16"/>
        <v>170.27</v>
      </c>
      <c r="J373" s="9">
        <f t="shared" si="17"/>
        <v>1.1247296322999278</v>
      </c>
      <c r="K373" s="9">
        <v>0.43150327502781283</v>
      </c>
      <c r="L373" s="13">
        <v>0.2961306478589652</v>
      </c>
      <c r="M373" s="13">
        <v>7.8353569306974169</v>
      </c>
      <c r="N373" s="7">
        <f>'Option source'!C346</f>
        <v>12452155</v>
      </c>
      <c r="O373" s="7">
        <f>'Option source'!G346</f>
        <v>154</v>
      </c>
      <c r="P373" s="7">
        <f>'Option source'!F346</f>
        <v>188.98</v>
      </c>
      <c r="Q373" s="1" t="s">
        <v>88</v>
      </c>
      <c r="R373" s="1">
        <v>341</v>
      </c>
    </row>
    <row r="374" spans="1:18" ht="21" customHeight="1">
      <c r="A374" s="8">
        <v>46272</v>
      </c>
      <c r="B374" s="1" t="s">
        <v>112</v>
      </c>
      <c r="C374" s="39" t="s">
        <v>90</v>
      </c>
      <c r="D374" s="7">
        <v>7800</v>
      </c>
      <c r="E374" s="7">
        <f>'Option source'!B840</f>
        <v>780</v>
      </c>
      <c r="F374" s="7">
        <v>6935</v>
      </c>
      <c r="G374" s="14">
        <v>39</v>
      </c>
      <c r="H374" s="7">
        <f t="shared" si="15"/>
        <v>865</v>
      </c>
      <c r="I374" s="7">
        <f t="shared" si="16"/>
        <v>-85</v>
      </c>
      <c r="J374" s="9">
        <f t="shared" si="17"/>
        <v>1.1247296322999278</v>
      </c>
      <c r="K374" s="9"/>
      <c r="L374" s="13"/>
      <c r="M374" s="13"/>
      <c r="N374" s="7">
        <f>'Option source'!C840</f>
        <v>0</v>
      </c>
      <c r="O374" s="7">
        <f>'Option source'!G840</f>
        <v>790</v>
      </c>
      <c r="P374" s="7">
        <f>'Option source'!F840</f>
        <v>790</v>
      </c>
      <c r="Q374" s="1" t="s">
        <v>145</v>
      </c>
      <c r="R374" s="1">
        <v>835</v>
      </c>
    </row>
    <row r="375" spans="1:18" ht="21" customHeight="1">
      <c r="A375" s="8">
        <v>46272</v>
      </c>
      <c r="B375" s="1" t="s">
        <v>104</v>
      </c>
      <c r="C375" s="39" t="s">
        <v>87</v>
      </c>
      <c r="D375" s="7">
        <v>6000</v>
      </c>
      <c r="E375" s="7">
        <f>'Option source'!B175</f>
        <v>1158.57</v>
      </c>
      <c r="F375" s="7">
        <v>6935</v>
      </c>
      <c r="G375" s="14">
        <v>39</v>
      </c>
      <c r="H375" s="7">
        <f t="shared" si="15"/>
        <v>935</v>
      </c>
      <c r="I375" s="7">
        <f t="shared" si="16"/>
        <v>223.56999999999994</v>
      </c>
      <c r="J375" s="9">
        <f t="shared" si="17"/>
        <v>0.86517664023071372</v>
      </c>
      <c r="K375" s="9">
        <v>0.40180336246969139</v>
      </c>
      <c r="L375" s="13">
        <v>0.92107932192749475</v>
      </c>
      <c r="M375" s="13">
        <v>3.3356472701253597</v>
      </c>
      <c r="N375" s="7">
        <f>'Option source'!C175</f>
        <v>11853357</v>
      </c>
      <c r="O375" s="7">
        <f>'Option source'!G175</f>
        <v>1080</v>
      </c>
      <c r="P375" s="7">
        <f>'Option source'!F175</f>
        <v>1245.77</v>
      </c>
      <c r="Q375" s="1" t="s">
        <v>88</v>
      </c>
      <c r="R375" s="1">
        <v>170</v>
      </c>
    </row>
    <row r="376" spans="1:18" ht="21" customHeight="1">
      <c r="A376" s="8">
        <v>46272</v>
      </c>
      <c r="B376" s="1" t="s">
        <v>105</v>
      </c>
      <c r="C376" s="39" t="s">
        <v>90</v>
      </c>
      <c r="D376" s="7">
        <v>6000</v>
      </c>
      <c r="E376" s="7">
        <f>'Option source'!B669</f>
        <v>49.14</v>
      </c>
      <c r="F376" s="7">
        <v>6935</v>
      </c>
      <c r="G376" s="14">
        <v>39</v>
      </c>
      <c r="H376" s="7">
        <f t="shared" si="15"/>
        <v>0</v>
      </c>
      <c r="I376" s="7">
        <f t="shared" si="16"/>
        <v>49.14</v>
      </c>
      <c r="J376" s="9">
        <f t="shared" si="17"/>
        <v>0.86517664023071372</v>
      </c>
      <c r="K376" s="9">
        <v>0.43722577567421672</v>
      </c>
      <c r="L376" s="13">
        <v>-9.5258060708762859E-2</v>
      </c>
      <c r="M376" s="13">
        <v>3.839141643626844</v>
      </c>
      <c r="N376" s="7">
        <f>'Option source'!C669</f>
        <v>12969123</v>
      </c>
      <c r="O376" s="7">
        <f>'Option source'!G669</f>
        <v>47.44</v>
      </c>
      <c r="P376" s="7">
        <f>'Option source'!F669</f>
        <v>52</v>
      </c>
      <c r="Q376" s="1" t="s">
        <v>88</v>
      </c>
      <c r="R376" s="1">
        <v>664</v>
      </c>
    </row>
    <row r="377" spans="1:18" ht="21" customHeight="1">
      <c r="A377" s="8">
        <v>46272</v>
      </c>
      <c r="B377" s="1" t="s">
        <v>116</v>
      </c>
      <c r="C377" s="39" t="s">
        <v>87</v>
      </c>
      <c r="D377" s="7">
        <v>8000</v>
      </c>
      <c r="E377" s="7">
        <f>'Option source'!B365</f>
        <v>129.99</v>
      </c>
      <c r="F377" s="7">
        <v>6935</v>
      </c>
      <c r="G377" s="14">
        <v>39</v>
      </c>
      <c r="H377" s="7">
        <f t="shared" si="15"/>
        <v>0</v>
      </c>
      <c r="I377" s="7">
        <f t="shared" si="16"/>
        <v>129.99</v>
      </c>
      <c r="J377" s="9">
        <f t="shared" si="17"/>
        <v>1.1535688536409516</v>
      </c>
      <c r="K377" s="9">
        <v>0.43535476052388866</v>
      </c>
      <c r="L377" s="13">
        <v>0.23963436568484434</v>
      </c>
      <c r="M377" s="13">
        <v>7.0413248925100538</v>
      </c>
      <c r="N377" s="7">
        <f>'Option source'!C365</f>
        <v>39736336</v>
      </c>
      <c r="O377" s="7">
        <f>'Option source'!G365</f>
        <v>126</v>
      </c>
      <c r="P377" s="7">
        <f>'Option source'!F365</f>
        <v>145</v>
      </c>
      <c r="Q377" s="1" t="s">
        <v>88</v>
      </c>
      <c r="R377" s="1">
        <v>360</v>
      </c>
    </row>
    <row r="378" spans="1:18" ht="21" customHeight="1">
      <c r="A378" s="8">
        <v>46272</v>
      </c>
      <c r="B378" s="1" t="s">
        <v>117</v>
      </c>
      <c r="C378" s="39" t="s">
        <v>90</v>
      </c>
      <c r="D378" s="7">
        <v>8000</v>
      </c>
      <c r="E378" s="7">
        <f>'Option source'!B859</f>
        <v>1000</v>
      </c>
      <c r="F378" s="7">
        <v>6935</v>
      </c>
      <c r="G378" s="14">
        <v>39</v>
      </c>
      <c r="H378" s="7">
        <f t="shared" si="15"/>
        <v>1065</v>
      </c>
      <c r="I378" s="7">
        <f t="shared" si="16"/>
        <v>-65</v>
      </c>
      <c r="J378" s="9">
        <f t="shared" si="17"/>
        <v>1.1535688536409516</v>
      </c>
      <c r="K378" s="9"/>
      <c r="L378" s="13"/>
      <c r="M378" s="13"/>
      <c r="N378" s="7">
        <f>'Option source'!C859</f>
        <v>0</v>
      </c>
      <c r="O378" s="7">
        <f>'Option source'!G859</f>
        <v>1000</v>
      </c>
      <c r="P378" s="7">
        <f>'Option source'!F859</f>
        <v>1000</v>
      </c>
      <c r="Q378" s="1" t="s">
        <v>118</v>
      </c>
      <c r="R378" s="1">
        <v>854</v>
      </c>
    </row>
    <row r="379" spans="1:18" ht="21" customHeight="1">
      <c r="A379" s="8">
        <v>46272</v>
      </c>
      <c r="B379" s="1" t="s">
        <v>108</v>
      </c>
      <c r="C379" s="39" t="s">
        <v>87</v>
      </c>
      <c r="D379" s="7">
        <v>5800</v>
      </c>
      <c r="E379" s="7">
        <f>'Option source'!B156</f>
        <v>1330</v>
      </c>
      <c r="F379" s="7">
        <v>6935</v>
      </c>
      <c r="G379" s="14">
        <v>39</v>
      </c>
      <c r="H379" s="7">
        <f t="shared" si="15"/>
        <v>1135</v>
      </c>
      <c r="I379" s="7">
        <f t="shared" si="16"/>
        <v>195</v>
      </c>
      <c r="J379" s="9">
        <f t="shared" si="17"/>
        <v>0.83633741888968993</v>
      </c>
      <c r="K379" s="9">
        <v>0.36783403696910189</v>
      </c>
      <c r="L379" s="13">
        <v>0.96509491473100506</v>
      </c>
      <c r="M379" s="13">
        <v>1.7477350940126672</v>
      </c>
      <c r="N379" s="7">
        <f>'Option source'!C156</f>
        <v>2134019</v>
      </c>
      <c r="O379" s="7">
        <f>'Option source'!G156</f>
        <v>1300.18</v>
      </c>
      <c r="P379" s="7">
        <f>'Option source'!F156</f>
        <v>1375.37</v>
      </c>
      <c r="Q379" s="1" t="s">
        <v>88</v>
      </c>
      <c r="R379" s="1">
        <v>151</v>
      </c>
    </row>
    <row r="380" spans="1:18" ht="21" customHeight="1">
      <c r="A380" s="8">
        <v>46272</v>
      </c>
      <c r="B380" s="1" t="s">
        <v>110</v>
      </c>
      <c r="C380" s="39" t="s">
        <v>90</v>
      </c>
      <c r="D380" s="7">
        <v>5800</v>
      </c>
      <c r="E380" s="7">
        <f>'Option source'!B650</f>
        <v>28.16</v>
      </c>
      <c r="F380" s="7">
        <v>6935</v>
      </c>
      <c r="G380" s="14">
        <v>39</v>
      </c>
      <c r="H380" s="7">
        <f t="shared" si="15"/>
        <v>0</v>
      </c>
      <c r="I380" s="7">
        <f t="shared" si="16"/>
        <v>28.16</v>
      </c>
      <c r="J380" s="9">
        <f t="shared" si="17"/>
        <v>0.83633741888968993</v>
      </c>
      <c r="K380" s="9">
        <v>0.43520136142513277</v>
      </c>
      <c r="L380" s="13">
        <v>-6.023659817150584E-2</v>
      </c>
      <c r="M380" s="13">
        <v>2.7087319573363975</v>
      </c>
      <c r="N380" s="7">
        <f>'Option source'!C650</f>
        <v>4109854.25</v>
      </c>
      <c r="O380" s="7">
        <f>'Option source'!G650</f>
        <v>26.03</v>
      </c>
      <c r="P380" s="7">
        <f>'Option source'!F650</f>
        <v>32</v>
      </c>
      <c r="Q380" s="1" t="s">
        <v>88</v>
      </c>
      <c r="R380" s="1">
        <v>645</v>
      </c>
    </row>
    <row r="381" spans="1:18" ht="21" customHeight="1">
      <c r="A381" s="8">
        <v>46272</v>
      </c>
      <c r="B381" s="1" t="s">
        <v>114</v>
      </c>
      <c r="C381" s="39" t="s">
        <v>87</v>
      </c>
      <c r="D381" s="7">
        <v>5600</v>
      </c>
      <c r="E381" s="7">
        <f>'Option source'!B146</f>
        <v>1500</v>
      </c>
      <c r="F381" s="7">
        <v>6935</v>
      </c>
      <c r="G381" s="14">
        <v>39</v>
      </c>
      <c r="H381" s="7">
        <f t="shared" si="15"/>
        <v>1335</v>
      </c>
      <c r="I381" s="7">
        <f t="shared" si="16"/>
        <v>165</v>
      </c>
      <c r="J381" s="9">
        <f t="shared" si="17"/>
        <v>0.80749819754866614</v>
      </c>
      <c r="K381" s="9"/>
      <c r="L381" s="13"/>
      <c r="M381" s="13"/>
      <c r="N381" s="7">
        <f>'Option source'!C146</f>
        <v>4102120.5</v>
      </c>
      <c r="O381" s="7">
        <f>'Option source'!G146</f>
        <v>1445.23</v>
      </c>
      <c r="P381" s="7">
        <f>'Option source'!F146</f>
        <v>1538.47</v>
      </c>
      <c r="Q381" s="1" t="s">
        <v>100</v>
      </c>
      <c r="R381" s="1">
        <v>141</v>
      </c>
    </row>
    <row r="382" spans="1:18" ht="21" customHeight="1">
      <c r="A382" s="8">
        <v>46272</v>
      </c>
      <c r="B382" s="1" t="s">
        <v>115</v>
      </c>
      <c r="C382" s="39" t="s">
        <v>90</v>
      </c>
      <c r="D382" s="7">
        <v>5600</v>
      </c>
      <c r="E382" s="7">
        <f>'Option source'!B631</f>
        <v>16</v>
      </c>
      <c r="F382" s="7">
        <v>6935</v>
      </c>
      <c r="G382" s="14">
        <v>39</v>
      </c>
      <c r="H382" s="7">
        <f t="shared" si="15"/>
        <v>0</v>
      </c>
      <c r="I382" s="7">
        <f t="shared" si="16"/>
        <v>16</v>
      </c>
      <c r="J382" s="9">
        <f t="shared" si="17"/>
        <v>0.80749819754866614</v>
      </c>
      <c r="K382" s="9">
        <v>0.43812249171058404</v>
      </c>
      <c r="L382" s="13">
        <v>-3.6854252321482095E-2</v>
      </c>
      <c r="M382" s="13">
        <v>1.8272996808715769</v>
      </c>
      <c r="N382" s="7">
        <f>'Option source'!C631</f>
        <v>4509522.5</v>
      </c>
      <c r="O382" s="7">
        <f>'Option source'!G631</f>
        <v>11.1</v>
      </c>
      <c r="P382" s="7">
        <f>'Option source'!F631</f>
        <v>17.989999999999998</v>
      </c>
      <c r="Q382" s="1" t="s">
        <v>88</v>
      </c>
      <c r="R382" s="1">
        <v>626</v>
      </c>
    </row>
    <row r="383" spans="1:18" ht="21" customHeight="1">
      <c r="A383" s="8">
        <v>46272</v>
      </c>
      <c r="B383" s="1" t="s">
        <v>121</v>
      </c>
      <c r="C383" s="39" t="s">
        <v>87</v>
      </c>
      <c r="D383" s="7">
        <v>8300</v>
      </c>
      <c r="E383" s="7">
        <f>'Option source'!B384</f>
        <v>83.25</v>
      </c>
      <c r="F383" s="7">
        <v>6935</v>
      </c>
      <c r="G383" s="14">
        <v>39</v>
      </c>
      <c r="H383" s="7">
        <f t="shared" si="15"/>
        <v>0</v>
      </c>
      <c r="I383" s="7">
        <f t="shared" si="16"/>
        <v>83.25</v>
      </c>
      <c r="J383" s="9">
        <f t="shared" si="17"/>
        <v>1.1968276856524873</v>
      </c>
      <c r="K383" s="9">
        <v>0.43707224637130282</v>
      </c>
      <c r="L383" s="13">
        <v>0.1680713672088901</v>
      </c>
      <c r="M383" s="13">
        <v>5.6945870392582938</v>
      </c>
      <c r="N383" s="7">
        <f>'Option source'!C384</f>
        <v>11874212</v>
      </c>
      <c r="O383" s="7">
        <f>'Option source'!G384</f>
        <v>65</v>
      </c>
      <c r="P383" s="7">
        <f>'Option source'!F384</f>
        <v>94</v>
      </c>
      <c r="Q383" s="1" t="s">
        <v>88</v>
      </c>
      <c r="R383" s="1">
        <v>379</v>
      </c>
    </row>
    <row r="384" spans="1:18" ht="21" customHeight="1">
      <c r="A384" s="8">
        <v>46272</v>
      </c>
      <c r="B384" s="1" t="s">
        <v>122</v>
      </c>
      <c r="C384" s="39" t="s">
        <v>90</v>
      </c>
      <c r="D384" s="7">
        <v>8300</v>
      </c>
      <c r="E384" s="7">
        <f>'Option source'!B878</f>
        <v>1350</v>
      </c>
      <c r="F384" s="7">
        <v>6935</v>
      </c>
      <c r="G384" s="14">
        <v>39</v>
      </c>
      <c r="H384" s="7">
        <f t="shared" si="15"/>
        <v>1365</v>
      </c>
      <c r="I384" s="7">
        <f t="shared" si="16"/>
        <v>-15</v>
      </c>
      <c r="J384" s="9">
        <f t="shared" si="17"/>
        <v>1.1968276856524873</v>
      </c>
      <c r="K384" s="9"/>
      <c r="L384" s="13"/>
      <c r="M384" s="13"/>
      <c r="N384" s="7">
        <f>'Option source'!C878</f>
        <v>0</v>
      </c>
      <c r="O384" s="7">
        <f>'Option source'!G878</f>
        <v>1350</v>
      </c>
      <c r="P384" s="7">
        <f>'Option source'!F878</f>
        <v>1350</v>
      </c>
      <c r="Q384" s="1" t="s">
        <v>118</v>
      </c>
      <c r="R384" s="1">
        <v>873</v>
      </c>
    </row>
    <row r="385" spans="1:18" ht="21" customHeight="1">
      <c r="A385" s="8">
        <v>46272</v>
      </c>
      <c r="B385" s="1" t="s">
        <v>119</v>
      </c>
      <c r="C385" s="39" t="s">
        <v>87</v>
      </c>
      <c r="D385" s="7">
        <v>5400</v>
      </c>
      <c r="E385" s="7">
        <f>'Option source'!B128</f>
        <v>1636.72</v>
      </c>
      <c r="F385" s="7">
        <v>6935</v>
      </c>
      <c r="G385" s="14">
        <v>39</v>
      </c>
      <c r="H385" s="7">
        <f t="shared" si="15"/>
        <v>1535</v>
      </c>
      <c r="I385" s="7">
        <f t="shared" si="16"/>
        <v>101.72000000000003</v>
      </c>
      <c r="J385" s="9">
        <f t="shared" si="17"/>
        <v>0.77865897620764235</v>
      </c>
      <c r="K385" s="9"/>
      <c r="L385" s="13"/>
      <c r="M385" s="13"/>
      <c r="N385" s="7">
        <f>'Option source'!C128</f>
        <v>1697140.25</v>
      </c>
      <c r="O385" s="7">
        <f>'Option source'!G128</f>
        <v>1705.98</v>
      </c>
      <c r="P385" s="7">
        <f>'Option source'!F128</f>
        <v>1901.18</v>
      </c>
      <c r="Q385" s="1" t="s">
        <v>109</v>
      </c>
      <c r="R385" s="1">
        <v>123</v>
      </c>
    </row>
    <row r="386" spans="1:18" ht="21" customHeight="1">
      <c r="A386" s="8">
        <v>46272</v>
      </c>
      <c r="B386" s="1" t="s">
        <v>120</v>
      </c>
      <c r="C386" s="39" t="s">
        <v>90</v>
      </c>
      <c r="D386" s="7">
        <v>5400</v>
      </c>
      <c r="E386" s="7">
        <f>'Option source'!B612</f>
        <v>8.51</v>
      </c>
      <c r="F386" s="7">
        <v>6935</v>
      </c>
      <c r="G386" s="14">
        <v>39</v>
      </c>
      <c r="H386" s="7">
        <f t="shared" si="15"/>
        <v>0</v>
      </c>
      <c r="I386" s="7">
        <f t="shared" si="16"/>
        <v>8.51</v>
      </c>
      <c r="J386" s="9">
        <f t="shared" si="17"/>
        <v>0.77865897620764235</v>
      </c>
      <c r="K386" s="9">
        <v>0.4412448339216799</v>
      </c>
      <c r="L386" s="13">
        <v>-2.1232968197122837E-2</v>
      </c>
      <c r="M386" s="13">
        <v>1.1546434095769227</v>
      </c>
      <c r="N386" s="7">
        <f>'Option source'!C612</f>
        <v>216428.3</v>
      </c>
      <c r="O386" s="7">
        <f>'Option source'!G612</f>
        <v>6.89</v>
      </c>
      <c r="P386" s="7">
        <f>'Option source'!F612</f>
        <v>13.89</v>
      </c>
      <c r="Q386" s="1" t="s">
        <v>88</v>
      </c>
      <c r="R386" s="1">
        <v>607</v>
      </c>
    </row>
    <row r="387" spans="1:18" ht="21" customHeight="1">
      <c r="A387" s="8">
        <v>46272</v>
      </c>
      <c r="B387" s="1" t="s">
        <v>127</v>
      </c>
      <c r="C387" s="39" t="s">
        <v>87</v>
      </c>
      <c r="D387" s="7">
        <v>8600</v>
      </c>
      <c r="E387" s="7">
        <f>'Option source'!B403</f>
        <v>48.42</v>
      </c>
      <c r="F387" s="7">
        <v>6935</v>
      </c>
      <c r="G387" s="14">
        <v>39</v>
      </c>
      <c r="H387" s="7">
        <f t="shared" si="15"/>
        <v>0</v>
      </c>
      <c r="I387" s="7">
        <f t="shared" si="16"/>
        <v>48.42</v>
      </c>
      <c r="J387" s="9">
        <f t="shared" si="17"/>
        <v>1.240086517664023</v>
      </c>
      <c r="K387" s="9">
        <v>0.43038409588715054</v>
      </c>
      <c r="L387" s="13">
        <v>0.1090956182549853</v>
      </c>
      <c r="M387" s="13">
        <v>4.2373830374290868</v>
      </c>
      <c r="N387" s="7">
        <f>'Option source'!C403</f>
        <v>13341109</v>
      </c>
      <c r="O387" s="7">
        <f>'Option source'!G403</f>
        <v>47.01</v>
      </c>
      <c r="P387" s="7">
        <f>'Option source'!F403</f>
        <v>52</v>
      </c>
      <c r="Q387" s="1" t="s">
        <v>88</v>
      </c>
      <c r="R387" s="1">
        <v>398</v>
      </c>
    </row>
    <row r="388" spans="1:18" ht="21" customHeight="1">
      <c r="A388" s="8">
        <v>46272</v>
      </c>
      <c r="B388" s="1" t="s">
        <v>128</v>
      </c>
      <c r="C388" s="39" t="s">
        <v>90</v>
      </c>
      <c r="D388" s="7">
        <v>8600</v>
      </c>
      <c r="E388" s="7">
        <f>'Option source'!B897</f>
        <v>1555.11</v>
      </c>
      <c r="F388" s="7">
        <v>6935</v>
      </c>
      <c r="G388" s="14">
        <v>39</v>
      </c>
      <c r="H388" s="7">
        <f t="shared" si="15"/>
        <v>1665</v>
      </c>
      <c r="I388" s="7">
        <f t="shared" si="16"/>
        <v>-109.8900000000001</v>
      </c>
      <c r="J388" s="9">
        <f t="shared" si="17"/>
        <v>1.240086517664023</v>
      </c>
      <c r="K388" s="9"/>
      <c r="L388" s="13"/>
      <c r="M388" s="13"/>
      <c r="N388" s="7">
        <f>'Option source'!C897</f>
        <v>0</v>
      </c>
      <c r="O388" s="7">
        <f>'Option source'!G897</f>
        <v>1555.11</v>
      </c>
      <c r="P388" s="7">
        <f>'Option source'!F897</f>
        <v>1555.11</v>
      </c>
      <c r="Q388" s="1" t="s">
        <v>118</v>
      </c>
      <c r="R388" s="1">
        <v>892</v>
      </c>
    </row>
    <row r="389" spans="1:18" ht="21" customHeight="1">
      <c r="A389" s="8">
        <v>46272</v>
      </c>
      <c r="B389" s="1" t="s">
        <v>123</v>
      </c>
      <c r="C389" s="39" t="s">
        <v>87</v>
      </c>
      <c r="D389" s="7">
        <v>5200</v>
      </c>
      <c r="E389" s="7">
        <f>'Option source'!B109</f>
        <v>1880.26</v>
      </c>
      <c r="F389" s="7">
        <v>6935</v>
      </c>
      <c r="G389" s="14">
        <v>39</v>
      </c>
      <c r="H389" s="7">
        <f t="shared" si="15"/>
        <v>1735</v>
      </c>
      <c r="I389" s="7">
        <f t="shared" si="16"/>
        <v>145.26</v>
      </c>
      <c r="J389" s="9">
        <f t="shared" si="17"/>
        <v>0.74981975486661856</v>
      </c>
      <c r="K389" s="9"/>
      <c r="L389" s="13"/>
      <c r="M389" s="13"/>
      <c r="N389" s="7">
        <f>'Option source'!C109</f>
        <v>3207227.25</v>
      </c>
      <c r="O389" s="7">
        <f>'Option source'!G109</f>
        <v>1840.52</v>
      </c>
      <c r="P389" s="7">
        <f>'Option source'!F109</f>
        <v>1925.73</v>
      </c>
      <c r="Q389" s="1" t="s">
        <v>100</v>
      </c>
      <c r="R389" s="1">
        <v>104</v>
      </c>
    </row>
    <row r="390" spans="1:18" ht="21" customHeight="1">
      <c r="A390" s="8">
        <v>46272</v>
      </c>
      <c r="B390" s="1" t="s">
        <v>124</v>
      </c>
      <c r="C390" s="39" t="s">
        <v>90</v>
      </c>
      <c r="D390" s="7">
        <v>5200</v>
      </c>
      <c r="E390" s="7">
        <f>'Option source'!B593</f>
        <v>4.8</v>
      </c>
      <c r="F390" s="7">
        <v>6935</v>
      </c>
      <c r="G390" s="14">
        <v>39</v>
      </c>
      <c r="H390" s="7">
        <f t="shared" si="15"/>
        <v>0</v>
      </c>
      <c r="I390" s="7">
        <f t="shared" si="16"/>
        <v>4.8</v>
      </c>
      <c r="J390" s="9">
        <f t="shared" si="17"/>
        <v>0.74981975486661856</v>
      </c>
      <c r="K390" s="9">
        <v>0.45184619597311215</v>
      </c>
      <c r="L390" s="13">
        <v>-1.2536736969231632E-2</v>
      </c>
      <c r="M390" s="13">
        <v>0.73539867578937301</v>
      </c>
      <c r="N390" s="7">
        <f>'Option source'!C593</f>
        <v>305952.81</v>
      </c>
      <c r="O390" s="7">
        <f>'Option source'!G593</f>
        <v>4</v>
      </c>
      <c r="P390" s="7">
        <f>'Option source'!F593</f>
        <v>5.62</v>
      </c>
      <c r="Q390" s="1" t="s">
        <v>88</v>
      </c>
      <c r="R390" s="1">
        <v>588</v>
      </c>
    </row>
    <row r="391" spans="1:18" ht="21" customHeight="1">
      <c r="A391" s="8">
        <v>46272</v>
      </c>
      <c r="B391" s="1" t="s">
        <v>125</v>
      </c>
      <c r="C391" s="39" t="s">
        <v>87</v>
      </c>
      <c r="D391" s="7">
        <v>5000</v>
      </c>
      <c r="E391" s="7">
        <f>'Option source'!B90</f>
        <v>2094.25</v>
      </c>
      <c r="F391" s="7">
        <v>6935</v>
      </c>
      <c r="G391" s="14">
        <v>39</v>
      </c>
      <c r="H391" s="7">
        <f t="shared" ref="H391:H454" si="18">MAX(IF(C391="call",F391-D391,D391-F391),0)</f>
        <v>1935</v>
      </c>
      <c r="I391" s="7">
        <f t="shared" ref="I391:I454" si="19">E391-H391</f>
        <v>159.25</v>
      </c>
      <c r="J391" s="9">
        <f t="shared" ref="J391:J454" si="20">D391/F391</f>
        <v>0.72098053352559477</v>
      </c>
      <c r="K391" s="9">
        <v>0.43494660768964588</v>
      </c>
      <c r="L391" s="13">
        <v>0.99530535727837754</v>
      </c>
      <c r="M391" s="13">
        <v>0.3098831790284004</v>
      </c>
      <c r="N391" s="7">
        <f>'Option source'!C90</f>
        <v>1046059</v>
      </c>
      <c r="O391" s="7">
        <f>'Option source'!G90</f>
        <v>2035.2</v>
      </c>
      <c r="P391" s="7">
        <f>'Option source'!F90</f>
        <v>2110.38</v>
      </c>
      <c r="Q391" s="1" t="s">
        <v>88</v>
      </c>
      <c r="R391" s="1">
        <v>85</v>
      </c>
    </row>
    <row r="392" spans="1:18" ht="21" customHeight="1">
      <c r="A392" s="8">
        <v>46272</v>
      </c>
      <c r="B392" s="1" t="s">
        <v>126</v>
      </c>
      <c r="C392" s="39" t="s">
        <v>90</v>
      </c>
      <c r="D392" s="7">
        <v>5000</v>
      </c>
      <c r="E392" s="7">
        <f>'Option source'!B574</f>
        <v>2.79</v>
      </c>
      <c r="F392" s="7">
        <v>6935</v>
      </c>
      <c r="G392" s="14">
        <v>39</v>
      </c>
      <c r="H392" s="7">
        <f t="shared" si="18"/>
        <v>0</v>
      </c>
      <c r="I392" s="7">
        <f t="shared" si="19"/>
        <v>2.79</v>
      </c>
      <c r="J392" s="9">
        <f t="shared" si="20"/>
        <v>0.72098053352559477</v>
      </c>
      <c r="K392" s="9">
        <v>0.46678505844136653</v>
      </c>
      <c r="L392" s="13">
        <v>-7.5405838402698988E-3</v>
      </c>
      <c r="M392" s="13">
        <v>0.47169593696969164</v>
      </c>
      <c r="N392" s="7">
        <f>'Option source'!C574</f>
        <v>276486.31</v>
      </c>
      <c r="O392" s="7">
        <f>'Option source'!G574</f>
        <v>1.68</v>
      </c>
      <c r="P392" s="7">
        <f>'Option source'!F574</f>
        <v>3.75</v>
      </c>
      <c r="Q392" s="1" t="s">
        <v>88</v>
      </c>
      <c r="R392" s="1">
        <v>569</v>
      </c>
    </row>
    <row r="393" spans="1:18" ht="21" customHeight="1">
      <c r="A393" s="8">
        <v>46272</v>
      </c>
      <c r="B393" s="1" t="s">
        <v>132</v>
      </c>
      <c r="C393" s="39" t="s">
        <v>87</v>
      </c>
      <c r="D393" s="7">
        <v>8900</v>
      </c>
      <c r="E393" s="7">
        <f>'Option source'!B422</f>
        <v>28.82</v>
      </c>
      <c r="F393" s="7">
        <v>6935</v>
      </c>
      <c r="G393" s="14">
        <v>39</v>
      </c>
      <c r="H393" s="7">
        <f t="shared" si="18"/>
        <v>0</v>
      </c>
      <c r="I393" s="7">
        <f t="shared" si="19"/>
        <v>28.82</v>
      </c>
      <c r="J393" s="9">
        <f t="shared" si="20"/>
        <v>1.2833453496755587</v>
      </c>
      <c r="K393" s="9">
        <v>0.43088976233546228</v>
      </c>
      <c r="L393" s="13">
        <v>7.035012488964533E-2</v>
      </c>
      <c r="M393" s="13">
        <v>3.0554221643549671</v>
      </c>
      <c r="N393" s="7">
        <f>'Option source'!C422</f>
        <v>3681356</v>
      </c>
      <c r="O393" s="7">
        <f>'Option source'!G422</f>
        <v>28.22</v>
      </c>
      <c r="P393" s="7">
        <f>'Option source'!F422</f>
        <v>31.35</v>
      </c>
      <c r="Q393" s="1" t="s">
        <v>88</v>
      </c>
      <c r="R393" s="1">
        <v>417</v>
      </c>
    </row>
    <row r="394" spans="1:18" ht="21" customHeight="1">
      <c r="A394" s="8">
        <v>46272</v>
      </c>
      <c r="B394" s="1" t="s">
        <v>133</v>
      </c>
      <c r="C394" s="39" t="s">
        <v>90</v>
      </c>
      <c r="D394" s="7">
        <v>8900</v>
      </c>
      <c r="E394" s="7">
        <f>'Option source'!B912</f>
        <v>2022.5</v>
      </c>
      <c r="F394" s="7">
        <v>6935</v>
      </c>
      <c r="G394" s="14">
        <v>39</v>
      </c>
      <c r="H394" s="7">
        <f t="shared" si="18"/>
        <v>1965</v>
      </c>
      <c r="I394" s="7">
        <f t="shared" si="19"/>
        <v>57.5</v>
      </c>
      <c r="J394" s="9">
        <f t="shared" si="20"/>
        <v>1.2833453496755587</v>
      </c>
      <c r="K394" s="9"/>
      <c r="L394" s="13"/>
      <c r="M394" s="13"/>
      <c r="N394" s="7">
        <f>'Option source'!C912</f>
        <v>0</v>
      </c>
      <c r="O394" s="7">
        <f>'Option source'!G912</f>
        <v>2022.5</v>
      </c>
      <c r="P394" s="7">
        <f>'Option source'!F912</f>
        <v>2037.67</v>
      </c>
      <c r="Q394" s="1" t="s">
        <v>25</v>
      </c>
      <c r="R394" s="1">
        <v>907</v>
      </c>
    </row>
    <row r="395" spans="1:18" ht="21" customHeight="1">
      <c r="A395" s="8">
        <v>46272</v>
      </c>
      <c r="B395" s="1" t="s">
        <v>129</v>
      </c>
      <c r="C395" s="39" t="s">
        <v>87</v>
      </c>
      <c r="D395" s="7">
        <v>4800</v>
      </c>
      <c r="E395" s="7">
        <f>'Option source'!B73</f>
        <v>2261.21</v>
      </c>
      <c r="F395" s="7">
        <v>6935</v>
      </c>
      <c r="G395" s="14">
        <v>39</v>
      </c>
      <c r="H395" s="7">
        <f t="shared" si="18"/>
        <v>2135</v>
      </c>
      <c r="I395" s="7">
        <f t="shared" si="19"/>
        <v>126.21000000000004</v>
      </c>
      <c r="J395" s="9">
        <f t="shared" si="20"/>
        <v>0.69214131218457098</v>
      </c>
      <c r="K395" s="9"/>
      <c r="L395" s="13"/>
      <c r="M395" s="13"/>
      <c r="N395" s="7">
        <f>'Option source'!C73</f>
        <v>452242.59</v>
      </c>
      <c r="O395" s="7">
        <f>'Option source'!G73</f>
        <v>0</v>
      </c>
      <c r="P395" s="7">
        <f>'Option source'!F73</f>
        <v>0</v>
      </c>
      <c r="Q395" s="1" t="s">
        <v>109</v>
      </c>
      <c r="R395" s="1">
        <v>68</v>
      </c>
    </row>
    <row r="396" spans="1:18" ht="21" customHeight="1">
      <c r="A396" s="8">
        <v>46272</v>
      </c>
      <c r="B396" s="1" t="s">
        <v>131</v>
      </c>
      <c r="C396" s="39" t="s">
        <v>90</v>
      </c>
      <c r="D396" s="7">
        <v>4800</v>
      </c>
      <c r="E396" s="7">
        <f>'Option source'!B555</f>
        <v>1.85</v>
      </c>
      <c r="F396" s="7">
        <v>6935</v>
      </c>
      <c r="G396" s="14">
        <v>39</v>
      </c>
      <c r="H396" s="7">
        <f t="shared" si="18"/>
        <v>0</v>
      </c>
      <c r="I396" s="7">
        <f t="shared" si="19"/>
        <v>1.85</v>
      </c>
      <c r="J396" s="9">
        <f t="shared" si="20"/>
        <v>0.69214131218457098</v>
      </c>
      <c r="K396" s="9">
        <v>0.48992853132148229</v>
      </c>
      <c r="L396" s="13">
        <v>-4.9700758165225345E-3</v>
      </c>
      <c r="M396" s="13">
        <v>0.32603987496130155</v>
      </c>
      <c r="N396" s="7">
        <f>'Option source'!C555</f>
        <v>40848.1</v>
      </c>
      <c r="O396" s="7">
        <f>'Option source'!G555</f>
        <v>1.51</v>
      </c>
      <c r="P396" s="7">
        <f>'Option source'!F555</f>
        <v>2.8</v>
      </c>
      <c r="Q396" s="1" t="s">
        <v>88</v>
      </c>
      <c r="R396" s="1">
        <v>550</v>
      </c>
    </row>
    <row r="397" spans="1:18" ht="21" customHeight="1">
      <c r="A397" s="8">
        <v>46272</v>
      </c>
      <c r="B397" s="1" t="s">
        <v>138</v>
      </c>
      <c r="C397" s="39" t="s">
        <v>87</v>
      </c>
      <c r="D397" s="7">
        <v>9200</v>
      </c>
      <c r="E397" s="7">
        <f>'Option source'!B441</f>
        <v>17.79</v>
      </c>
      <c r="F397" s="7">
        <v>6935</v>
      </c>
      <c r="G397" s="14">
        <v>39</v>
      </c>
      <c r="H397" s="7">
        <f t="shared" si="18"/>
        <v>0</v>
      </c>
      <c r="I397" s="7">
        <f t="shared" si="19"/>
        <v>17.79</v>
      </c>
      <c r="J397" s="9">
        <f t="shared" si="20"/>
        <v>1.3266041816870944</v>
      </c>
      <c r="K397" s="9">
        <v>0.43630632041167861</v>
      </c>
      <c r="L397" s="13">
        <v>4.5937132880906728E-2</v>
      </c>
      <c r="M397" s="13">
        <v>2.1846339656847134</v>
      </c>
      <c r="N397" s="7">
        <f>'Option source'!C441</f>
        <v>1386355.25</v>
      </c>
      <c r="O397" s="7">
        <f>'Option source'!G441</f>
        <v>16</v>
      </c>
      <c r="P397" s="7">
        <f>'Option source'!F441</f>
        <v>19</v>
      </c>
      <c r="Q397" s="1" t="s">
        <v>88</v>
      </c>
      <c r="R397" s="1">
        <v>436</v>
      </c>
    </row>
    <row r="398" spans="1:18" ht="21" customHeight="1">
      <c r="A398" s="8">
        <v>46272</v>
      </c>
      <c r="B398" s="1" t="s">
        <v>134</v>
      </c>
      <c r="C398" s="39" t="s">
        <v>87</v>
      </c>
      <c r="D398" s="7">
        <v>4600</v>
      </c>
      <c r="E398" s="7">
        <f>'Option source'!B56</f>
        <v>2499.7399999999998</v>
      </c>
      <c r="F398" s="7">
        <v>6935</v>
      </c>
      <c r="G398" s="14">
        <v>39</v>
      </c>
      <c r="H398" s="7">
        <f t="shared" si="18"/>
        <v>2335</v>
      </c>
      <c r="I398" s="7">
        <f t="shared" si="19"/>
        <v>164.73999999999978</v>
      </c>
      <c r="J398" s="9">
        <f t="shared" si="20"/>
        <v>0.66330209084354719</v>
      </c>
      <c r="K398" s="9"/>
      <c r="L398" s="13"/>
      <c r="M398" s="13"/>
      <c r="N398" s="7">
        <f>'Option source'!C56</f>
        <v>1240847</v>
      </c>
      <c r="O398" s="7">
        <f>'Option source'!G56</f>
        <v>2409.5100000000002</v>
      </c>
      <c r="P398" s="7">
        <f>'Option source'!F56</f>
        <v>2409.5100000000002</v>
      </c>
      <c r="Q398" s="1" t="s">
        <v>109</v>
      </c>
      <c r="R398" s="1">
        <v>51</v>
      </c>
    </row>
    <row r="399" spans="1:18" ht="21" customHeight="1">
      <c r="A399" s="8">
        <v>46272</v>
      </c>
      <c r="B399" s="1" t="s">
        <v>135</v>
      </c>
      <c r="C399" s="39" t="s">
        <v>90</v>
      </c>
      <c r="D399" s="7">
        <v>4600</v>
      </c>
      <c r="E399" s="7">
        <f>'Option source'!B536</f>
        <v>1.47</v>
      </c>
      <c r="F399" s="7">
        <v>6935</v>
      </c>
      <c r="G399" s="14">
        <v>39</v>
      </c>
      <c r="H399" s="7">
        <f t="shared" si="18"/>
        <v>0</v>
      </c>
      <c r="I399" s="7">
        <f t="shared" si="19"/>
        <v>1.47</v>
      </c>
      <c r="J399" s="9">
        <f t="shared" si="20"/>
        <v>0.66330209084354719</v>
      </c>
      <c r="K399" s="9">
        <v>0.52437796605422138</v>
      </c>
      <c r="L399" s="13">
        <v>-3.8182533345754166E-3</v>
      </c>
      <c r="M399" s="13">
        <v>0.25760234614886451</v>
      </c>
      <c r="N399" s="7">
        <f>'Option source'!C536</f>
        <v>27889.1</v>
      </c>
      <c r="O399" s="7">
        <f>'Option source'!G536</f>
        <v>0.8</v>
      </c>
      <c r="P399" s="7">
        <f>'Option source'!F536</f>
        <v>1.8</v>
      </c>
      <c r="Q399" s="1" t="s">
        <v>88</v>
      </c>
      <c r="R399" s="1">
        <v>531</v>
      </c>
    </row>
    <row r="400" spans="1:18" ht="21" customHeight="1">
      <c r="A400" s="8">
        <v>46272</v>
      </c>
      <c r="B400" s="1" t="s">
        <v>136</v>
      </c>
      <c r="C400" s="39" t="s">
        <v>87</v>
      </c>
      <c r="D400" s="7">
        <v>4400</v>
      </c>
      <c r="E400" s="7">
        <f>'Option source'!B37</f>
        <v>2762.2</v>
      </c>
      <c r="F400" s="7">
        <v>6935</v>
      </c>
      <c r="G400" s="14">
        <v>39</v>
      </c>
      <c r="H400" s="7">
        <f t="shared" si="18"/>
        <v>2535</v>
      </c>
      <c r="I400" s="7">
        <f t="shared" si="19"/>
        <v>227.19999999999982</v>
      </c>
      <c r="J400" s="9">
        <f t="shared" si="20"/>
        <v>0.6344628695025234</v>
      </c>
      <c r="K400" s="9">
        <v>1.135304775925279</v>
      </c>
      <c r="L400" s="13">
        <v>0.93292427443282988</v>
      </c>
      <c r="M400" s="13">
        <v>2.9451586636898499</v>
      </c>
      <c r="N400" s="7">
        <f>'Option source'!C37</f>
        <v>828660.88</v>
      </c>
      <c r="O400" s="7">
        <f>'Option source'!G37</f>
        <v>2619.23</v>
      </c>
      <c r="P400" s="7">
        <f>'Option source'!F37</f>
        <v>3006.1</v>
      </c>
      <c r="Q400" s="1" t="s">
        <v>88</v>
      </c>
      <c r="R400" s="1">
        <v>32</v>
      </c>
    </row>
    <row r="401" spans="1:18" ht="21" customHeight="1">
      <c r="A401" s="8">
        <v>46272</v>
      </c>
      <c r="B401" s="1" t="s">
        <v>137</v>
      </c>
      <c r="C401" s="39" t="s">
        <v>90</v>
      </c>
      <c r="D401" s="7">
        <v>4400</v>
      </c>
      <c r="E401" s="7">
        <f>'Option source'!B517</f>
        <v>1.25</v>
      </c>
      <c r="F401" s="7">
        <v>6935</v>
      </c>
      <c r="G401" s="14">
        <v>39</v>
      </c>
      <c r="H401" s="7">
        <f t="shared" si="18"/>
        <v>0</v>
      </c>
      <c r="I401" s="7">
        <f t="shared" si="19"/>
        <v>1.25</v>
      </c>
      <c r="J401" s="9">
        <f t="shared" si="20"/>
        <v>0.6344628695025234</v>
      </c>
      <c r="K401" s="9">
        <v>0.56211433965440283</v>
      </c>
      <c r="L401" s="13">
        <v>-3.0488157655560455E-3</v>
      </c>
      <c r="M401" s="13">
        <v>0.21044077096435687</v>
      </c>
      <c r="N401" s="7">
        <f>'Option source'!C517</f>
        <v>14519.3</v>
      </c>
      <c r="O401" s="7">
        <f>'Option source'!G517</f>
        <v>0.89</v>
      </c>
      <c r="P401" s="7">
        <f>'Option source'!F517</f>
        <v>1.6</v>
      </c>
      <c r="Q401" s="1" t="s">
        <v>88</v>
      </c>
      <c r="R401" s="1">
        <v>512</v>
      </c>
    </row>
    <row r="402" spans="1:18" ht="21" customHeight="1">
      <c r="A402" s="8">
        <v>46272</v>
      </c>
      <c r="B402" s="1" t="s">
        <v>142</v>
      </c>
      <c r="C402" s="39" t="s">
        <v>87</v>
      </c>
      <c r="D402" s="7">
        <v>9500</v>
      </c>
      <c r="E402" s="7">
        <f>'Option source'!B460</f>
        <v>11.6</v>
      </c>
      <c r="F402" s="7">
        <v>6935</v>
      </c>
      <c r="G402" s="14">
        <v>39</v>
      </c>
      <c r="H402" s="7">
        <f t="shared" si="18"/>
        <v>0</v>
      </c>
      <c r="I402" s="7">
        <f t="shared" si="19"/>
        <v>11.6</v>
      </c>
      <c r="J402" s="9">
        <f t="shared" si="20"/>
        <v>1.3698630136986301</v>
      </c>
      <c r="K402" s="9">
        <v>0.44595642018482518</v>
      </c>
      <c r="L402" s="13">
        <v>3.1012123553980891E-2</v>
      </c>
      <c r="M402" s="13">
        <v>1.5854264309948756</v>
      </c>
      <c r="N402" s="7">
        <f>'Option source'!C460</f>
        <v>1831529.25</v>
      </c>
      <c r="O402" s="7">
        <f>'Option source'!G460</f>
        <v>11</v>
      </c>
      <c r="P402" s="7">
        <f>'Option source'!F460</f>
        <v>12.99</v>
      </c>
      <c r="Q402" s="1" t="s">
        <v>88</v>
      </c>
      <c r="R402" s="1">
        <v>455</v>
      </c>
    </row>
    <row r="403" spans="1:18" ht="21" customHeight="1">
      <c r="A403" s="8">
        <v>46272</v>
      </c>
      <c r="B403" s="1" t="s">
        <v>140</v>
      </c>
      <c r="C403" s="39" t="s">
        <v>87</v>
      </c>
      <c r="D403" s="7">
        <v>4200</v>
      </c>
      <c r="E403" s="7">
        <f>'Option source'!B18</f>
        <v>2871.76</v>
      </c>
      <c r="F403" s="7">
        <v>6935</v>
      </c>
      <c r="G403" s="14">
        <v>39</v>
      </c>
      <c r="H403" s="7">
        <f t="shared" si="18"/>
        <v>2735</v>
      </c>
      <c r="I403" s="7">
        <f t="shared" si="19"/>
        <v>136.76000000000022</v>
      </c>
      <c r="J403" s="9">
        <f t="shared" si="20"/>
        <v>0.60562364816149961</v>
      </c>
      <c r="K403" s="9">
        <v>0.70505839793157965</v>
      </c>
      <c r="L403" s="13">
        <v>0.99245704367451437</v>
      </c>
      <c r="M403" s="13">
        <v>0.47182664663850388</v>
      </c>
      <c r="N403" s="7">
        <f>'Option source'!C18</f>
        <v>2302020</v>
      </c>
      <c r="O403" s="7">
        <f>'Option source'!G18</f>
        <v>2813.9</v>
      </c>
      <c r="P403" s="7">
        <f>'Option source'!F18</f>
        <v>2889.09</v>
      </c>
      <c r="Q403" s="1" t="s">
        <v>88</v>
      </c>
      <c r="R403" s="1">
        <v>13</v>
      </c>
    </row>
    <row r="404" spans="1:18" ht="21" customHeight="1">
      <c r="A404" s="8">
        <v>46272</v>
      </c>
      <c r="B404" s="1" t="s">
        <v>141</v>
      </c>
      <c r="C404" s="39" t="s">
        <v>90</v>
      </c>
      <c r="D404" s="7">
        <v>4200</v>
      </c>
      <c r="E404" s="7">
        <f>'Option source'!B498</f>
        <v>0.82</v>
      </c>
      <c r="F404" s="7">
        <v>6935</v>
      </c>
      <c r="G404" s="14">
        <v>39</v>
      </c>
      <c r="H404" s="7">
        <f t="shared" si="18"/>
        <v>0</v>
      </c>
      <c r="I404" s="7">
        <f t="shared" si="19"/>
        <v>0.82</v>
      </c>
      <c r="J404" s="9">
        <f t="shared" si="20"/>
        <v>0.60562364816149961</v>
      </c>
      <c r="K404" s="9">
        <v>0.58651287831468157</v>
      </c>
      <c r="L404" s="13">
        <v>-1.9956003150111146E-3</v>
      </c>
      <c r="M404" s="13">
        <v>0.14343873976998106</v>
      </c>
      <c r="N404" s="7">
        <f>'Option source'!C498</f>
        <v>71405</v>
      </c>
      <c r="O404" s="7">
        <f>'Option source'!G498</f>
        <v>0.8</v>
      </c>
      <c r="P404" s="7">
        <f>'Option source'!F498</f>
        <v>1.0900000000000001</v>
      </c>
      <c r="Q404" s="1" t="s">
        <v>88</v>
      </c>
      <c r="R404" s="1">
        <v>493</v>
      </c>
    </row>
    <row r="405" spans="1:18" ht="21" customHeight="1">
      <c r="A405" s="8">
        <v>46272</v>
      </c>
      <c r="B405" s="1" t="s">
        <v>143</v>
      </c>
      <c r="C405" s="39" t="s">
        <v>87</v>
      </c>
      <c r="D405" s="7">
        <v>9900</v>
      </c>
      <c r="E405" s="7">
        <f>'Option source'!B479</f>
        <v>7</v>
      </c>
      <c r="F405" s="7">
        <v>6935</v>
      </c>
      <c r="G405" s="14">
        <v>39</v>
      </c>
      <c r="H405" s="7">
        <f t="shared" si="18"/>
        <v>0</v>
      </c>
      <c r="I405" s="7">
        <f t="shared" si="19"/>
        <v>7</v>
      </c>
      <c r="J405" s="9">
        <f t="shared" si="20"/>
        <v>1.4275414563806776</v>
      </c>
      <c r="K405" s="9">
        <v>0.46184143906831077</v>
      </c>
      <c r="L405" s="13">
        <v>1.9224864979326978E-2</v>
      </c>
      <c r="M405" s="13">
        <v>1.0613609133031512</v>
      </c>
      <c r="N405" s="7">
        <f>'Option source'!C479</f>
        <v>1578948.25</v>
      </c>
      <c r="O405" s="7">
        <f>'Option source'!G479</f>
        <v>6.48</v>
      </c>
      <c r="P405" s="7">
        <f>'Option source'!F479</f>
        <v>7.99</v>
      </c>
      <c r="Q405" s="1" t="s">
        <v>88</v>
      </c>
      <c r="R405" s="1">
        <v>474</v>
      </c>
    </row>
    <row r="406" spans="1:18" ht="21" customHeight="1">
      <c r="A406" s="8">
        <v>46269</v>
      </c>
      <c r="B406" s="1" t="s">
        <v>93</v>
      </c>
      <c r="C406" s="39" t="s">
        <v>87</v>
      </c>
      <c r="D406" s="7">
        <v>7000</v>
      </c>
      <c r="E406" s="7">
        <f>'Option source'!B269</f>
        <v>501.55</v>
      </c>
      <c r="F406" s="7">
        <v>7005</v>
      </c>
      <c r="G406" s="14">
        <v>42</v>
      </c>
      <c r="H406" s="7">
        <f t="shared" si="18"/>
        <v>5</v>
      </c>
      <c r="I406" s="7">
        <f t="shared" si="19"/>
        <v>496.55</v>
      </c>
      <c r="J406" s="9">
        <f t="shared" si="20"/>
        <v>0.99928622412562451</v>
      </c>
      <c r="K406" s="9">
        <v>0.39497486160441941</v>
      </c>
      <c r="L406" s="13">
        <v>0.62928883433779426</v>
      </c>
      <c r="M406" s="13">
        <v>8.9774568525521499</v>
      </c>
      <c r="N406" s="7">
        <f>'Option source'!C269</f>
        <v>257316112</v>
      </c>
      <c r="O406" s="7">
        <f>'Option source'!G269</f>
        <v>475</v>
      </c>
      <c r="P406" s="7">
        <f>'Option source'!F269</f>
        <v>547.89</v>
      </c>
      <c r="Q406" s="1" t="s">
        <v>88</v>
      </c>
      <c r="R406" s="1">
        <v>264</v>
      </c>
    </row>
    <row r="407" spans="1:18" ht="21" customHeight="1">
      <c r="A407" s="8">
        <v>46269</v>
      </c>
      <c r="B407" s="1" t="s">
        <v>94</v>
      </c>
      <c r="C407" s="39" t="s">
        <v>90</v>
      </c>
      <c r="D407" s="7">
        <v>7000</v>
      </c>
      <c r="E407" s="7">
        <f>'Option source'!B763</f>
        <v>319.58</v>
      </c>
      <c r="F407" s="7">
        <v>7005</v>
      </c>
      <c r="G407" s="14">
        <v>42</v>
      </c>
      <c r="H407" s="7">
        <f t="shared" si="18"/>
        <v>0</v>
      </c>
      <c r="I407" s="7">
        <f t="shared" si="19"/>
        <v>319.58</v>
      </c>
      <c r="J407" s="9">
        <f t="shared" si="20"/>
        <v>0.99928622412562451</v>
      </c>
      <c r="K407" s="9">
        <v>0.43601227737525572</v>
      </c>
      <c r="L407" s="13">
        <v>-0.37745219491533111</v>
      </c>
      <c r="M407" s="13">
        <v>9.0288857579616248</v>
      </c>
      <c r="N407" s="7">
        <f>'Option source'!C763</f>
        <v>132573840</v>
      </c>
      <c r="O407" s="7">
        <f>'Option source'!G763</f>
        <v>290</v>
      </c>
      <c r="P407" s="7">
        <f>'Option source'!F763</f>
        <v>366</v>
      </c>
      <c r="Q407" s="1" t="s">
        <v>88</v>
      </c>
      <c r="R407" s="1">
        <v>758</v>
      </c>
    </row>
    <row r="408" spans="1:18" ht="21" customHeight="1">
      <c r="A408" s="8">
        <v>46269</v>
      </c>
      <c r="B408" s="1" t="s">
        <v>97</v>
      </c>
      <c r="C408" s="39" t="s">
        <v>87</v>
      </c>
      <c r="D408" s="7">
        <v>7200</v>
      </c>
      <c r="E408" s="7">
        <f>'Option source'!B288</f>
        <v>399.74</v>
      </c>
      <c r="F408" s="7">
        <v>7005</v>
      </c>
      <c r="G408" s="14">
        <v>42</v>
      </c>
      <c r="H408" s="7">
        <f t="shared" si="18"/>
        <v>0</v>
      </c>
      <c r="I408" s="7">
        <f t="shared" si="19"/>
        <v>399.74</v>
      </c>
      <c r="J408" s="9">
        <f t="shared" si="20"/>
        <v>1.0278372591006424</v>
      </c>
      <c r="K408" s="9">
        <v>0.39682362642535496</v>
      </c>
      <c r="L408" s="13">
        <v>0.54767138919865088</v>
      </c>
      <c r="M408" s="13">
        <v>9.4119787856213346</v>
      </c>
      <c r="N408" s="7">
        <f>'Option source'!C288</f>
        <v>189516416</v>
      </c>
      <c r="O408" s="7">
        <f>'Option source'!G288</f>
        <v>381</v>
      </c>
      <c r="P408" s="7">
        <f>'Option source'!F288</f>
        <v>440</v>
      </c>
      <c r="Q408" s="1" t="s">
        <v>88</v>
      </c>
      <c r="R408" s="1">
        <v>283</v>
      </c>
    </row>
    <row r="409" spans="1:18" ht="21" customHeight="1">
      <c r="A409" s="8">
        <v>46269</v>
      </c>
      <c r="B409" s="1" t="s">
        <v>98</v>
      </c>
      <c r="C409" s="39" t="s">
        <v>90</v>
      </c>
      <c r="D409" s="7">
        <v>7200</v>
      </c>
      <c r="E409" s="7">
        <f>'Option source'!B782</f>
        <v>420.47</v>
      </c>
      <c r="F409" s="7">
        <v>7005</v>
      </c>
      <c r="G409" s="14">
        <v>42</v>
      </c>
      <c r="H409" s="7">
        <f t="shared" si="18"/>
        <v>195</v>
      </c>
      <c r="I409" s="7">
        <f t="shared" si="19"/>
        <v>225.47000000000003</v>
      </c>
      <c r="J409" s="9">
        <f t="shared" si="20"/>
        <v>1.0278372591006424</v>
      </c>
      <c r="K409" s="9">
        <v>0.43417265426652241</v>
      </c>
      <c r="L409" s="13">
        <v>-0.45160756808780933</v>
      </c>
      <c r="M409" s="13">
        <v>9.40991092856477</v>
      </c>
      <c r="N409" s="7">
        <f>'Option source'!C782</f>
        <v>30078318</v>
      </c>
      <c r="O409" s="7">
        <f>'Option source'!G782</f>
        <v>385</v>
      </c>
      <c r="P409" s="7">
        <f>'Option source'!F782</f>
        <v>455</v>
      </c>
      <c r="Q409" s="1" t="s">
        <v>88</v>
      </c>
      <c r="R409" s="1">
        <v>777</v>
      </c>
    </row>
    <row r="410" spans="1:18" ht="21" customHeight="1">
      <c r="A410" s="8">
        <v>46269</v>
      </c>
      <c r="B410" s="1" t="s">
        <v>86</v>
      </c>
      <c r="C410" s="39" t="s">
        <v>87</v>
      </c>
      <c r="D410" s="7">
        <v>6800</v>
      </c>
      <c r="E410" s="7">
        <f>'Option source'!B250</f>
        <v>616.63</v>
      </c>
      <c r="F410" s="7">
        <v>7005</v>
      </c>
      <c r="G410" s="14">
        <v>42</v>
      </c>
      <c r="H410" s="7">
        <f t="shared" si="18"/>
        <v>205</v>
      </c>
      <c r="I410" s="7">
        <f t="shared" si="19"/>
        <v>411.63</v>
      </c>
      <c r="J410" s="9">
        <f t="shared" si="20"/>
        <v>0.97073518915060675</v>
      </c>
      <c r="K410" s="9">
        <v>0.38941375254594834</v>
      </c>
      <c r="L410" s="13">
        <v>0.70960315564946419</v>
      </c>
      <c r="M410" s="13">
        <v>8.1391050392903104</v>
      </c>
      <c r="N410" s="7">
        <f>'Option source'!C250</f>
        <v>101920112</v>
      </c>
      <c r="O410" s="7">
        <f>'Option source'!G250</f>
        <v>557.29999999999995</v>
      </c>
      <c r="P410" s="7">
        <f>'Option source'!F250</f>
        <v>669.98</v>
      </c>
      <c r="Q410" s="1" t="s">
        <v>88</v>
      </c>
      <c r="R410" s="1">
        <v>245</v>
      </c>
    </row>
    <row r="411" spans="1:18" ht="21" customHeight="1">
      <c r="A411" s="8">
        <v>46269</v>
      </c>
      <c r="B411" s="1" t="s">
        <v>89</v>
      </c>
      <c r="C411" s="39" t="s">
        <v>90</v>
      </c>
      <c r="D411" s="7">
        <v>6800</v>
      </c>
      <c r="E411" s="7">
        <f>'Option source'!B744</f>
        <v>237.19</v>
      </c>
      <c r="F411" s="7">
        <v>7005</v>
      </c>
      <c r="G411" s="14">
        <v>42</v>
      </c>
      <c r="H411" s="7">
        <f t="shared" si="18"/>
        <v>0</v>
      </c>
      <c r="I411" s="7">
        <f t="shared" si="19"/>
        <v>237.19</v>
      </c>
      <c r="J411" s="9">
        <f t="shared" si="20"/>
        <v>0.97073518915060675</v>
      </c>
      <c r="K411" s="9">
        <v>0.43795777880893672</v>
      </c>
      <c r="L411" s="13">
        <v>-0.30622812997449655</v>
      </c>
      <c r="M411" s="13">
        <v>8.3382225585767742</v>
      </c>
      <c r="N411" s="7">
        <f>'Option source'!C744</f>
        <v>58824368</v>
      </c>
      <c r="O411" s="7">
        <f>'Option source'!G744</f>
        <v>228</v>
      </c>
      <c r="P411" s="7">
        <f>'Option source'!F744</f>
        <v>284</v>
      </c>
      <c r="Q411" s="1" t="s">
        <v>88</v>
      </c>
      <c r="R411" s="1">
        <v>739</v>
      </c>
    </row>
    <row r="412" spans="1:18" ht="21" customHeight="1">
      <c r="A412" s="8">
        <v>46269</v>
      </c>
      <c r="B412" s="1" t="s">
        <v>102</v>
      </c>
      <c r="C412" s="39" t="s">
        <v>87</v>
      </c>
      <c r="D412" s="7">
        <v>7400</v>
      </c>
      <c r="E412" s="7">
        <f>'Option source'!B307</f>
        <v>315.27</v>
      </c>
      <c r="F412" s="7">
        <v>7005</v>
      </c>
      <c r="G412" s="14">
        <v>42</v>
      </c>
      <c r="H412" s="7">
        <f t="shared" si="18"/>
        <v>0</v>
      </c>
      <c r="I412" s="7">
        <f t="shared" si="19"/>
        <v>315.27</v>
      </c>
      <c r="J412" s="9">
        <f t="shared" si="20"/>
        <v>1.0563882940756602</v>
      </c>
      <c r="K412" s="9">
        <v>0.4001571429451255</v>
      </c>
      <c r="L412" s="13">
        <v>0.46734721590118988</v>
      </c>
      <c r="M412" s="13">
        <v>9.4479689334661501</v>
      </c>
      <c r="N412" s="7">
        <f>'Option source'!C307</f>
        <v>148316400</v>
      </c>
      <c r="O412" s="7">
        <f>'Option source'!G307</f>
        <v>300</v>
      </c>
      <c r="P412" s="7">
        <f>'Option source'!F307</f>
        <v>352</v>
      </c>
      <c r="Q412" s="1" t="s">
        <v>88</v>
      </c>
      <c r="R412" s="1">
        <v>302</v>
      </c>
    </row>
    <row r="413" spans="1:18" ht="21" customHeight="1">
      <c r="A413" s="8">
        <v>46269</v>
      </c>
      <c r="B413" s="1" t="s">
        <v>103</v>
      </c>
      <c r="C413" s="39" t="s">
        <v>90</v>
      </c>
      <c r="D413" s="7">
        <v>7400</v>
      </c>
      <c r="E413" s="7">
        <f>'Option source'!B801</f>
        <v>534.29999999999995</v>
      </c>
      <c r="F413" s="7">
        <v>7005</v>
      </c>
      <c r="G413" s="14">
        <v>42</v>
      </c>
      <c r="H413" s="7">
        <f t="shared" si="18"/>
        <v>395</v>
      </c>
      <c r="I413" s="7">
        <f t="shared" si="19"/>
        <v>139.29999999999995</v>
      </c>
      <c r="J413" s="9">
        <f t="shared" si="20"/>
        <v>1.0563882940756602</v>
      </c>
      <c r="K413" s="9">
        <v>0.42708327970311766</v>
      </c>
      <c r="L413" s="13">
        <v>-0.52707855268914483</v>
      </c>
      <c r="M413" s="13">
        <v>9.4578942264487296</v>
      </c>
      <c r="N413" s="7">
        <f>'Option source'!C801</f>
        <v>1949192</v>
      </c>
      <c r="O413" s="7">
        <f>'Option source'!G801</f>
        <v>500.95</v>
      </c>
      <c r="P413" s="7">
        <f>'Option source'!F801</f>
        <v>570</v>
      </c>
      <c r="Q413" s="1" t="s">
        <v>88</v>
      </c>
      <c r="R413" s="1">
        <v>796</v>
      </c>
    </row>
    <row r="414" spans="1:18" ht="21" customHeight="1">
      <c r="A414" s="8">
        <v>46269</v>
      </c>
      <c r="B414" s="1" t="s">
        <v>91</v>
      </c>
      <c r="C414" s="39" t="s">
        <v>87</v>
      </c>
      <c r="D414" s="7">
        <v>6600</v>
      </c>
      <c r="E414" s="7">
        <f>'Option source'!B231</f>
        <v>738.92</v>
      </c>
      <c r="F414" s="7">
        <v>7005</v>
      </c>
      <c r="G414" s="14">
        <v>42</v>
      </c>
      <c r="H414" s="7">
        <f t="shared" si="18"/>
        <v>405</v>
      </c>
      <c r="I414" s="7">
        <f t="shared" si="19"/>
        <v>333.91999999999996</v>
      </c>
      <c r="J414" s="9">
        <f t="shared" si="20"/>
        <v>0.94218415417558887</v>
      </c>
      <c r="K414" s="9">
        <v>0.36998015566915987</v>
      </c>
      <c r="L414" s="13">
        <v>0.79169936329126422</v>
      </c>
      <c r="M414" s="13">
        <v>6.8156088623840434</v>
      </c>
      <c r="N414" s="7">
        <f>'Option source'!C231</f>
        <v>34423560</v>
      </c>
      <c r="O414" s="7">
        <f>'Option source'!G231</f>
        <v>710.1</v>
      </c>
      <c r="P414" s="7">
        <f>'Option source'!F231</f>
        <v>814</v>
      </c>
      <c r="Q414" s="1" t="s">
        <v>88</v>
      </c>
      <c r="R414" s="1">
        <v>226</v>
      </c>
    </row>
    <row r="415" spans="1:18" ht="21" customHeight="1">
      <c r="A415" s="8">
        <v>46269</v>
      </c>
      <c r="B415" s="1" t="s">
        <v>92</v>
      </c>
      <c r="C415" s="39" t="s">
        <v>90</v>
      </c>
      <c r="D415" s="7">
        <v>6600</v>
      </c>
      <c r="E415" s="7">
        <f>'Option source'!B725</f>
        <v>169.4</v>
      </c>
      <c r="F415" s="7">
        <v>7005</v>
      </c>
      <c r="G415" s="14">
        <v>42</v>
      </c>
      <c r="H415" s="7">
        <f t="shared" si="18"/>
        <v>0</v>
      </c>
      <c r="I415" s="7">
        <f t="shared" si="19"/>
        <v>169.4</v>
      </c>
      <c r="J415" s="9">
        <f t="shared" si="20"/>
        <v>0.94218415417558887</v>
      </c>
      <c r="K415" s="9">
        <v>0.43875449344207595</v>
      </c>
      <c r="L415" s="13">
        <v>-0.23993844008145082</v>
      </c>
      <c r="M415" s="13">
        <v>7.3859926664301527</v>
      </c>
      <c r="N415" s="7">
        <f>'Option source'!C725</f>
        <v>109030056</v>
      </c>
      <c r="O415" s="7">
        <f>'Option source'!G725</f>
        <v>160</v>
      </c>
      <c r="P415" s="7">
        <f>'Option source'!F725</f>
        <v>200</v>
      </c>
      <c r="Q415" s="1" t="s">
        <v>88</v>
      </c>
      <c r="R415" s="1">
        <v>720</v>
      </c>
    </row>
    <row r="416" spans="1:18" ht="21" customHeight="1">
      <c r="A416" s="8">
        <v>46269</v>
      </c>
      <c r="B416" s="1" t="s">
        <v>106</v>
      </c>
      <c r="C416" s="39" t="s">
        <v>87</v>
      </c>
      <c r="D416" s="7">
        <v>7600</v>
      </c>
      <c r="E416" s="7">
        <f>'Option source'!B326</f>
        <v>246.84</v>
      </c>
      <c r="F416" s="7">
        <v>7005</v>
      </c>
      <c r="G416" s="14">
        <v>42</v>
      </c>
      <c r="H416" s="7">
        <f t="shared" si="18"/>
        <v>0</v>
      </c>
      <c r="I416" s="7">
        <f t="shared" si="19"/>
        <v>246.84</v>
      </c>
      <c r="J416" s="9">
        <f t="shared" si="20"/>
        <v>1.0849393290506781</v>
      </c>
      <c r="K416" s="9">
        <v>0.40479277221567223</v>
      </c>
      <c r="L416" s="13">
        <v>0.39217546728134911</v>
      </c>
      <c r="M416" s="13">
        <v>9.1313519337751057</v>
      </c>
      <c r="N416" s="7">
        <f>'Option source'!C326</f>
        <v>310533568</v>
      </c>
      <c r="O416" s="7">
        <f>'Option source'!G326</f>
        <v>216</v>
      </c>
      <c r="P416" s="7">
        <f>'Option source'!F326</f>
        <v>282</v>
      </c>
      <c r="Q416" s="1" t="s">
        <v>88</v>
      </c>
      <c r="R416" s="1">
        <v>321</v>
      </c>
    </row>
    <row r="417" spans="1:18" ht="21" customHeight="1">
      <c r="A417" s="8">
        <v>46269</v>
      </c>
      <c r="B417" s="1" t="s">
        <v>107</v>
      </c>
      <c r="C417" s="39" t="s">
        <v>90</v>
      </c>
      <c r="D417" s="7">
        <v>7600</v>
      </c>
      <c r="E417" s="7">
        <f>'Option source'!B820</f>
        <v>660</v>
      </c>
      <c r="F417" s="7">
        <v>7005</v>
      </c>
      <c r="G417" s="14">
        <v>42</v>
      </c>
      <c r="H417" s="7">
        <f t="shared" si="18"/>
        <v>595</v>
      </c>
      <c r="I417" s="7">
        <f t="shared" si="19"/>
        <v>65</v>
      </c>
      <c r="J417" s="9">
        <f t="shared" si="20"/>
        <v>1.0849393290506781</v>
      </c>
      <c r="K417" s="9">
        <v>0.40939026296969616</v>
      </c>
      <c r="L417" s="13">
        <v>-0.60604652044114649</v>
      </c>
      <c r="M417" s="13">
        <v>9.1428159438598815</v>
      </c>
      <c r="N417" s="7">
        <f>'Option source'!C820</f>
        <v>5147195.5</v>
      </c>
      <c r="O417" s="7">
        <f>'Option source'!G820</f>
        <v>640</v>
      </c>
      <c r="P417" s="7">
        <f>'Option source'!F820</f>
        <v>695.98</v>
      </c>
      <c r="Q417" s="1" t="s">
        <v>88</v>
      </c>
      <c r="R417" s="1">
        <v>815</v>
      </c>
    </row>
    <row r="418" spans="1:18" ht="21" customHeight="1">
      <c r="A418" s="8">
        <v>46269</v>
      </c>
      <c r="B418" s="1" t="s">
        <v>95</v>
      </c>
      <c r="C418" s="39" t="s">
        <v>87</v>
      </c>
      <c r="D418" s="7">
        <v>6400</v>
      </c>
      <c r="E418" s="7">
        <f>'Option source'!B212</f>
        <v>850</v>
      </c>
      <c r="F418" s="7">
        <v>7005</v>
      </c>
      <c r="G418" s="14">
        <v>42</v>
      </c>
      <c r="H418" s="7">
        <f t="shared" si="18"/>
        <v>605</v>
      </c>
      <c r="I418" s="7">
        <f t="shared" si="19"/>
        <v>245</v>
      </c>
      <c r="J418" s="9">
        <f t="shared" si="20"/>
        <v>0.913633119200571</v>
      </c>
      <c r="K418" s="9"/>
      <c r="L418" s="13"/>
      <c r="M418" s="13"/>
      <c r="N418" s="7">
        <f>'Option source'!C212</f>
        <v>49858820</v>
      </c>
      <c r="O418" s="7">
        <f>'Option source'!G212</f>
        <v>865</v>
      </c>
      <c r="P418" s="7">
        <f>'Option source'!F212</f>
        <v>964.56</v>
      </c>
      <c r="Q418" s="1" t="s">
        <v>109</v>
      </c>
      <c r="R418" s="1">
        <v>207</v>
      </c>
    </row>
    <row r="419" spans="1:18" ht="21" customHeight="1">
      <c r="A419" s="8">
        <v>46269</v>
      </c>
      <c r="B419" s="1" t="s">
        <v>96</v>
      </c>
      <c r="C419" s="39" t="s">
        <v>90</v>
      </c>
      <c r="D419" s="7">
        <v>6400</v>
      </c>
      <c r="E419" s="7">
        <f>'Option source'!B706</f>
        <v>116.45</v>
      </c>
      <c r="F419" s="7">
        <v>7005</v>
      </c>
      <c r="G419" s="14">
        <v>42</v>
      </c>
      <c r="H419" s="7">
        <f t="shared" si="18"/>
        <v>0</v>
      </c>
      <c r="I419" s="7">
        <f t="shared" si="19"/>
        <v>116.45</v>
      </c>
      <c r="J419" s="9">
        <f t="shared" si="20"/>
        <v>0.913633119200571</v>
      </c>
      <c r="K419" s="9">
        <v>0.4389915362725193</v>
      </c>
      <c r="L419" s="13">
        <v>-0.18066321167375032</v>
      </c>
      <c r="M419" s="13">
        <v>6.249603135884211</v>
      </c>
      <c r="N419" s="7">
        <f>'Option source'!C706</f>
        <v>58862520</v>
      </c>
      <c r="O419" s="7">
        <f>'Option source'!G706</f>
        <v>109.89</v>
      </c>
      <c r="P419" s="7">
        <f>'Option source'!F706</f>
        <v>140</v>
      </c>
      <c r="Q419" s="1" t="s">
        <v>88</v>
      </c>
      <c r="R419" s="1">
        <v>701</v>
      </c>
    </row>
    <row r="420" spans="1:18" ht="21" customHeight="1">
      <c r="A420" s="8">
        <v>46269</v>
      </c>
      <c r="B420" s="1" t="s">
        <v>111</v>
      </c>
      <c r="C420" s="39" t="s">
        <v>87</v>
      </c>
      <c r="D420" s="7">
        <v>7800</v>
      </c>
      <c r="E420" s="7">
        <f>'Option source'!B345</f>
        <v>186.47</v>
      </c>
      <c r="F420" s="7">
        <v>7005</v>
      </c>
      <c r="G420" s="14">
        <v>42</v>
      </c>
      <c r="H420" s="7">
        <f t="shared" si="18"/>
        <v>0</v>
      </c>
      <c r="I420" s="7">
        <f t="shared" si="19"/>
        <v>186.47</v>
      </c>
      <c r="J420" s="9">
        <f t="shared" si="20"/>
        <v>1.1134903640256959</v>
      </c>
      <c r="K420" s="9">
        <v>0.40348877160367835</v>
      </c>
      <c r="L420" s="13">
        <v>0.32105077563438955</v>
      </c>
      <c r="M420" s="13">
        <v>8.5092583231640564</v>
      </c>
      <c r="N420" s="7">
        <f>'Option source'!C345</f>
        <v>154200416</v>
      </c>
      <c r="O420" s="7">
        <f>'Option source'!G345</f>
        <v>180</v>
      </c>
      <c r="P420" s="7">
        <f>'Option source'!F345</f>
        <v>217</v>
      </c>
      <c r="Q420" s="1" t="s">
        <v>88</v>
      </c>
      <c r="R420" s="1">
        <v>340</v>
      </c>
    </row>
    <row r="421" spans="1:18" ht="21" customHeight="1">
      <c r="A421" s="8">
        <v>46269</v>
      </c>
      <c r="B421" s="1" t="s">
        <v>112</v>
      </c>
      <c r="C421" s="39" t="s">
        <v>90</v>
      </c>
      <c r="D421" s="7">
        <v>7800</v>
      </c>
      <c r="E421" s="7">
        <f>'Option source'!B839</f>
        <v>780</v>
      </c>
      <c r="F421" s="7">
        <v>7005</v>
      </c>
      <c r="G421" s="14">
        <v>42</v>
      </c>
      <c r="H421" s="7">
        <f t="shared" si="18"/>
        <v>795</v>
      </c>
      <c r="I421" s="7">
        <f t="shared" si="19"/>
        <v>-15</v>
      </c>
      <c r="J421" s="9">
        <f t="shared" si="20"/>
        <v>1.1134903640256959</v>
      </c>
      <c r="K421" s="9"/>
      <c r="L421" s="13"/>
      <c r="M421" s="13"/>
      <c r="N421" s="7">
        <f>'Option source'!C839</f>
        <v>235000</v>
      </c>
      <c r="O421" s="7">
        <f>'Option source'!G839</f>
        <v>790</v>
      </c>
      <c r="P421" s="7">
        <f>'Option source'!F839</f>
        <v>790</v>
      </c>
      <c r="Q421" s="1" t="s">
        <v>113</v>
      </c>
      <c r="R421" s="1">
        <v>834</v>
      </c>
    </row>
    <row r="422" spans="1:18" ht="21" customHeight="1">
      <c r="A422" s="8">
        <v>46269</v>
      </c>
      <c r="B422" s="1" t="s">
        <v>99</v>
      </c>
      <c r="C422" s="39" t="s">
        <v>87</v>
      </c>
      <c r="D422" s="7">
        <v>6200</v>
      </c>
      <c r="E422" s="7">
        <f>'Option source'!B193</f>
        <v>1015</v>
      </c>
      <c r="F422" s="7">
        <v>7005</v>
      </c>
      <c r="G422" s="14">
        <v>42</v>
      </c>
      <c r="H422" s="7">
        <f t="shared" si="18"/>
        <v>805</v>
      </c>
      <c r="I422" s="7">
        <f t="shared" si="19"/>
        <v>210</v>
      </c>
      <c r="J422" s="9">
        <f t="shared" si="20"/>
        <v>0.88508208422555312</v>
      </c>
      <c r="K422" s="9"/>
      <c r="L422" s="13"/>
      <c r="M422" s="13"/>
      <c r="N422" s="7">
        <f>'Option source'!C193</f>
        <v>4714691</v>
      </c>
      <c r="O422" s="7">
        <f>'Option source'!G193</f>
        <v>1010</v>
      </c>
      <c r="P422" s="7">
        <f>'Option source'!F193</f>
        <v>1100.3800000000001</v>
      </c>
      <c r="Q422" s="1" t="s">
        <v>100</v>
      </c>
      <c r="R422" s="1">
        <v>188</v>
      </c>
    </row>
    <row r="423" spans="1:18" ht="21" customHeight="1">
      <c r="A423" s="8">
        <v>46269</v>
      </c>
      <c r="B423" s="1" t="s">
        <v>101</v>
      </c>
      <c r="C423" s="39" t="s">
        <v>90</v>
      </c>
      <c r="D423" s="7">
        <v>6200</v>
      </c>
      <c r="E423" s="7">
        <f>'Option source'!B687</f>
        <v>76.05</v>
      </c>
      <c r="F423" s="7">
        <v>7005</v>
      </c>
      <c r="G423" s="14">
        <v>42</v>
      </c>
      <c r="H423" s="7">
        <f t="shared" si="18"/>
        <v>0</v>
      </c>
      <c r="I423" s="7">
        <f t="shared" si="19"/>
        <v>76.05</v>
      </c>
      <c r="J423" s="9">
        <f t="shared" si="20"/>
        <v>0.88508208422555312</v>
      </c>
      <c r="K423" s="9">
        <v>0.43799743319431905</v>
      </c>
      <c r="L423" s="13">
        <v>-0.12960489839986566</v>
      </c>
      <c r="M423" s="13">
        <v>5.0161899165899406</v>
      </c>
      <c r="N423" s="7">
        <f>'Option source'!C687</f>
        <v>33339540</v>
      </c>
      <c r="O423" s="7">
        <f>'Option source'!G687</f>
        <v>68</v>
      </c>
      <c r="P423" s="7">
        <f>'Option source'!F687</f>
        <v>90.5</v>
      </c>
      <c r="Q423" s="1" t="s">
        <v>88</v>
      </c>
      <c r="R423" s="1">
        <v>682</v>
      </c>
    </row>
    <row r="424" spans="1:18" ht="21" customHeight="1">
      <c r="A424" s="8">
        <v>46269</v>
      </c>
      <c r="B424" s="1" t="s">
        <v>116</v>
      </c>
      <c r="C424" s="39" t="s">
        <v>87</v>
      </c>
      <c r="D424" s="7">
        <v>8000</v>
      </c>
      <c r="E424" s="7">
        <f>'Option source'!B364</f>
        <v>143.25</v>
      </c>
      <c r="F424" s="7">
        <v>7005</v>
      </c>
      <c r="G424" s="14">
        <v>42</v>
      </c>
      <c r="H424" s="7">
        <f t="shared" si="18"/>
        <v>0</v>
      </c>
      <c r="I424" s="7">
        <f t="shared" si="19"/>
        <v>143.25</v>
      </c>
      <c r="J424" s="9">
        <f t="shared" si="20"/>
        <v>1.1420413990007139</v>
      </c>
      <c r="K424" s="9">
        <v>0.40858251876313689</v>
      </c>
      <c r="L424" s="13">
        <v>0.26111178268870294</v>
      </c>
      <c r="M424" s="13">
        <v>7.7245768136983441</v>
      </c>
      <c r="N424" s="7">
        <f>'Option source'!C364</f>
        <v>382642880</v>
      </c>
      <c r="O424" s="7">
        <f>'Option source'!G364</f>
        <v>136</v>
      </c>
      <c r="P424" s="7">
        <f>'Option source'!F364</f>
        <v>195</v>
      </c>
      <c r="Q424" s="1" t="s">
        <v>88</v>
      </c>
      <c r="R424" s="1">
        <v>359</v>
      </c>
    </row>
    <row r="425" spans="1:18" ht="21" customHeight="1">
      <c r="A425" s="8">
        <v>46269</v>
      </c>
      <c r="B425" s="1" t="s">
        <v>117</v>
      </c>
      <c r="C425" s="39" t="s">
        <v>90</v>
      </c>
      <c r="D425" s="7">
        <v>8000</v>
      </c>
      <c r="E425" s="7">
        <f>'Option source'!B858</f>
        <v>1000</v>
      </c>
      <c r="F425" s="7">
        <v>7005</v>
      </c>
      <c r="G425" s="14">
        <v>42</v>
      </c>
      <c r="H425" s="7">
        <f t="shared" si="18"/>
        <v>995</v>
      </c>
      <c r="I425" s="7">
        <f t="shared" si="19"/>
        <v>5</v>
      </c>
      <c r="J425" s="9">
        <f t="shared" si="20"/>
        <v>1.1420413990007139</v>
      </c>
      <c r="K425" s="9">
        <v>0.41359500419195006</v>
      </c>
      <c r="L425" s="13">
        <v>-0.73580845907303738</v>
      </c>
      <c r="M425" s="13">
        <v>7.7710614548761301</v>
      </c>
      <c r="N425" s="7">
        <f>'Option source'!C858</f>
        <v>200000</v>
      </c>
      <c r="O425" s="7">
        <f>'Option source'!G858</f>
        <v>1000</v>
      </c>
      <c r="P425" s="7">
        <f>'Option source'!F858</f>
        <v>1000</v>
      </c>
      <c r="Q425" s="1" t="s">
        <v>88</v>
      </c>
      <c r="R425" s="1">
        <v>853</v>
      </c>
    </row>
    <row r="426" spans="1:18" ht="21" customHeight="1">
      <c r="A426" s="8">
        <v>46269</v>
      </c>
      <c r="B426" s="1" t="s">
        <v>104</v>
      </c>
      <c r="C426" s="39" t="s">
        <v>87</v>
      </c>
      <c r="D426" s="7">
        <v>6000</v>
      </c>
      <c r="E426" s="7">
        <f>'Option source'!B174</f>
        <v>1200.05</v>
      </c>
      <c r="F426" s="7">
        <v>7005</v>
      </c>
      <c r="G426" s="14">
        <v>42</v>
      </c>
      <c r="H426" s="7">
        <f t="shared" si="18"/>
        <v>1005</v>
      </c>
      <c r="I426" s="7">
        <f t="shared" si="19"/>
        <v>195.04999999999995</v>
      </c>
      <c r="J426" s="9">
        <f t="shared" si="20"/>
        <v>0.85653104925053536</v>
      </c>
      <c r="K426" s="9"/>
      <c r="L426" s="13"/>
      <c r="M426" s="13"/>
      <c r="N426" s="7">
        <f>'Option source'!C174</f>
        <v>7445408.5</v>
      </c>
      <c r="O426" s="7">
        <f>'Option source'!G174</f>
        <v>1200</v>
      </c>
      <c r="P426" s="7">
        <f>'Option source'!F174</f>
        <v>1205.29</v>
      </c>
      <c r="Q426" s="1" t="s">
        <v>100</v>
      </c>
      <c r="R426" s="1">
        <v>169</v>
      </c>
    </row>
    <row r="427" spans="1:18" ht="21" customHeight="1">
      <c r="A427" s="8">
        <v>46269</v>
      </c>
      <c r="B427" s="1" t="s">
        <v>105</v>
      </c>
      <c r="C427" s="39" t="s">
        <v>90</v>
      </c>
      <c r="D427" s="7">
        <v>6000</v>
      </c>
      <c r="E427" s="7">
        <f>'Option source'!B668</f>
        <v>46.91</v>
      </c>
      <c r="F427" s="7">
        <v>7005</v>
      </c>
      <c r="G427" s="14">
        <v>42</v>
      </c>
      <c r="H427" s="7">
        <f t="shared" si="18"/>
        <v>0</v>
      </c>
      <c r="I427" s="7">
        <f t="shared" si="19"/>
        <v>46.91</v>
      </c>
      <c r="J427" s="9">
        <f t="shared" si="20"/>
        <v>0.85653104925053536</v>
      </c>
      <c r="K427" s="9">
        <v>0.43603580589191082</v>
      </c>
      <c r="L427" s="13">
        <v>-8.7811431296418885E-2</v>
      </c>
      <c r="M427" s="13">
        <v>3.7886771880961927</v>
      </c>
      <c r="N427" s="7">
        <f>'Option source'!C668</f>
        <v>21767742</v>
      </c>
      <c r="O427" s="7">
        <f>'Option source'!G668</f>
        <v>45</v>
      </c>
      <c r="P427" s="7">
        <f>'Option source'!F668</f>
        <v>58</v>
      </c>
      <c r="Q427" s="1" t="s">
        <v>88</v>
      </c>
      <c r="R427" s="1">
        <v>663</v>
      </c>
    </row>
    <row r="428" spans="1:18" ht="21" customHeight="1">
      <c r="A428" s="8">
        <v>46269</v>
      </c>
      <c r="B428" s="1" t="s">
        <v>108</v>
      </c>
      <c r="C428" s="39" t="s">
        <v>87</v>
      </c>
      <c r="D428" s="7">
        <v>5800</v>
      </c>
      <c r="E428" s="7">
        <f>'Option source'!B155</f>
        <v>1490</v>
      </c>
      <c r="F428" s="7">
        <v>7005</v>
      </c>
      <c r="G428" s="14">
        <v>42</v>
      </c>
      <c r="H428" s="7">
        <f t="shared" si="18"/>
        <v>1205</v>
      </c>
      <c r="I428" s="7">
        <f t="shared" si="19"/>
        <v>285</v>
      </c>
      <c r="J428" s="9">
        <f t="shared" si="20"/>
        <v>0.82798001427551748</v>
      </c>
      <c r="K428" s="9"/>
      <c r="L428" s="13"/>
      <c r="M428" s="13"/>
      <c r="N428" s="7">
        <f>'Option source'!C155</f>
        <v>0</v>
      </c>
      <c r="O428" s="7">
        <f>'Option source'!G155</f>
        <v>1413</v>
      </c>
      <c r="P428" s="7">
        <f>'Option source'!F155</f>
        <v>1518</v>
      </c>
      <c r="Q428" s="1" t="s">
        <v>25</v>
      </c>
      <c r="R428" s="1">
        <v>150</v>
      </c>
    </row>
    <row r="429" spans="1:18" ht="21" customHeight="1">
      <c r="A429" s="8">
        <v>46269</v>
      </c>
      <c r="B429" s="1" t="s">
        <v>110</v>
      </c>
      <c r="C429" s="39" t="s">
        <v>90</v>
      </c>
      <c r="D429" s="7">
        <v>5800</v>
      </c>
      <c r="E429" s="7">
        <f>'Option source'!B649</f>
        <v>27.57</v>
      </c>
      <c r="F429" s="7">
        <v>7005</v>
      </c>
      <c r="G429" s="14">
        <v>42</v>
      </c>
      <c r="H429" s="7">
        <f t="shared" si="18"/>
        <v>0</v>
      </c>
      <c r="I429" s="7">
        <f t="shared" si="19"/>
        <v>27.57</v>
      </c>
      <c r="J429" s="9">
        <f t="shared" si="20"/>
        <v>0.82798001427551748</v>
      </c>
      <c r="K429" s="9">
        <v>0.43623325013582548</v>
      </c>
      <c r="L429" s="13">
        <v>-5.6721155769324239E-2</v>
      </c>
      <c r="M429" s="13">
        <v>2.7083975387427133</v>
      </c>
      <c r="N429" s="7">
        <f>'Option source'!C649</f>
        <v>9548812</v>
      </c>
      <c r="O429" s="7">
        <f>'Option source'!G649</f>
        <v>26</v>
      </c>
      <c r="P429" s="7">
        <f>'Option source'!F649</f>
        <v>34.94</v>
      </c>
      <c r="Q429" s="1" t="s">
        <v>88</v>
      </c>
      <c r="R429" s="1">
        <v>644</v>
      </c>
    </row>
    <row r="430" spans="1:18" ht="21" customHeight="1">
      <c r="A430" s="8">
        <v>46269</v>
      </c>
      <c r="B430" s="1" t="s">
        <v>121</v>
      </c>
      <c r="C430" s="39" t="s">
        <v>87</v>
      </c>
      <c r="D430" s="7">
        <v>8300</v>
      </c>
      <c r="E430" s="7">
        <f>'Option source'!B383</f>
        <v>91.92</v>
      </c>
      <c r="F430" s="7">
        <v>7005</v>
      </c>
      <c r="G430" s="14">
        <v>42</v>
      </c>
      <c r="H430" s="7">
        <f t="shared" si="18"/>
        <v>0</v>
      </c>
      <c r="I430" s="7">
        <f t="shared" si="19"/>
        <v>91.92</v>
      </c>
      <c r="J430" s="9">
        <f t="shared" si="20"/>
        <v>1.1848679514632405</v>
      </c>
      <c r="K430" s="9">
        <v>0.41062374313038741</v>
      </c>
      <c r="L430" s="13">
        <v>0.18396814476877171</v>
      </c>
      <c r="M430" s="13">
        <v>6.3207991691337746</v>
      </c>
      <c r="N430" s="7">
        <f>'Option source'!C383</f>
        <v>122190664</v>
      </c>
      <c r="O430" s="7">
        <f>'Option source'!G383</f>
        <v>87</v>
      </c>
      <c r="P430" s="7">
        <f>'Option source'!F383</f>
        <v>109.99</v>
      </c>
      <c r="Q430" s="1" t="s">
        <v>88</v>
      </c>
      <c r="R430" s="1">
        <v>378</v>
      </c>
    </row>
    <row r="431" spans="1:18" ht="21" customHeight="1">
      <c r="A431" s="8">
        <v>46269</v>
      </c>
      <c r="B431" s="1" t="s">
        <v>122</v>
      </c>
      <c r="C431" s="39" t="s">
        <v>90</v>
      </c>
      <c r="D431" s="7">
        <v>8300</v>
      </c>
      <c r="E431" s="7">
        <f>'Option source'!B877</f>
        <v>1350</v>
      </c>
      <c r="F431" s="7">
        <v>7005</v>
      </c>
      <c r="G431" s="14">
        <v>42</v>
      </c>
      <c r="H431" s="7">
        <f t="shared" si="18"/>
        <v>1295</v>
      </c>
      <c r="I431" s="7">
        <f t="shared" si="19"/>
        <v>55</v>
      </c>
      <c r="J431" s="9">
        <f t="shared" si="20"/>
        <v>1.1848679514632405</v>
      </c>
      <c r="K431" s="9">
        <v>0.60419395632914141</v>
      </c>
      <c r="L431" s="13">
        <v>-0.71115125305507876</v>
      </c>
      <c r="M431" s="13">
        <v>8.1187075654597933</v>
      </c>
      <c r="N431" s="7">
        <f>'Option source'!C877</f>
        <v>675000</v>
      </c>
      <c r="O431" s="7">
        <f>'Option source'!G877</f>
        <v>1350</v>
      </c>
      <c r="P431" s="7">
        <f>'Option source'!F877</f>
        <v>1350</v>
      </c>
      <c r="Q431" s="1" t="s">
        <v>88</v>
      </c>
      <c r="R431" s="1">
        <v>872</v>
      </c>
    </row>
    <row r="432" spans="1:18" ht="21" customHeight="1">
      <c r="A432" s="8">
        <v>46269</v>
      </c>
      <c r="B432" s="1" t="s">
        <v>114</v>
      </c>
      <c r="C432" s="39" t="s">
        <v>87</v>
      </c>
      <c r="D432" s="7">
        <v>5600</v>
      </c>
      <c r="E432" s="7">
        <f>'Option source'!B145</f>
        <v>1600</v>
      </c>
      <c r="F432" s="7">
        <v>7005</v>
      </c>
      <c r="G432" s="14">
        <v>42</v>
      </c>
      <c r="H432" s="7">
        <f t="shared" si="18"/>
        <v>1405</v>
      </c>
      <c r="I432" s="7">
        <f t="shared" si="19"/>
        <v>195</v>
      </c>
      <c r="J432" s="9">
        <f t="shared" si="20"/>
        <v>0.79942897930049961</v>
      </c>
      <c r="K432" s="9"/>
      <c r="L432" s="13"/>
      <c r="M432" s="13"/>
      <c r="N432" s="7">
        <f>'Option source'!C145</f>
        <v>0</v>
      </c>
      <c r="O432" s="7">
        <f>'Option source'!G145</f>
        <v>1600</v>
      </c>
      <c r="P432" s="7">
        <f>'Option source'!F145</f>
        <v>1770.93</v>
      </c>
      <c r="Q432" s="1" t="s">
        <v>25</v>
      </c>
      <c r="R432" s="1">
        <v>140</v>
      </c>
    </row>
    <row r="433" spans="1:18" ht="21" customHeight="1">
      <c r="A433" s="8">
        <v>46269</v>
      </c>
      <c r="B433" s="1" t="s">
        <v>115</v>
      </c>
      <c r="C433" s="39" t="s">
        <v>90</v>
      </c>
      <c r="D433" s="7">
        <v>5600</v>
      </c>
      <c r="E433" s="7">
        <f>'Option source'!B630</f>
        <v>16.25</v>
      </c>
      <c r="F433" s="7">
        <v>7005</v>
      </c>
      <c r="G433" s="14">
        <v>42</v>
      </c>
      <c r="H433" s="7">
        <f t="shared" si="18"/>
        <v>0</v>
      </c>
      <c r="I433" s="7">
        <f t="shared" si="19"/>
        <v>16.25</v>
      </c>
      <c r="J433" s="9">
        <f t="shared" si="20"/>
        <v>0.79942897930049961</v>
      </c>
      <c r="K433" s="9">
        <v>0.44034573725324999</v>
      </c>
      <c r="L433" s="13">
        <v>-3.5581328591266947E-2</v>
      </c>
      <c r="M433" s="13">
        <v>1.8610828042449681</v>
      </c>
      <c r="N433" s="7">
        <f>'Option source'!C630</f>
        <v>8706402</v>
      </c>
      <c r="O433" s="7">
        <f>'Option source'!G630</f>
        <v>11.01</v>
      </c>
      <c r="P433" s="7">
        <f>'Option source'!F630</f>
        <v>20</v>
      </c>
      <c r="Q433" s="1" t="s">
        <v>88</v>
      </c>
      <c r="R433" s="1">
        <v>625</v>
      </c>
    </row>
    <row r="434" spans="1:18" ht="21" customHeight="1">
      <c r="A434" s="8">
        <v>46269</v>
      </c>
      <c r="B434" s="1" t="s">
        <v>127</v>
      </c>
      <c r="C434" s="39" t="s">
        <v>87</v>
      </c>
      <c r="D434" s="7">
        <v>8600</v>
      </c>
      <c r="E434" s="7">
        <f>'Option source'!B402</f>
        <v>56.19</v>
      </c>
      <c r="F434" s="7">
        <v>7005</v>
      </c>
      <c r="G434" s="14">
        <v>42</v>
      </c>
      <c r="H434" s="7">
        <f t="shared" si="18"/>
        <v>0</v>
      </c>
      <c r="I434" s="7">
        <f t="shared" si="19"/>
        <v>56.19</v>
      </c>
      <c r="J434" s="9">
        <f t="shared" si="20"/>
        <v>1.2276945039257674</v>
      </c>
      <c r="K434" s="9">
        <v>0.40990076668244912</v>
      </c>
      <c r="L434" s="13">
        <v>0.12352602133037453</v>
      </c>
      <c r="M434" s="13">
        <v>4.8511127664272156</v>
      </c>
      <c r="N434" s="7">
        <f>'Option source'!C402</f>
        <v>63448188</v>
      </c>
      <c r="O434" s="7">
        <f>'Option source'!G402</f>
        <v>51</v>
      </c>
      <c r="P434" s="7">
        <f>'Option source'!F402</f>
        <v>69.489999999999995</v>
      </c>
      <c r="Q434" s="1" t="s">
        <v>88</v>
      </c>
      <c r="R434" s="1">
        <v>397</v>
      </c>
    </row>
    <row r="435" spans="1:18" ht="21" customHeight="1">
      <c r="A435" s="8">
        <v>46269</v>
      </c>
      <c r="B435" s="1" t="s">
        <v>128</v>
      </c>
      <c r="C435" s="39" t="s">
        <v>90</v>
      </c>
      <c r="D435" s="7">
        <v>8600</v>
      </c>
      <c r="E435" s="7">
        <f>'Option source'!B896</f>
        <v>1555.11</v>
      </c>
      <c r="F435" s="7">
        <v>7005</v>
      </c>
      <c r="G435" s="14">
        <v>42</v>
      </c>
      <c r="H435" s="7">
        <f t="shared" si="18"/>
        <v>1595</v>
      </c>
      <c r="I435" s="7">
        <f t="shared" si="19"/>
        <v>-39.8900000000001</v>
      </c>
      <c r="J435" s="9">
        <f t="shared" si="20"/>
        <v>1.2276945039257674</v>
      </c>
      <c r="K435" s="9"/>
      <c r="L435" s="13"/>
      <c r="M435" s="13"/>
      <c r="N435" s="7">
        <f>'Option source'!C896</f>
        <v>0</v>
      </c>
      <c r="O435" s="7">
        <f>'Option source'!G896</f>
        <v>1555.11</v>
      </c>
      <c r="P435" s="7">
        <f>'Option source'!F896</f>
        <v>1555.11</v>
      </c>
      <c r="Q435" s="1" t="s">
        <v>118</v>
      </c>
      <c r="R435" s="1">
        <v>891</v>
      </c>
    </row>
    <row r="436" spans="1:18" ht="21" customHeight="1">
      <c r="A436" s="8">
        <v>46269</v>
      </c>
      <c r="B436" s="1" t="s">
        <v>119</v>
      </c>
      <c r="C436" s="39" t="s">
        <v>87</v>
      </c>
      <c r="D436" s="7">
        <v>5400</v>
      </c>
      <c r="E436" s="7">
        <f>'Option source'!B127</f>
        <v>1680.06</v>
      </c>
      <c r="F436" s="7">
        <v>7005</v>
      </c>
      <c r="G436" s="14">
        <v>42</v>
      </c>
      <c r="H436" s="7">
        <f t="shared" si="18"/>
        <v>1605</v>
      </c>
      <c r="I436" s="7">
        <f t="shared" si="19"/>
        <v>75.059999999999945</v>
      </c>
      <c r="J436" s="9">
        <f t="shared" si="20"/>
        <v>0.77087794432548185</v>
      </c>
      <c r="K436" s="9"/>
      <c r="L436" s="13"/>
      <c r="M436" s="13"/>
      <c r="N436" s="7">
        <f>'Option source'!C127</f>
        <v>168006.09</v>
      </c>
      <c r="O436" s="7">
        <f>'Option source'!G127</f>
        <v>0</v>
      </c>
      <c r="P436" s="7">
        <f>'Option source'!F127</f>
        <v>0</v>
      </c>
      <c r="Q436" s="1" t="s">
        <v>109</v>
      </c>
      <c r="R436" s="1">
        <v>122</v>
      </c>
    </row>
    <row r="437" spans="1:18" ht="21" customHeight="1">
      <c r="A437" s="8">
        <v>46269</v>
      </c>
      <c r="B437" s="1" t="s">
        <v>120</v>
      </c>
      <c r="C437" s="39" t="s">
        <v>90</v>
      </c>
      <c r="D437" s="7">
        <v>5400</v>
      </c>
      <c r="E437" s="7">
        <f>'Option source'!B611</f>
        <v>8.9600000000000009</v>
      </c>
      <c r="F437" s="7">
        <v>7005</v>
      </c>
      <c r="G437" s="14">
        <v>42</v>
      </c>
      <c r="H437" s="7">
        <f t="shared" si="18"/>
        <v>0</v>
      </c>
      <c r="I437" s="7">
        <f t="shared" si="19"/>
        <v>8.9600000000000009</v>
      </c>
      <c r="J437" s="9">
        <f t="shared" si="20"/>
        <v>0.77087794432548185</v>
      </c>
      <c r="K437" s="9">
        <v>0.4443742005967698</v>
      </c>
      <c r="L437" s="13">
        <v>-2.1142622764517505E-2</v>
      </c>
      <c r="M437" s="13">
        <v>1.2059670896926795</v>
      </c>
      <c r="N437" s="7">
        <f>'Option source'!C611</f>
        <v>1627889.75</v>
      </c>
      <c r="O437" s="7">
        <f>'Option source'!G611</f>
        <v>7.1</v>
      </c>
      <c r="P437" s="7">
        <f>'Option source'!F611</f>
        <v>11.5</v>
      </c>
      <c r="Q437" s="1" t="s">
        <v>88</v>
      </c>
      <c r="R437" s="1">
        <v>606</v>
      </c>
    </row>
    <row r="438" spans="1:18" ht="21" customHeight="1">
      <c r="A438" s="8">
        <v>46269</v>
      </c>
      <c r="B438" s="1" t="s">
        <v>123</v>
      </c>
      <c r="C438" s="39" t="s">
        <v>87</v>
      </c>
      <c r="D438" s="7">
        <v>5200</v>
      </c>
      <c r="E438" s="7">
        <f>'Option source'!B108</f>
        <v>2076.9299999999998</v>
      </c>
      <c r="F438" s="7">
        <v>7005</v>
      </c>
      <c r="G438" s="14">
        <v>42</v>
      </c>
      <c r="H438" s="7">
        <f t="shared" si="18"/>
        <v>1805</v>
      </c>
      <c r="I438" s="7">
        <f t="shared" si="19"/>
        <v>271.92999999999984</v>
      </c>
      <c r="J438" s="9">
        <f t="shared" si="20"/>
        <v>0.74232690935046397</v>
      </c>
      <c r="K438" s="9"/>
      <c r="L438" s="13"/>
      <c r="M438" s="13"/>
      <c r="N438" s="7">
        <f>'Option source'!C108</f>
        <v>0</v>
      </c>
      <c r="O438" s="7">
        <f>'Option source'!G108</f>
        <v>2027.11</v>
      </c>
      <c r="P438" s="7">
        <f>'Option source'!F108</f>
        <v>2102.98</v>
      </c>
      <c r="Q438" s="1" t="s">
        <v>25</v>
      </c>
      <c r="R438" s="1">
        <v>103</v>
      </c>
    </row>
    <row r="439" spans="1:18" ht="21" customHeight="1">
      <c r="A439" s="8">
        <v>46269</v>
      </c>
      <c r="B439" s="1" t="s">
        <v>124</v>
      </c>
      <c r="C439" s="39" t="s">
        <v>90</v>
      </c>
      <c r="D439" s="7">
        <v>5200</v>
      </c>
      <c r="E439" s="7">
        <f>'Option source'!B592</f>
        <v>4.92</v>
      </c>
      <c r="F439" s="7">
        <v>7005</v>
      </c>
      <c r="G439" s="14">
        <v>42</v>
      </c>
      <c r="H439" s="7">
        <f t="shared" si="18"/>
        <v>0</v>
      </c>
      <c r="I439" s="7">
        <f t="shared" si="19"/>
        <v>4.92</v>
      </c>
      <c r="J439" s="9">
        <f t="shared" si="20"/>
        <v>0.74232690935046397</v>
      </c>
      <c r="K439" s="9">
        <v>0.4511863571550474</v>
      </c>
      <c r="L439" s="13">
        <v>-1.2258704109350038E-2</v>
      </c>
      <c r="M439" s="13">
        <v>0.75603318722072932</v>
      </c>
      <c r="N439" s="7">
        <f>'Option source'!C592</f>
        <v>1754041.5</v>
      </c>
      <c r="O439" s="7">
        <f>'Option source'!G592</f>
        <v>4.43</v>
      </c>
      <c r="P439" s="7">
        <f>'Option source'!F592</f>
        <v>6.45</v>
      </c>
      <c r="Q439" s="1" t="s">
        <v>88</v>
      </c>
      <c r="R439" s="1">
        <v>587</v>
      </c>
    </row>
    <row r="440" spans="1:18" ht="21" customHeight="1">
      <c r="A440" s="8">
        <v>46269</v>
      </c>
      <c r="B440" s="1" t="s">
        <v>132</v>
      </c>
      <c r="C440" s="39" t="s">
        <v>87</v>
      </c>
      <c r="D440" s="7">
        <v>8900</v>
      </c>
      <c r="E440" s="7">
        <f>'Option source'!B421</f>
        <v>34.74</v>
      </c>
      <c r="F440" s="7">
        <v>7005</v>
      </c>
      <c r="G440" s="14">
        <v>42</v>
      </c>
      <c r="H440" s="7">
        <f t="shared" si="18"/>
        <v>0</v>
      </c>
      <c r="I440" s="7">
        <f t="shared" si="19"/>
        <v>34.74</v>
      </c>
      <c r="J440" s="9">
        <f t="shared" si="20"/>
        <v>1.270521056388294</v>
      </c>
      <c r="K440" s="9">
        <v>0.41333524192823079</v>
      </c>
      <c r="L440" s="13">
        <v>8.206493086754077E-2</v>
      </c>
      <c r="M440" s="13">
        <v>3.6012386541508312</v>
      </c>
      <c r="N440" s="7">
        <f>'Option source'!C421</f>
        <v>10991296</v>
      </c>
      <c r="O440" s="7">
        <f>'Option source'!G421</f>
        <v>30.1</v>
      </c>
      <c r="P440" s="7">
        <f>'Option source'!F421</f>
        <v>43</v>
      </c>
      <c r="Q440" s="1" t="s">
        <v>88</v>
      </c>
      <c r="R440" s="1">
        <v>416</v>
      </c>
    </row>
    <row r="441" spans="1:18" ht="21" customHeight="1">
      <c r="A441" s="8">
        <v>46269</v>
      </c>
      <c r="B441" s="1" t="s">
        <v>133</v>
      </c>
      <c r="C441" s="39" t="s">
        <v>90</v>
      </c>
      <c r="D441" s="7">
        <v>8900</v>
      </c>
      <c r="E441" s="7">
        <f>'Option source'!B911</f>
        <v>2022.5</v>
      </c>
      <c r="F441" s="7">
        <v>7005</v>
      </c>
      <c r="G441" s="14">
        <v>42</v>
      </c>
      <c r="H441" s="7">
        <f t="shared" si="18"/>
        <v>1895</v>
      </c>
      <c r="I441" s="7">
        <f t="shared" si="19"/>
        <v>127.5</v>
      </c>
      <c r="J441" s="9">
        <f t="shared" si="20"/>
        <v>1.270521056388294</v>
      </c>
      <c r="K441" s="9"/>
      <c r="L441" s="13"/>
      <c r="M441" s="13"/>
      <c r="N441" s="7">
        <f>'Option source'!C911</f>
        <v>0</v>
      </c>
      <c r="O441" s="7">
        <f>'Option source'!G911</f>
        <v>2022.5</v>
      </c>
      <c r="P441" s="7">
        <f>'Option source'!F911</f>
        <v>2037.67</v>
      </c>
      <c r="Q441" s="1" t="s">
        <v>25</v>
      </c>
      <c r="R441" s="1">
        <v>906</v>
      </c>
    </row>
    <row r="442" spans="1:18" ht="21" customHeight="1">
      <c r="A442" s="8">
        <v>46269</v>
      </c>
      <c r="B442" s="1" t="s">
        <v>125</v>
      </c>
      <c r="C442" s="39" t="s">
        <v>87</v>
      </c>
      <c r="D442" s="7">
        <v>5000</v>
      </c>
      <c r="E442" s="7">
        <f>'Option source'!B89</f>
        <v>2133.58</v>
      </c>
      <c r="F442" s="7">
        <v>7005</v>
      </c>
      <c r="G442" s="14">
        <v>42</v>
      </c>
      <c r="H442" s="7">
        <f t="shared" si="18"/>
        <v>2005</v>
      </c>
      <c r="I442" s="7">
        <f t="shared" si="19"/>
        <v>128.57999999999993</v>
      </c>
      <c r="J442" s="9">
        <f t="shared" si="20"/>
        <v>0.7137758743754461</v>
      </c>
      <c r="K442" s="9"/>
      <c r="L442" s="13"/>
      <c r="M442" s="13"/>
      <c r="N442" s="7">
        <f>'Option source'!C89</f>
        <v>213358</v>
      </c>
      <c r="O442" s="7">
        <f>'Option source'!G89</f>
        <v>0</v>
      </c>
      <c r="P442" s="7">
        <f>'Option source'!F89</f>
        <v>0</v>
      </c>
      <c r="Q442" s="1" t="s">
        <v>109</v>
      </c>
      <c r="R442" s="1">
        <v>84</v>
      </c>
    </row>
    <row r="443" spans="1:18" ht="21" customHeight="1">
      <c r="A443" s="8">
        <v>46269</v>
      </c>
      <c r="B443" s="1" t="s">
        <v>126</v>
      </c>
      <c r="C443" s="39" t="s">
        <v>90</v>
      </c>
      <c r="D443" s="7">
        <v>5000</v>
      </c>
      <c r="E443" s="7">
        <f>'Option source'!B573</f>
        <v>3.15</v>
      </c>
      <c r="F443" s="7">
        <v>7005</v>
      </c>
      <c r="G443" s="14">
        <v>42</v>
      </c>
      <c r="H443" s="7">
        <f t="shared" si="18"/>
        <v>0</v>
      </c>
      <c r="I443" s="7">
        <f t="shared" si="19"/>
        <v>3.15</v>
      </c>
      <c r="J443" s="9">
        <f t="shared" si="20"/>
        <v>0.7137758743754461</v>
      </c>
      <c r="K443" s="9">
        <v>0.47043085171655319</v>
      </c>
      <c r="L443" s="13">
        <v>-7.9960668460735684E-3</v>
      </c>
      <c r="M443" s="13">
        <v>0.52063162730096257</v>
      </c>
      <c r="N443" s="7">
        <f>'Option source'!C573</f>
        <v>719942</v>
      </c>
      <c r="O443" s="7">
        <f>'Option source'!G573</f>
        <v>1.64</v>
      </c>
      <c r="P443" s="7">
        <f>'Option source'!F573</f>
        <v>3.99</v>
      </c>
      <c r="Q443" s="1" t="s">
        <v>88</v>
      </c>
      <c r="R443" s="1">
        <v>568</v>
      </c>
    </row>
    <row r="444" spans="1:18" ht="21" customHeight="1">
      <c r="A444" s="8">
        <v>46269</v>
      </c>
      <c r="B444" s="1" t="s">
        <v>138</v>
      </c>
      <c r="C444" s="39" t="s">
        <v>87</v>
      </c>
      <c r="D444" s="7">
        <v>9200</v>
      </c>
      <c r="E444" s="7">
        <f>'Option source'!B440</f>
        <v>21.04</v>
      </c>
      <c r="F444" s="7">
        <v>7005</v>
      </c>
      <c r="G444" s="14">
        <v>42</v>
      </c>
      <c r="H444" s="7">
        <f t="shared" si="18"/>
        <v>0</v>
      </c>
      <c r="I444" s="7">
        <f t="shared" si="19"/>
        <v>21.04</v>
      </c>
      <c r="J444" s="9">
        <f t="shared" si="20"/>
        <v>1.3133476088508209</v>
      </c>
      <c r="K444" s="9">
        <v>0.41624133922844875</v>
      </c>
      <c r="L444" s="13">
        <v>5.311052145856112E-2</v>
      </c>
      <c r="M444" s="13">
        <v>2.5712070828465254</v>
      </c>
      <c r="N444" s="7">
        <f>'Option source'!C440</f>
        <v>7668621</v>
      </c>
      <c r="O444" s="7">
        <f>'Option source'!G440</f>
        <v>20.100000000000001</v>
      </c>
      <c r="P444" s="7">
        <f>'Option source'!F440</f>
        <v>27.99</v>
      </c>
      <c r="Q444" s="1" t="s">
        <v>88</v>
      </c>
      <c r="R444" s="1">
        <v>435</v>
      </c>
    </row>
    <row r="445" spans="1:18" ht="21" customHeight="1">
      <c r="A445" s="8">
        <v>46269</v>
      </c>
      <c r="B445" s="1" t="s">
        <v>129</v>
      </c>
      <c r="C445" s="39" t="s">
        <v>87</v>
      </c>
      <c r="D445" s="7">
        <v>4800</v>
      </c>
      <c r="E445" s="7">
        <f>'Option source'!B72</f>
        <v>2375</v>
      </c>
      <c r="F445" s="7">
        <v>7005</v>
      </c>
      <c r="G445" s="14">
        <v>42</v>
      </c>
      <c r="H445" s="7">
        <f t="shared" si="18"/>
        <v>2205</v>
      </c>
      <c r="I445" s="7">
        <f t="shared" si="19"/>
        <v>170</v>
      </c>
      <c r="J445" s="9">
        <f t="shared" si="20"/>
        <v>0.68522483940042822</v>
      </c>
      <c r="K445" s="9"/>
      <c r="L445" s="13"/>
      <c r="M445" s="13"/>
      <c r="N445" s="7">
        <f>'Option source'!C72</f>
        <v>0</v>
      </c>
      <c r="O445" s="7">
        <f>'Option source'!G72</f>
        <v>2375</v>
      </c>
      <c r="P445" s="7">
        <f>'Option source'!F72</f>
        <v>2375</v>
      </c>
      <c r="Q445" s="1" t="s">
        <v>25</v>
      </c>
      <c r="R445" s="1">
        <v>67</v>
      </c>
    </row>
    <row r="446" spans="1:18" ht="21" customHeight="1">
      <c r="A446" s="8">
        <v>46269</v>
      </c>
      <c r="B446" s="1" t="s">
        <v>131</v>
      </c>
      <c r="C446" s="39" t="s">
        <v>90</v>
      </c>
      <c r="D446" s="7">
        <v>4800</v>
      </c>
      <c r="E446" s="7">
        <f>'Option source'!B554</f>
        <v>1.8</v>
      </c>
      <c r="F446" s="7">
        <v>7005</v>
      </c>
      <c r="G446" s="14">
        <v>42</v>
      </c>
      <c r="H446" s="7">
        <f t="shared" si="18"/>
        <v>0</v>
      </c>
      <c r="I446" s="7">
        <f t="shared" si="19"/>
        <v>1.8</v>
      </c>
      <c r="J446" s="9">
        <f t="shared" si="20"/>
        <v>0.68522483940042822</v>
      </c>
      <c r="K446" s="9">
        <v>0.4832435240065972</v>
      </c>
      <c r="L446" s="13">
        <v>-4.6810814702474834E-3</v>
      </c>
      <c r="M446" s="13">
        <v>0.32398971758511164</v>
      </c>
      <c r="N446" s="7">
        <f>'Option source'!C554</f>
        <v>87745.5</v>
      </c>
      <c r="O446" s="7">
        <f>'Option source'!G554</f>
        <v>1.55</v>
      </c>
      <c r="P446" s="7">
        <f>'Option source'!F554</f>
        <v>2.9</v>
      </c>
      <c r="Q446" s="1" t="s">
        <v>88</v>
      </c>
      <c r="R446" s="1">
        <v>549</v>
      </c>
    </row>
    <row r="447" spans="1:18" ht="21" customHeight="1">
      <c r="A447" s="8">
        <v>46269</v>
      </c>
      <c r="B447" s="1" t="s">
        <v>134</v>
      </c>
      <c r="C447" s="39" t="s">
        <v>87</v>
      </c>
      <c r="D447" s="7">
        <v>4600</v>
      </c>
      <c r="E447" s="7">
        <f>'Option source'!B55</f>
        <v>2502.92</v>
      </c>
      <c r="F447" s="7">
        <v>7005</v>
      </c>
      <c r="G447" s="14">
        <v>42</v>
      </c>
      <c r="H447" s="7">
        <f t="shared" si="18"/>
        <v>2405</v>
      </c>
      <c r="I447" s="7">
        <f t="shared" si="19"/>
        <v>97.920000000000073</v>
      </c>
      <c r="J447" s="9">
        <f t="shared" si="20"/>
        <v>0.65667380442541046</v>
      </c>
      <c r="K447" s="9"/>
      <c r="L447" s="13"/>
      <c r="M447" s="13"/>
      <c r="N447" s="7">
        <f>'Option source'!C55</f>
        <v>3050382</v>
      </c>
      <c r="O447" s="7">
        <f>'Option source'!G55</f>
        <v>2510.88</v>
      </c>
      <c r="P447" s="7">
        <f>'Option source'!F55</f>
        <v>2575.58</v>
      </c>
      <c r="Q447" s="1" t="s">
        <v>109</v>
      </c>
      <c r="R447" s="1">
        <v>50</v>
      </c>
    </row>
    <row r="448" spans="1:18" ht="21" customHeight="1">
      <c r="A448" s="8">
        <v>46269</v>
      </c>
      <c r="B448" s="1" t="s">
        <v>135</v>
      </c>
      <c r="C448" s="39" t="s">
        <v>90</v>
      </c>
      <c r="D448" s="7">
        <v>4600</v>
      </c>
      <c r="E448" s="7">
        <f>'Option source'!B535</f>
        <v>1.4</v>
      </c>
      <c r="F448" s="7">
        <v>7005</v>
      </c>
      <c r="G448" s="14">
        <v>42</v>
      </c>
      <c r="H448" s="7">
        <f t="shared" si="18"/>
        <v>0</v>
      </c>
      <c r="I448" s="7">
        <f t="shared" si="19"/>
        <v>1.4</v>
      </c>
      <c r="J448" s="9">
        <f t="shared" si="20"/>
        <v>0.65667380442541046</v>
      </c>
      <c r="K448" s="9">
        <v>0.51533500715318925</v>
      </c>
      <c r="L448" s="13">
        <v>-3.5648194973558756E-3</v>
      </c>
      <c r="M448" s="13">
        <v>0.25389091914488354</v>
      </c>
      <c r="N448" s="7">
        <f>'Option source'!C535</f>
        <v>83664.7</v>
      </c>
      <c r="O448" s="7">
        <f>'Option source'!G535</f>
        <v>0.81</v>
      </c>
      <c r="P448" s="7">
        <f>'Option source'!F535</f>
        <v>2</v>
      </c>
      <c r="Q448" s="1" t="s">
        <v>88</v>
      </c>
      <c r="R448" s="1">
        <v>530</v>
      </c>
    </row>
    <row r="449" spans="1:18" ht="21" customHeight="1">
      <c r="A449" s="8">
        <v>46269</v>
      </c>
      <c r="B449" s="1" t="s">
        <v>142</v>
      </c>
      <c r="C449" s="39" t="s">
        <v>87</v>
      </c>
      <c r="D449" s="7">
        <v>9500</v>
      </c>
      <c r="E449" s="7">
        <f>'Option source'!B459</f>
        <v>14.06</v>
      </c>
      <c r="F449" s="7">
        <v>7005</v>
      </c>
      <c r="G449" s="14">
        <v>42</v>
      </c>
      <c r="H449" s="7">
        <f t="shared" si="18"/>
        <v>0</v>
      </c>
      <c r="I449" s="7">
        <f t="shared" si="19"/>
        <v>14.06</v>
      </c>
      <c r="J449" s="9">
        <f t="shared" si="20"/>
        <v>1.3561741613133476</v>
      </c>
      <c r="K449" s="9">
        <v>0.42719664437427407</v>
      </c>
      <c r="L449" s="13">
        <v>3.6586424669875509E-2</v>
      </c>
      <c r="M449" s="13">
        <v>1.9040266206623313</v>
      </c>
      <c r="N449" s="7">
        <f>'Option source'!C459</f>
        <v>4752001.5</v>
      </c>
      <c r="O449" s="7">
        <f>'Option source'!G459</f>
        <v>13</v>
      </c>
      <c r="P449" s="7">
        <f>'Option source'!F459</f>
        <v>17.989999999999998</v>
      </c>
      <c r="Q449" s="1" t="s">
        <v>88</v>
      </c>
      <c r="R449" s="1">
        <v>454</v>
      </c>
    </row>
    <row r="450" spans="1:18" ht="21" customHeight="1">
      <c r="A450" s="8">
        <v>46269</v>
      </c>
      <c r="B450" s="1" t="s">
        <v>136</v>
      </c>
      <c r="C450" s="39" t="s">
        <v>87</v>
      </c>
      <c r="D450" s="7">
        <v>4400</v>
      </c>
      <c r="E450" s="7">
        <f>'Option source'!B36</f>
        <v>2707.45</v>
      </c>
      <c r="F450" s="7">
        <v>7005</v>
      </c>
      <c r="G450" s="14">
        <v>42</v>
      </c>
      <c r="H450" s="7">
        <f t="shared" si="18"/>
        <v>2605</v>
      </c>
      <c r="I450" s="7">
        <f t="shared" si="19"/>
        <v>102.44999999999982</v>
      </c>
      <c r="J450" s="9">
        <f t="shared" si="20"/>
        <v>0.62812276945039258</v>
      </c>
      <c r="K450" s="9"/>
      <c r="L450" s="13"/>
      <c r="M450" s="13"/>
      <c r="N450" s="7">
        <f>'Option source'!C36</f>
        <v>5144148</v>
      </c>
      <c r="O450" s="7">
        <f>'Option source'!G36</f>
        <v>2685.6</v>
      </c>
      <c r="P450" s="7">
        <f>'Option source'!F36</f>
        <v>2722.44</v>
      </c>
      <c r="Q450" s="1" t="s">
        <v>100</v>
      </c>
      <c r="R450" s="1">
        <v>31</v>
      </c>
    </row>
    <row r="451" spans="1:18" ht="21" customHeight="1">
      <c r="A451" s="8">
        <v>46269</v>
      </c>
      <c r="B451" s="1" t="s">
        <v>137</v>
      </c>
      <c r="C451" s="39" t="s">
        <v>90</v>
      </c>
      <c r="D451" s="7">
        <v>4400</v>
      </c>
      <c r="E451" s="7">
        <f>'Option source'!B516</f>
        <v>1.17</v>
      </c>
      <c r="F451" s="7">
        <v>7005</v>
      </c>
      <c r="G451" s="14">
        <v>42</v>
      </c>
      <c r="H451" s="7">
        <f t="shared" si="18"/>
        <v>0</v>
      </c>
      <c r="I451" s="7">
        <f t="shared" si="19"/>
        <v>1.17</v>
      </c>
      <c r="J451" s="9">
        <f t="shared" si="20"/>
        <v>0.62812276945039258</v>
      </c>
      <c r="K451" s="9">
        <v>0.55007248124334862</v>
      </c>
      <c r="L451" s="13">
        <v>-2.798991109494553E-3</v>
      </c>
      <c r="M451" s="13">
        <v>0.20422667074831449</v>
      </c>
      <c r="N451" s="7">
        <f>'Option source'!C516</f>
        <v>108080.4</v>
      </c>
      <c r="O451" s="7">
        <f>'Option source'!G516</f>
        <v>0.89</v>
      </c>
      <c r="P451" s="7">
        <f>'Option source'!F516</f>
        <v>2.2000000000000002</v>
      </c>
      <c r="Q451" s="1" t="s">
        <v>88</v>
      </c>
      <c r="R451" s="1">
        <v>511</v>
      </c>
    </row>
    <row r="452" spans="1:18" ht="21" customHeight="1">
      <c r="A452" s="8">
        <v>46269</v>
      </c>
      <c r="B452" s="1" t="s">
        <v>140</v>
      </c>
      <c r="C452" s="39" t="s">
        <v>87</v>
      </c>
      <c r="D452" s="7">
        <v>4200</v>
      </c>
      <c r="E452" s="7">
        <f>'Option source'!B17</f>
        <v>2964.84</v>
      </c>
      <c r="F452" s="7">
        <v>7005</v>
      </c>
      <c r="G452" s="14">
        <v>42</v>
      </c>
      <c r="H452" s="7">
        <f t="shared" si="18"/>
        <v>2805</v>
      </c>
      <c r="I452" s="7">
        <f t="shared" si="19"/>
        <v>159.84000000000015</v>
      </c>
      <c r="J452" s="9">
        <f t="shared" si="20"/>
        <v>0.59957173447537471</v>
      </c>
      <c r="K452" s="9"/>
      <c r="L452" s="13"/>
      <c r="M452" s="13"/>
      <c r="N452" s="7">
        <f>'Option source'!C17</f>
        <v>0</v>
      </c>
      <c r="O452" s="7">
        <f>'Option source'!G17</f>
        <v>2979.78</v>
      </c>
      <c r="P452" s="7">
        <f>'Option source'!F17</f>
        <v>3039.57</v>
      </c>
      <c r="Q452" s="1" t="s">
        <v>130</v>
      </c>
      <c r="R452" s="1">
        <v>12</v>
      </c>
    </row>
    <row r="453" spans="1:18" ht="21" customHeight="1">
      <c r="A453" s="8">
        <v>46269</v>
      </c>
      <c r="B453" s="1" t="s">
        <v>141</v>
      </c>
      <c r="C453" s="39" t="s">
        <v>90</v>
      </c>
      <c r="D453" s="7">
        <v>4200</v>
      </c>
      <c r="E453" s="7">
        <f>'Option source'!B497</f>
        <v>1.0900000000000001</v>
      </c>
      <c r="F453" s="7">
        <v>7005</v>
      </c>
      <c r="G453" s="14">
        <v>42</v>
      </c>
      <c r="H453" s="7">
        <f t="shared" si="18"/>
        <v>0</v>
      </c>
      <c r="I453" s="7">
        <f t="shared" si="19"/>
        <v>1.0900000000000001</v>
      </c>
      <c r="J453" s="9">
        <f t="shared" si="20"/>
        <v>0.59957173447537471</v>
      </c>
      <c r="K453" s="9">
        <v>0.59420983953225215</v>
      </c>
      <c r="L453" s="13">
        <v>-2.4780973241078641E-3</v>
      </c>
      <c r="M453" s="13">
        <v>0.18295410409151633</v>
      </c>
      <c r="N453" s="7">
        <f>'Option source'!C497</f>
        <v>184877.2</v>
      </c>
      <c r="O453" s="7">
        <f>'Option source'!G497</f>
        <v>0.8</v>
      </c>
      <c r="P453" s="7">
        <f>'Option source'!F497</f>
        <v>1.5</v>
      </c>
      <c r="Q453" s="1" t="s">
        <v>88</v>
      </c>
      <c r="R453" s="1">
        <v>492</v>
      </c>
    </row>
    <row r="454" spans="1:18" ht="21" customHeight="1">
      <c r="A454" s="8">
        <v>46269</v>
      </c>
      <c r="B454" s="1" t="s">
        <v>143</v>
      </c>
      <c r="C454" s="39" t="s">
        <v>87</v>
      </c>
      <c r="D454" s="7">
        <v>9900</v>
      </c>
      <c r="E454" s="7">
        <f>'Option source'!B478</f>
        <v>8.02</v>
      </c>
      <c r="F454" s="7">
        <v>7005</v>
      </c>
      <c r="G454" s="14">
        <v>42</v>
      </c>
      <c r="H454" s="7">
        <f t="shared" si="18"/>
        <v>0</v>
      </c>
      <c r="I454" s="7">
        <f t="shared" si="19"/>
        <v>8.02</v>
      </c>
      <c r="J454" s="9">
        <f t="shared" si="20"/>
        <v>1.4132762312633833</v>
      </c>
      <c r="K454" s="9">
        <v>0.43864694115151615</v>
      </c>
      <c r="L454" s="13">
        <v>2.1778821781247303E-2</v>
      </c>
      <c r="M454" s="13">
        <v>1.2365722204255447</v>
      </c>
      <c r="N454" s="7">
        <f>'Option source'!C478</f>
        <v>2696464.5</v>
      </c>
      <c r="O454" s="7">
        <f>'Option source'!G478</f>
        <v>7.7</v>
      </c>
      <c r="P454" s="7">
        <f>'Option source'!F478</f>
        <v>10</v>
      </c>
      <c r="Q454" s="1" t="s">
        <v>88</v>
      </c>
      <c r="R454" s="1">
        <v>473</v>
      </c>
    </row>
    <row r="455" spans="1:18" ht="21" customHeight="1">
      <c r="A455" s="8">
        <v>46268</v>
      </c>
      <c r="B455" s="1" t="s">
        <v>93</v>
      </c>
      <c r="C455" s="39" t="s">
        <v>87</v>
      </c>
      <c r="D455" s="7">
        <v>7000</v>
      </c>
      <c r="E455" s="7">
        <f>'Option source'!B268</f>
        <v>547.83000000000004</v>
      </c>
      <c r="F455" s="7">
        <v>7075</v>
      </c>
      <c r="G455" s="14">
        <v>43</v>
      </c>
      <c r="H455" s="7">
        <f t="shared" ref="H455:H518" si="21">MAX(IF(C455="call",F455-D455,D455-F455),0)</f>
        <v>75</v>
      </c>
      <c r="I455" s="7">
        <f t="shared" ref="I455:I518" si="22">E455-H455</f>
        <v>472.83000000000004</v>
      </c>
      <c r="J455" s="9">
        <f t="shared" ref="J455:J518" si="23">D455/F455</f>
        <v>0.98939929328621912</v>
      </c>
      <c r="K455" s="9">
        <v>0.38797270586248733</v>
      </c>
      <c r="L455" s="13">
        <v>0.65983671433206825</v>
      </c>
      <c r="M455" s="13">
        <v>8.8994204807418331</v>
      </c>
      <c r="N455" s="7">
        <f>'Option source'!C268</f>
        <v>272889632</v>
      </c>
      <c r="O455" s="7">
        <f>'Option source'!G268</f>
        <v>528</v>
      </c>
      <c r="P455" s="7">
        <f>'Option source'!F268</f>
        <v>720</v>
      </c>
      <c r="Q455" s="1" t="s">
        <v>88</v>
      </c>
      <c r="R455" s="1">
        <v>263</v>
      </c>
    </row>
    <row r="456" spans="1:18" ht="21" customHeight="1">
      <c r="A456" s="8">
        <v>46268</v>
      </c>
      <c r="B456" s="1" t="s">
        <v>94</v>
      </c>
      <c r="C456" s="39" t="s">
        <v>90</v>
      </c>
      <c r="D456" s="7">
        <v>7000</v>
      </c>
      <c r="E456" s="7">
        <f>'Option source'!B762</f>
        <v>315.24</v>
      </c>
      <c r="F456" s="7">
        <v>7075</v>
      </c>
      <c r="G456" s="14">
        <v>43</v>
      </c>
      <c r="H456" s="7">
        <f t="shared" si="21"/>
        <v>0</v>
      </c>
      <c r="I456" s="7">
        <f t="shared" si="22"/>
        <v>315.24</v>
      </c>
      <c r="J456" s="9">
        <f t="shared" si="23"/>
        <v>0.98939929328621912</v>
      </c>
      <c r="K456" s="9">
        <v>0.45859240792621614</v>
      </c>
      <c r="L456" s="13">
        <v>-0.35534012679994165</v>
      </c>
      <c r="M456" s="13">
        <v>9.0436799216655928</v>
      </c>
      <c r="N456" s="7">
        <f>'Option source'!C762</f>
        <v>213086576</v>
      </c>
      <c r="O456" s="7">
        <f>'Option source'!G762</f>
        <v>240</v>
      </c>
      <c r="P456" s="7">
        <f>'Option source'!F762</f>
        <v>337</v>
      </c>
      <c r="Q456" s="1" t="s">
        <v>88</v>
      </c>
      <c r="R456" s="1">
        <v>757</v>
      </c>
    </row>
    <row r="457" spans="1:18" ht="21" customHeight="1">
      <c r="A457" s="8">
        <v>46268</v>
      </c>
      <c r="B457" s="1" t="s">
        <v>97</v>
      </c>
      <c r="C457" s="39" t="s">
        <v>87</v>
      </c>
      <c r="D457" s="7">
        <v>7200</v>
      </c>
      <c r="E457" s="7">
        <f>'Option source'!B287</f>
        <v>446.85</v>
      </c>
      <c r="F457" s="7">
        <v>7075</v>
      </c>
      <c r="G457" s="14">
        <v>43</v>
      </c>
      <c r="H457" s="7">
        <f t="shared" si="21"/>
        <v>0</v>
      </c>
      <c r="I457" s="7">
        <f t="shared" si="22"/>
        <v>446.85</v>
      </c>
      <c r="J457" s="9">
        <f t="shared" si="23"/>
        <v>1.0176678445229681</v>
      </c>
      <c r="K457" s="9">
        <v>0.39718580418880955</v>
      </c>
      <c r="L457" s="13">
        <v>0.57884665939680824</v>
      </c>
      <c r="M457" s="13">
        <v>9.4979507051011769</v>
      </c>
      <c r="N457" s="7">
        <f>'Option source'!C287</f>
        <v>559743360</v>
      </c>
      <c r="O457" s="7">
        <f>'Option source'!G287</f>
        <v>425</v>
      </c>
      <c r="P457" s="7">
        <f>'Option source'!F287</f>
        <v>640</v>
      </c>
      <c r="Q457" s="1" t="s">
        <v>88</v>
      </c>
      <c r="R457" s="1">
        <v>282</v>
      </c>
    </row>
    <row r="458" spans="1:18" ht="21" customHeight="1">
      <c r="A458" s="8">
        <v>46268</v>
      </c>
      <c r="B458" s="1" t="s">
        <v>98</v>
      </c>
      <c r="C458" s="39" t="s">
        <v>90</v>
      </c>
      <c r="D458" s="7">
        <v>7200</v>
      </c>
      <c r="E458" s="7">
        <f>'Option source'!B781</f>
        <v>403.61</v>
      </c>
      <c r="F458" s="7">
        <v>7075</v>
      </c>
      <c r="G458" s="14">
        <v>43</v>
      </c>
      <c r="H458" s="7">
        <f t="shared" si="21"/>
        <v>125</v>
      </c>
      <c r="I458" s="7">
        <f t="shared" si="22"/>
        <v>278.61</v>
      </c>
      <c r="J458" s="9">
        <f t="shared" si="23"/>
        <v>1.0176678445229681</v>
      </c>
      <c r="K458" s="9">
        <v>0.45042267455111851</v>
      </c>
      <c r="L458" s="13">
        <v>-0.4236271988325675</v>
      </c>
      <c r="M458" s="13">
        <v>9.5097122201264419</v>
      </c>
      <c r="N458" s="7">
        <f>'Option source'!C781</f>
        <v>79552488</v>
      </c>
      <c r="O458" s="7">
        <f>'Option source'!G781</f>
        <v>310.51</v>
      </c>
      <c r="P458" s="7">
        <f>'Option source'!F781</f>
        <v>444.98</v>
      </c>
      <c r="Q458" s="1" t="s">
        <v>88</v>
      </c>
      <c r="R458" s="1">
        <v>776</v>
      </c>
    </row>
    <row r="459" spans="1:18" ht="21" customHeight="1">
      <c r="A459" s="8">
        <v>46268</v>
      </c>
      <c r="B459" s="1" t="s">
        <v>86</v>
      </c>
      <c r="C459" s="39" t="s">
        <v>87</v>
      </c>
      <c r="D459" s="7">
        <v>6800</v>
      </c>
      <c r="E459" s="7">
        <f>'Option source'!B249</f>
        <v>665.11</v>
      </c>
      <c r="F459" s="7">
        <v>7075</v>
      </c>
      <c r="G459" s="14">
        <v>43</v>
      </c>
      <c r="H459" s="7">
        <f t="shared" si="21"/>
        <v>275</v>
      </c>
      <c r="I459" s="7">
        <f t="shared" si="22"/>
        <v>390.11</v>
      </c>
      <c r="J459" s="9">
        <f t="shared" si="23"/>
        <v>0.96113074204946991</v>
      </c>
      <c r="K459" s="9">
        <v>0.37750234133137006</v>
      </c>
      <c r="L459" s="13">
        <v>0.74005699278746517</v>
      </c>
      <c r="M459" s="13">
        <v>7.8758858543817052</v>
      </c>
      <c r="N459" s="7">
        <f>'Option source'!C249</f>
        <v>96836888</v>
      </c>
      <c r="O459" s="7">
        <f>'Option source'!G249</f>
        <v>640</v>
      </c>
      <c r="P459" s="7">
        <f>'Option source'!F249</f>
        <v>820</v>
      </c>
      <c r="Q459" s="1" t="s">
        <v>88</v>
      </c>
      <c r="R459" s="1">
        <v>244</v>
      </c>
    </row>
    <row r="460" spans="1:18" ht="21" customHeight="1">
      <c r="A460" s="8">
        <v>46268</v>
      </c>
      <c r="B460" s="1" t="s">
        <v>89</v>
      </c>
      <c r="C460" s="39" t="s">
        <v>90</v>
      </c>
      <c r="D460" s="7">
        <v>6800</v>
      </c>
      <c r="E460" s="7">
        <f>'Option source'!B743</f>
        <v>235.69</v>
      </c>
      <c r="F460" s="7">
        <v>7075</v>
      </c>
      <c r="G460" s="14">
        <v>43</v>
      </c>
      <c r="H460" s="7">
        <f t="shared" si="21"/>
        <v>0</v>
      </c>
      <c r="I460" s="7">
        <f t="shared" si="22"/>
        <v>235.69</v>
      </c>
      <c r="J460" s="9">
        <f t="shared" si="23"/>
        <v>0.96113074204946991</v>
      </c>
      <c r="K460" s="9">
        <v>0.45971352725251591</v>
      </c>
      <c r="L460" s="13">
        <v>-0.28974363971387862</v>
      </c>
      <c r="M460" s="13">
        <v>8.3089500237576708</v>
      </c>
      <c r="N460" s="7">
        <f>'Option source'!C743</f>
        <v>176546384</v>
      </c>
      <c r="O460" s="7">
        <f>'Option source'!G743</f>
        <v>166</v>
      </c>
      <c r="P460" s="7">
        <f>'Option source'!F743</f>
        <v>249</v>
      </c>
      <c r="Q460" s="1" t="s">
        <v>88</v>
      </c>
      <c r="R460" s="1">
        <v>738</v>
      </c>
    </row>
    <row r="461" spans="1:18" ht="21" customHeight="1">
      <c r="A461" s="8">
        <v>46268</v>
      </c>
      <c r="B461" s="1" t="s">
        <v>102</v>
      </c>
      <c r="C461" s="39" t="s">
        <v>87</v>
      </c>
      <c r="D461" s="7">
        <v>7400</v>
      </c>
      <c r="E461" s="7">
        <f>'Option source'!B306</f>
        <v>355.55</v>
      </c>
      <c r="F461" s="7">
        <v>7075</v>
      </c>
      <c r="G461" s="14">
        <v>43</v>
      </c>
      <c r="H461" s="7">
        <f t="shared" si="21"/>
        <v>0</v>
      </c>
      <c r="I461" s="7">
        <f t="shared" si="22"/>
        <v>355.55</v>
      </c>
      <c r="J461" s="9">
        <f t="shared" si="23"/>
        <v>1.0459363957597174</v>
      </c>
      <c r="K461" s="9">
        <v>0.39954020592211459</v>
      </c>
      <c r="L461" s="13">
        <v>0.49951392106429215</v>
      </c>
      <c r="M461" s="13">
        <v>9.6877736507626544</v>
      </c>
      <c r="N461" s="7">
        <f>'Option source'!C306</f>
        <v>549382400</v>
      </c>
      <c r="O461" s="7">
        <f>'Option source'!G306</f>
        <v>331.24</v>
      </c>
      <c r="P461" s="7">
        <f>'Option source'!F306</f>
        <v>490</v>
      </c>
      <c r="Q461" s="1" t="s">
        <v>88</v>
      </c>
      <c r="R461" s="1">
        <v>301</v>
      </c>
    </row>
    <row r="462" spans="1:18" ht="21" customHeight="1">
      <c r="A462" s="8">
        <v>46268</v>
      </c>
      <c r="B462" s="1" t="s">
        <v>103</v>
      </c>
      <c r="C462" s="39" t="s">
        <v>90</v>
      </c>
      <c r="D462" s="7">
        <v>7400</v>
      </c>
      <c r="E462" s="7">
        <f>'Option source'!B800</f>
        <v>521.53</v>
      </c>
      <c r="F462" s="7">
        <v>7075</v>
      </c>
      <c r="G462" s="14">
        <v>43</v>
      </c>
      <c r="H462" s="7">
        <f t="shared" si="21"/>
        <v>325</v>
      </c>
      <c r="I462" s="7">
        <f t="shared" si="22"/>
        <v>196.52999999999997</v>
      </c>
      <c r="J462" s="9">
        <f t="shared" si="23"/>
        <v>1.0459363957597174</v>
      </c>
      <c r="K462" s="9">
        <v>0.45627918504386589</v>
      </c>
      <c r="L462" s="13">
        <v>-0.4931397765742952</v>
      </c>
      <c r="M462" s="13">
        <v>9.6863484513405584</v>
      </c>
      <c r="N462" s="7">
        <f>'Option source'!C800</f>
        <v>10447188</v>
      </c>
      <c r="O462" s="7">
        <f>'Option source'!G800</f>
        <v>401</v>
      </c>
      <c r="P462" s="7">
        <f>'Option source'!F800</f>
        <v>600</v>
      </c>
      <c r="Q462" s="1" t="s">
        <v>88</v>
      </c>
      <c r="R462" s="1">
        <v>795</v>
      </c>
    </row>
    <row r="463" spans="1:18" ht="21" customHeight="1">
      <c r="A463" s="8">
        <v>46268</v>
      </c>
      <c r="B463" s="1" t="s">
        <v>91</v>
      </c>
      <c r="C463" s="39" t="s">
        <v>87</v>
      </c>
      <c r="D463" s="7">
        <v>6600</v>
      </c>
      <c r="E463" s="7">
        <f>'Option source'!B230</f>
        <v>800.04</v>
      </c>
      <c r="F463" s="7">
        <v>7075</v>
      </c>
      <c r="G463" s="14">
        <v>43</v>
      </c>
      <c r="H463" s="7">
        <f t="shared" si="21"/>
        <v>475</v>
      </c>
      <c r="I463" s="7">
        <f t="shared" si="22"/>
        <v>325.03999999999996</v>
      </c>
      <c r="J463" s="9">
        <f t="shared" si="23"/>
        <v>0.93286219081272082</v>
      </c>
      <c r="K463" s="9">
        <v>0.36694907971863333</v>
      </c>
      <c r="L463" s="13">
        <v>0.81470773227527027</v>
      </c>
      <c r="M463" s="13">
        <v>6.4883848295283215</v>
      </c>
      <c r="N463" s="7">
        <f>'Option source'!C230</f>
        <v>61064284</v>
      </c>
      <c r="O463" s="7">
        <f>'Option source'!G230</f>
        <v>775</v>
      </c>
      <c r="P463" s="7">
        <f>'Option source'!F230</f>
        <v>990</v>
      </c>
      <c r="Q463" s="1" t="s">
        <v>88</v>
      </c>
      <c r="R463" s="1">
        <v>225</v>
      </c>
    </row>
    <row r="464" spans="1:18" ht="21" customHeight="1">
      <c r="A464" s="8">
        <v>46268</v>
      </c>
      <c r="B464" s="1" t="s">
        <v>92</v>
      </c>
      <c r="C464" s="39" t="s">
        <v>90</v>
      </c>
      <c r="D464" s="7">
        <v>6600</v>
      </c>
      <c r="E464" s="7">
        <f>'Option source'!B724</f>
        <v>167.73</v>
      </c>
      <c r="F464" s="7">
        <v>7075</v>
      </c>
      <c r="G464" s="14">
        <v>43</v>
      </c>
      <c r="H464" s="7">
        <f t="shared" si="21"/>
        <v>0</v>
      </c>
      <c r="I464" s="7">
        <f t="shared" si="22"/>
        <v>167.73</v>
      </c>
      <c r="J464" s="9">
        <f t="shared" si="23"/>
        <v>0.93286219081272082</v>
      </c>
      <c r="K464" s="9">
        <v>0.45652565367233344</v>
      </c>
      <c r="L464" s="13">
        <v>-0.22740425953082521</v>
      </c>
      <c r="M464" s="13">
        <v>7.3268459289400285</v>
      </c>
      <c r="N464" s="7">
        <f>'Option source'!C724</f>
        <v>285943328</v>
      </c>
      <c r="O464" s="7">
        <f>'Option source'!G724</f>
        <v>111</v>
      </c>
      <c r="P464" s="7">
        <f>'Option source'!F724</f>
        <v>183</v>
      </c>
      <c r="Q464" s="1" t="s">
        <v>88</v>
      </c>
      <c r="R464" s="1">
        <v>719</v>
      </c>
    </row>
    <row r="465" spans="1:18" ht="21" customHeight="1">
      <c r="A465" s="8">
        <v>46268</v>
      </c>
      <c r="B465" s="1" t="s">
        <v>106</v>
      </c>
      <c r="C465" s="39" t="s">
        <v>87</v>
      </c>
      <c r="D465" s="7">
        <v>7600</v>
      </c>
      <c r="E465" s="7">
        <f>'Option source'!B325</f>
        <v>280.92</v>
      </c>
      <c r="F465" s="7">
        <v>7075</v>
      </c>
      <c r="G465" s="14">
        <v>43</v>
      </c>
      <c r="H465" s="7">
        <f t="shared" si="21"/>
        <v>0</v>
      </c>
      <c r="I465" s="7">
        <f t="shared" si="22"/>
        <v>280.92</v>
      </c>
      <c r="J465" s="9">
        <f t="shared" si="23"/>
        <v>1.0742049469964665</v>
      </c>
      <c r="K465" s="9">
        <v>0.40365810031724392</v>
      </c>
      <c r="L465" s="13">
        <v>0.42376023469387852</v>
      </c>
      <c r="M465" s="13">
        <v>9.5103339582517759</v>
      </c>
      <c r="N465" s="7">
        <f>'Option source'!C325</f>
        <v>732142336</v>
      </c>
      <c r="O465" s="7">
        <f>'Option source'!G325</f>
        <v>273</v>
      </c>
      <c r="P465" s="7">
        <f>'Option source'!F325</f>
        <v>383</v>
      </c>
      <c r="Q465" s="1" t="s">
        <v>88</v>
      </c>
      <c r="R465" s="1">
        <v>320</v>
      </c>
    </row>
    <row r="466" spans="1:18" ht="21" customHeight="1">
      <c r="A466" s="8">
        <v>46268</v>
      </c>
      <c r="B466" s="1" t="s">
        <v>107</v>
      </c>
      <c r="C466" s="39" t="s">
        <v>90</v>
      </c>
      <c r="D466" s="7">
        <v>7600</v>
      </c>
      <c r="E466" s="7">
        <f>'Option source'!B819</f>
        <v>650</v>
      </c>
      <c r="F466" s="7">
        <v>7075</v>
      </c>
      <c r="G466" s="14">
        <v>43</v>
      </c>
      <c r="H466" s="7">
        <f t="shared" si="21"/>
        <v>525</v>
      </c>
      <c r="I466" s="7">
        <f t="shared" si="22"/>
        <v>125</v>
      </c>
      <c r="J466" s="9">
        <f t="shared" si="23"/>
        <v>1.0742049469964665</v>
      </c>
      <c r="K466" s="9">
        <v>0.45492931292267325</v>
      </c>
      <c r="L466" s="13">
        <v>-0.56119758683541299</v>
      </c>
      <c r="M466" s="13">
        <v>9.5735723824735892</v>
      </c>
      <c r="N466" s="7">
        <f>'Option source'!C819</f>
        <v>3813652.25</v>
      </c>
      <c r="O466" s="7">
        <f>'Option source'!G819</f>
        <v>550</v>
      </c>
      <c r="P466" s="7">
        <f>'Option source'!F819</f>
        <v>690</v>
      </c>
      <c r="Q466" s="1" t="s">
        <v>88</v>
      </c>
      <c r="R466" s="1">
        <v>814</v>
      </c>
    </row>
    <row r="467" spans="1:18" ht="21" customHeight="1">
      <c r="A467" s="8">
        <v>46268</v>
      </c>
      <c r="B467" s="1" t="s">
        <v>95</v>
      </c>
      <c r="C467" s="39" t="s">
        <v>87</v>
      </c>
      <c r="D467" s="7">
        <v>6400</v>
      </c>
      <c r="E467" s="7">
        <f>'Option source'!B211</f>
        <v>935</v>
      </c>
      <c r="F467" s="7">
        <v>7075</v>
      </c>
      <c r="G467" s="14">
        <v>43</v>
      </c>
      <c r="H467" s="7">
        <f t="shared" si="21"/>
        <v>675</v>
      </c>
      <c r="I467" s="7">
        <f t="shared" si="22"/>
        <v>260</v>
      </c>
      <c r="J467" s="9">
        <f t="shared" si="23"/>
        <v>0.90459363957597172</v>
      </c>
      <c r="K467" s="9"/>
      <c r="L467" s="13"/>
      <c r="M467" s="13"/>
      <c r="N467" s="7">
        <f>'Option source'!C211</f>
        <v>11888418</v>
      </c>
      <c r="O467" s="7">
        <f>'Option source'!G211</f>
        <v>938.46</v>
      </c>
      <c r="P467" s="7">
        <f>'Option source'!F211</f>
        <v>1037.8900000000001</v>
      </c>
      <c r="Q467" s="1" t="s">
        <v>109</v>
      </c>
      <c r="R467" s="1">
        <v>206</v>
      </c>
    </row>
    <row r="468" spans="1:18" ht="21" customHeight="1">
      <c r="A468" s="8">
        <v>46268</v>
      </c>
      <c r="B468" s="1" t="s">
        <v>96</v>
      </c>
      <c r="C468" s="39" t="s">
        <v>90</v>
      </c>
      <c r="D468" s="7">
        <v>6400</v>
      </c>
      <c r="E468" s="7">
        <f>'Option source'!B705</f>
        <v>113.71</v>
      </c>
      <c r="F468" s="7">
        <v>7075</v>
      </c>
      <c r="G468" s="14">
        <v>43</v>
      </c>
      <c r="H468" s="7">
        <f t="shared" si="21"/>
        <v>0</v>
      </c>
      <c r="I468" s="7">
        <f t="shared" si="22"/>
        <v>113.71</v>
      </c>
      <c r="J468" s="9">
        <f t="shared" si="23"/>
        <v>0.90459363957597172</v>
      </c>
      <c r="K468" s="9">
        <v>0.45132176472959851</v>
      </c>
      <c r="L468" s="13">
        <v>-0.17032320687034241</v>
      </c>
      <c r="M468" s="13">
        <v>6.1525513456189529</v>
      </c>
      <c r="N468" s="7">
        <f>'Option source'!C705</f>
        <v>86233792</v>
      </c>
      <c r="O468" s="7">
        <f>'Option source'!G705</f>
        <v>75</v>
      </c>
      <c r="P468" s="7">
        <f>'Option source'!F705</f>
        <v>120</v>
      </c>
      <c r="Q468" s="1" t="s">
        <v>88</v>
      </c>
      <c r="R468" s="1">
        <v>700</v>
      </c>
    </row>
    <row r="469" spans="1:18" ht="21" customHeight="1">
      <c r="A469" s="8">
        <v>46268</v>
      </c>
      <c r="B469" s="1" t="s">
        <v>111</v>
      </c>
      <c r="C469" s="39" t="s">
        <v>87</v>
      </c>
      <c r="D469" s="7">
        <v>7800</v>
      </c>
      <c r="E469" s="7">
        <f>'Option source'!B344</f>
        <v>216.52</v>
      </c>
      <c r="F469" s="7">
        <v>7075</v>
      </c>
      <c r="G469" s="14">
        <v>43</v>
      </c>
      <c r="H469" s="7">
        <f t="shared" si="21"/>
        <v>0</v>
      </c>
      <c r="I469" s="7">
        <f t="shared" si="22"/>
        <v>216.52</v>
      </c>
      <c r="J469" s="9">
        <f t="shared" si="23"/>
        <v>1.1024734982332156</v>
      </c>
      <c r="K469" s="9">
        <v>0.40410113565136452</v>
      </c>
      <c r="L469" s="13">
        <v>0.35227046020219221</v>
      </c>
      <c r="M469" s="13">
        <v>9.015721309051056</v>
      </c>
      <c r="N469" s="7">
        <f>'Option source'!C344</f>
        <v>219590544</v>
      </c>
      <c r="O469" s="7">
        <f>'Option source'!G344</f>
        <v>208.01</v>
      </c>
      <c r="P469" s="7">
        <f>'Option source'!F344</f>
        <v>309</v>
      </c>
      <c r="Q469" s="1" t="s">
        <v>88</v>
      </c>
      <c r="R469" s="1">
        <v>339</v>
      </c>
    </row>
    <row r="470" spans="1:18" ht="21" customHeight="1">
      <c r="A470" s="8">
        <v>46268</v>
      </c>
      <c r="B470" s="1" t="s">
        <v>112</v>
      </c>
      <c r="C470" s="39" t="s">
        <v>90</v>
      </c>
      <c r="D470" s="7">
        <v>7800</v>
      </c>
      <c r="E470" s="7">
        <f>'Option source'!B838</f>
        <v>898.99</v>
      </c>
      <c r="F470" s="7">
        <v>7075</v>
      </c>
      <c r="G470" s="14">
        <v>43</v>
      </c>
      <c r="H470" s="7">
        <f t="shared" si="21"/>
        <v>725</v>
      </c>
      <c r="I470" s="7">
        <f t="shared" si="22"/>
        <v>173.99</v>
      </c>
      <c r="J470" s="9">
        <f t="shared" si="23"/>
        <v>1.1024734982332156</v>
      </c>
      <c r="K470" s="9"/>
      <c r="L470" s="13"/>
      <c r="M470" s="13"/>
      <c r="N470" s="7">
        <f>'Option source'!C838</f>
        <v>392399</v>
      </c>
      <c r="O470" s="7">
        <f>'Option source'!G838</f>
        <v>605</v>
      </c>
      <c r="P470" s="7">
        <f>'Option source'!F838</f>
        <v>605</v>
      </c>
      <c r="Q470" s="1" t="s">
        <v>109</v>
      </c>
      <c r="R470" s="1">
        <v>833</v>
      </c>
    </row>
    <row r="471" spans="1:18" ht="21" customHeight="1">
      <c r="A471" s="8">
        <v>46268</v>
      </c>
      <c r="B471" s="1" t="s">
        <v>99</v>
      </c>
      <c r="C471" s="39" t="s">
        <v>87</v>
      </c>
      <c r="D471" s="7">
        <v>6200</v>
      </c>
      <c r="E471" s="7">
        <f>'Option source'!B192</f>
        <v>1100</v>
      </c>
      <c r="F471" s="7">
        <v>7075</v>
      </c>
      <c r="G471" s="14">
        <v>43</v>
      </c>
      <c r="H471" s="7">
        <f t="shared" si="21"/>
        <v>875</v>
      </c>
      <c r="I471" s="7">
        <f t="shared" si="22"/>
        <v>225</v>
      </c>
      <c r="J471" s="9">
        <f t="shared" si="23"/>
        <v>0.87632508833922262</v>
      </c>
      <c r="K471" s="9">
        <v>0.27677914158580685</v>
      </c>
      <c r="L471" s="13">
        <v>0.96479006104564657</v>
      </c>
      <c r="M471" s="13">
        <v>1.8856307276530344</v>
      </c>
      <c r="N471" s="7">
        <f>'Option source'!C192</f>
        <v>7780003.5</v>
      </c>
      <c r="O471" s="7">
        <f>'Option source'!G192</f>
        <v>1090</v>
      </c>
      <c r="P471" s="7">
        <f>'Option source'!F192</f>
        <v>1171.93</v>
      </c>
      <c r="Q471" s="1" t="s">
        <v>88</v>
      </c>
      <c r="R471" s="1">
        <v>187</v>
      </c>
    </row>
    <row r="472" spans="1:18" ht="21" customHeight="1">
      <c r="A472" s="8">
        <v>46268</v>
      </c>
      <c r="B472" s="1" t="s">
        <v>101</v>
      </c>
      <c r="C472" s="39" t="s">
        <v>90</v>
      </c>
      <c r="D472" s="7">
        <v>6200</v>
      </c>
      <c r="E472" s="7">
        <f>'Option source'!B686</f>
        <v>73.430000000000007</v>
      </c>
      <c r="F472" s="7">
        <v>7075</v>
      </c>
      <c r="G472" s="14">
        <v>43</v>
      </c>
      <c r="H472" s="7">
        <f t="shared" si="21"/>
        <v>0</v>
      </c>
      <c r="I472" s="7">
        <f t="shared" si="22"/>
        <v>73.430000000000007</v>
      </c>
      <c r="J472" s="9">
        <f t="shared" si="23"/>
        <v>0.87632508833922262</v>
      </c>
      <c r="K472" s="9">
        <v>0.447703810227983</v>
      </c>
      <c r="L472" s="13">
        <v>-0.12181722829282848</v>
      </c>
      <c r="M472" s="13">
        <v>4.9093673872439298</v>
      </c>
      <c r="N472" s="7">
        <f>'Option source'!C686</f>
        <v>26117368</v>
      </c>
      <c r="O472" s="7">
        <f>'Option source'!G686</f>
        <v>50</v>
      </c>
      <c r="P472" s="7">
        <f>'Option source'!F686</f>
        <v>78.900000000000006</v>
      </c>
      <c r="Q472" s="1" t="s">
        <v>88</v>
      </c>
      <c r="R472" s="1">
        <v>681</v>
      </c>
    </row>
    <row r="473" spans="1:18" ht="21" customHeight="1">
      <c r="A473" s="8">
        <v>46268</v>
      </c>
      <c r="B473" s="1" t="s">
        <v>116</v>
      </c>
      <c r="C473" s="39" t="s">
        <v>87</v>
      </c>
      <c r="D473" s="7">
        <v>8000</v>
      </c>
      <c r="E473" s="7">
        <f>'Option source'!B363</f>
        <v>167.84</v>
      </c>
      <c r="F473" s="7">
        <v>7075</v>
      </c>
      <c r="G473" s="14">
        <v>43</v>
      </c>
      <c r="H473" s="7">
        <f t="shared" si="21"/>
        <v>0</v>
      </c>
      <c r="I473" s="7">
        <f t="shared" si="22"/>
        <v>167.84</v>
      </c>
      <c r="J473" s="9">
        <f t="shared" si="23"/>
        <v>1.1307420494699647</v>
      </c>
      <c r="K473" s="9">
        <v>0.40857227725821854</v>
      </c>
      <c r="L473" s="13">
        <v>0.28976879505654229</v>
      </c>
      <c r="M473" s="13">
        <v>8.3092885016505935</v>
      </c>
      <c r="N473" s="7">
        <f>'Option source'!C363</f>
        <v>622913472</v>
      </c>
      <c r="O473" s="7">
        <f>'Option source'!G363</f>
        <v>160</v>
      </c>
      <c r="P473" s="7">
        <f>'Option source'!F363</f>
        <v>238</v>
      </c>
      <c r="Q473" s="1" t="s">
        <v>88</v>
      </c>
      <c r="R473" s="1">
        <v>358</v>
      </c>
    </row>
    <row r="474" spans="1:18" ht="21" customHeight="1">
      <c r="A474" s="8">
        <v>46268</v>
      </c>
      <c r="B474" s="1" t="s">
        <v>117</v>
      </c>
      <c r="C474" s="39" t="s">
        <v>90</v>
      </c>
      <c r="D474" s="7">
        <v>8000</v>
      </c>
      <c r="E474" s="7">
        <f>'Option source'!B857</f>
        <v>1000</v>
      </c>
      <c r="F474" s="7">
        <v>7075</v>
      </c>
      <c r="G474" s="14">
        <v>43</v>
      </c>
      <c r="H474" s="7">
        <f t="shared" si="21"/>
        <v>925</v>
      </c>
      <c r="I474" s="7">
        <f t="shared" si="22"/>
        <v>75</v>
      </c>
      <c r="J474" s="9">
        <f t="shared" si="23"/>
        <v>1.1307420494699647</v>
      </c>
      <c r="K474" s="9">
        <v>0.52356059168590507</v>
      </c>
      <c r="L474" s="13">
        <v>-0.65440468937670637</v>
      </c>
      <c r="M474" s="13">
        <v>8.9527938662779203</v>
      </c>
      <c r="N474" s="7">
        <f>'Option source'!C857</f>
        <v>298999.90999999997</v>
      </c>
      <c r="O474" s="7">
        <f>'Option source'!G857</f>
        <v>990</v>
      </c>
      <c r="P474" s="7">
        <f>'Option source'!F857</f>
        <v>1000</v>
      </c>
      <c r="Q474" s="1" t="s">
        <v>88</v>
      </c>
      <c r="R474" s="1">
        <v>852</v>
      </c>
    </row>
    <row r="475" spans="1:18" ht="21" customHeight="1">
      <c r="A475" s="8">
        <v>46268</v>
      </c>
      <c r="B475" s="1" t="s">
        <v>104</v>
      </c>
      <c r="C475" s="39" t="s">
        <v>87</v>
      </c>
      <c r="D475" s="7">
        <v>6000</v>
      </c>
      <c r="E475" s="7">
        <f>'Option source'!B173</f>
        <v>1215.5899999999999</v>
      </c>
      <c r="F475" s="7">
        <v>7075</v>
      </c>
      <c r="G475" s="14">
        <v>43</v>
      </c>
      <c r="H475" s="7">
        <f t="shared" si="21"/>
        <v>1075</v>
      </c>
      <c r="I475" s="7">
        <f t="shared" si="22"/>
        <v>140.58999999999992</v>
      </c>
      <c r="J475" s="9">
        <f t="shared" si="23"/>
        <v>0.84805653710247353</v>
      </c>
      <c r="K475" s="9"/>
      <c r="L475" s="13"/>
      <c r="M475" s="13"/>
      <c r="N475" s="7">
        <f>'Option source'!C173</f>
        <v>16902164</v>
      </c>
      <c r="O475" s="7">
        <f>'Option source'!G173</f>
        <v>1250</v>
      </c>
      <c r="P475" s="7">
        <f>'Option source'!F173</f>
        <v>1407.04</v>
      </c>
      <c r="Q475" s="1" t="s">
        <v>109</v>
      </c>
      <c r="R475" s="1">
        <v>168</v>
      </c>
    </row>
    <row r="476" spans="1:18" ht="21" customHeight="1">
      <c r="A476" s="8">
        <v>46268</v>
      </c>
      <c r="B476" s="1" t="s">
        <v>105</v>
      </c>
      <c r="C476" s="39" t="s">
        <v>90</v>
      </c>
      <c r="D476" s="7">
        <v>6000</v>
      </c>
      <c r="E476" s="7">
        <f>'Option source'!B667</f>
        <v>45.1</v>
      </c>
      <c r="F476" s="7">
        <v>7075</v>
      </c>
      <c r="G476" s="14">
        <v>43</v>
      </c>
      <c r="H476" s="7">
        <f t="shared" si="21"/>
        <v>0</v>
      </c>
      <c r="I476" s="7">
        <f t="shared" si="22"/>
        <v>45.1</v>
      </c>
      <c r="J476" s="9">
        <f t="shared" si="23"/>
        <v>0.84805653710247353</v>
      </c>
      <c r="K476" s="9">
        <v>0.44366484196385036</v>
      </c>
      <c r="L476" s="13">
        <v>-8.2188824221200329E-2</v>
      </c>
      <c r="M476" s="13">
        <v>3.6844555815198787</v>
      </c>
      <c r="N476" s="7">
        <f>'Option source'!C667</f>
        <v>40749460</v>
      </c>
      <c r="O476" s="7">
        <f>'Option source'!G667</f>
        <v>29</v>
      </c>
      <c r="P476" s="7">
        <f>'Option source'!F667</f>
        <v>49.56</v>
      </c>
      <c r="Q476" s="1" t="s">
        <v>88</v>
      </c>
      <c r="R476" s="1">
        <v>662</v>
      </c>
    </row>
    <row r="477" spans="1:18" ht="21" customHeight="1">
      <c r="A477" s="8">
        <v>46268</v>
      </c>
      <c r="B477" s="1" t="s">
        <v>121</v>
      </c>
      <c r="C477" s="39" t="s">
        <v>87</v>
      </c>
      <c r="D477" s="7">
        <v>8300</v>
      </c>
      <c r="E477" s="7">
        <f>'Option source'!B382</f>
        <v>112.69</v>
      </c>
      <c r="F477" s="7">
        <v>7075</v>
      </c>
      <c r="G477" s="14">
        <v>43</v>
      </c>
      <c r="H477" s="7">
        <f t="shared" si="21"/>
        <v>0</v>
      </c>
      <c r="I477" s="7">
        <f t="shared" si="22"/>
        <v>112.69</v>
      </c>
      <c r="J477" s="9">
        <f t="shared" si="23"/>
        <v>1.1731448763250882</v>
      </c>
      <c r="K477" s="9">
        <v>0.41459773449561266</v>
      </c>
      <c r="L477" s="13">
        <v>0.21108685416943629</v>
      </c>
      <c r="M477" s="13">
        <v>7.0198174954266301</v>
      </c>
      <c r="N477" s="7">
        <f>'Option source'!C382</f>
        <v>159556480</v>
      </c>
      <c r="O477" s="7">
        <f>'Option source'!G382</f>
        <v>107</v>
      </c>
      <c r="P477" s="7">
        <f>'Option source'!F382</f>
        <v>168</v>
      </c>
      <c r="Q477" s="1" t="s">
        <v>88</v>
      </c>
      <c r="R477" s="1">
        <v>377</v>
      </c>
    </row>
    <row r="478" spans="1:18" ht="21" customHeight="1">
      <c r="A478" s="8">
        <v>46268</v>
      </c>
      <c r="B478" s="1" t="s">
        <v>122</v>
      </c>
      <c r="C478" s="39" t="s">
        <v>90</v>
      </c>
      <c r="D478" s="7">
        <v>8300</v>
      </c>
      <c r="E478" s="7">
        <f>'Option source'!B876</f>
        <v>1270</v>
      </c>
      <c r="F478" s="7">
        <v>7075</v>
      </c>
      <c r="G478" s="14">
        <v>43</v>
      </c>
      <c r="H478" s="7">
        <f t="shared" si="21"/>
        <v>1225</v>
      </c>
      <c r="I478" s="7">
        <f t="shared" si="22"/>
        <v>45</v>
      </c>
      <c r="J478" s="9">
        <f t="shared" si="23"/>
        <v>1.1731448763250882</v>
      </c>
      <c r="K478" s="9"/>
      <c r="L478" s="13"/>
      <c r="M478" s="13"/>
      <c r="N478" s="7">
        <f>'Option source'!C876</f>
        <v>373000</v>
      </c>
      <c r="O478" s="7">
        <f>'Option source'!G876</f>
        <v>1190</v>
      </c>
      <c r="P478" s="7">
        <f>'Option source'!F876</f>
        <v>1190</v>
      </c>
      <c r="Q478" s="1" t="s">
        <v>109</v>
      </c>
      <c r="R478" s="1">
        <v>871</v>
      </c>
    </row>
    <row r="479" spans="1:18" ht="21" customHeight="1">
      <c r="A479" s="8">
        <v>46268</v>
      </c>
      <c r="B479" s="1" t="s">
        <v>108</v>
      </c>
      <c r="C479" s="39" t="s">
        <v>87</v>
      </c>
      <c r="D479" s="7">
        <v>5800</v>
      </c>
      <c r="E479" s="7">
        <f>'Option source'!B154</f>
        <v>1490</v>
      </c>
      <c r="F479" s="7">
        <v>7075</v>
      </c>
      <c r="G479" s="14">
        <v>43</v>
      </c>
      <c r="H479" s="7">
        <f t="shared" si="21"/>
        <v>1275</v>
      </c>
      <c r="I479" s="7">
        <f t="shared" si="22"/>
        <v>215</v>
      </c>
      <c r="J479" s="9">
        <f t="shared" si="23"/>
        <v>0.81978798586572443</v>
      </c>
      <c r="K479" s="9">
        <v>0.38967508122339112</v>
      </c>
      <c r="L479" s="13">
        <v>0.96537685285138775</v>
      </c>
      <c r="M479" s="13">
        <v>1.859796518713704</v>
      </c>
      <c r="N479" s="7">
        <f>'Option source'!C154</f>
        <v>14665750</v>
      </c>
      <c r="O479" s="7">
        <f>'Option source'!G154</f>
        <v>1413</v>
      </c>
      <c r="P479" s="7">
        <f>'Option source'!F154</f>
        <v>1518</v>
      </c>
      <c r="Q479" s="1" t="s">
        <v>88</v>
      </c>
      <c r="R479" s="1">
        <v>149</v>
      </c>
    </row>
    <row r="480" spans="1:18" ht="21" customHeight="1">
      <c r="A480" s="8">
        <v>46268</v>
      </c>
      <c r="B480" s="1" t="s">
        <v>110</v>
      </c>
      <c r="C480" s="39" t="s">
        <v>90</v>
      </c>
      <c r="D480" s="7">
        <v>5800</v>
      </c>
      <c r="E480" s="7">
        <f>'Option source'!B648</f>
        <v>26.51</v>
      </c>
      <c r="F480" s="7">
        <v>7075</v>
      </c>
      <c r="G480" s="14">
        <v>43</v>
      </c>
      <c r="H480" s="7">
        <f t="shared" si="21"/>
        <v>0</v>
      </c>
      <c r="I480" s="7">
        <f t="shared" si="22"/>
        <v>26.51</v>
      </c>
      <c r="J480" s="9">
        <f t="shared" si="23"/>
        <v>0.81978798586572443</v>
      </c>
      <c r="K480" s="9">
        <v>0.44244332361431038</v>
      </c>
      <c r="L480" s="13">
        <v>-5.2922047745800782E-2</v>
      </c>
      <c r="M480" s="13">
        <v>2.6202369549331053</v>
      </c>
      <c r="N480" s="7">
        <f>'Option source'!C648</f>
        <v>10195735</v>
      </c>
      <c r="O480" s="7">
        <f>'Option source'!G648</f>
        <v>16.09</v>
      </c>
      <c r="P480" s="7">
        <f>'Option source'!F648</f>
        <v>29.72</v>
      </c>
      <c r="Q480" s="1" t="s">
        <v>88</v>
      </c>
      <c r="R480" s="1">
        <v>643</v>
      </c>
    </row>
    <row r="481" spans="1:18" ht="21" customHeight="1">
      <c r="A481" s="8">
        <v>46268</v>
      </c>
      <c r="B481" s="1" t="s">
        <v>114</v>
      </c>
      <c r="C481" s="39" t="s">
        <v>87</v>
      </c>
      <c r="D481" s="7">
        <v>5600</v>
      </c>
      <c r="E481" s="7">
        <f>'Option source'!B144</f>
        <v>1600</v>
      </c>
      <c r="F481" s="7">
        <v>7075</v>
      </c>
      <c r="G481" s="14">
        <v>43</v>
      </c>
      <c r="H481" s="7">
        <f t="shared" si="21"/>
        <v>1475</v>
      </c>
      <c r="I481" s="7">
        <f t="shared" si="22"/>
        <v>125</v>
      </c>
      <c r="J481" s="9">
        <f t="shared" si="23"/>
        <v>0.79151943462897523</v>
      </c>
      <c r="K481" s="9"/>
      <c r="L481" s="13"/>
      <c r="M481" s="13"/>
      <c r="N481" s="7">
        <f>'Option source'!C144</f>
        <v>17176826</v>
      </c>
      <c r="O481" s="7">
        <f>'Option source'!G144</f>
        <v>1600</v>
      </c>
      <c r="P481" s="7">
        <f>'Option source'!F144</f>
        <v>1770.93</v>
      </c>
      <c r="Q481" s="1" t="s">
        <v>100</v>
      </c>
      <c r="R481" s="1">
        <v>139</v>
      </c>
    </row>
    <row r="482" spans="1:18" ht="21" customHeight="1">
      <c r="A482" s="8">
        <v>46268</v>
      </c>
      <c r="B482" s="1" t="s">
        <v>115</v>
      </c>
      <c r="C482" s="39" t="s">
        <v>90</v>
      </c>
      <c r="D482" s="7">
        <v>5600</v>
      </c>
      <c r="E482" s="7">
        <f>'Option source'!B629</f>
        <v>15.36</v>
      </c>
      <c r="F482" s="7">
        <v>7075</v>
      </c>
      <c r="G482" s="14">
        <v>43</v>
      </c>
      <c r="H482" s="7">
        <f t="shared" si="21"/>
        <v>0</v>
      </c>
      <c r="I482" s="7">
        <f t="shared" si="22"/>
        <v>15.36</v>
      </c>
      <c r="J482" s="9">
        <f t="shared" si="23"/>
        <v>0.79151943462897523</v>
      </c>
      <c r="K482" s="9">
        <v>0.44509783435826655</v>
      </c>
      <c r="L482" s="13">
        <v>-3.3022374956942047E-2</v>
      </c>
      <c r="M482" s="13">
        <v>1.7887608752377593</v>
      </c>
      <c r="N482" s="7">
        <f>'Option source'!C629</f>
        <v>3934292</v>
      </c>
      <c r="O482" s="7">
        <f>'Option source'!G629</f>
        <v>10</v>
      </c>
      <c r="P482" s="7">
        <f>'Option source'!F629</f>
        <v>17.989999999999998</v>
      </c>
      <c r="Q482" s="1" t="s">
        <v>88</v>
      </c>
      <c r="R482" s="1">
        <v>624</v>
      </c>
    </row>
    <row r="483" spans="1:18" ht="21" customHeight="1">
      <c r="A483" s="8">
        <v>46268</v>
      </c>
      <c r="B483" s="1" t="s">
        <v>127</v>
      </c>
      <c r="C483" s="39" t="s">
        <v>87</v>
      </c>
      <c r="D483" s="7">
        <v>8600</v>
      </c>
      <c r="E483" s="7">
        <f>'Option source'!B401</f>
        <v>70.599999999999994</v>
      </c>
      <c r="F483" s="7">
        <v>7075</v>
      </c>
      <c r="G483" s="14">
        <v>43</v>
      </c>
      <c r="H483" s="7">
        <f t="shared" si="21"/>
        <v>0</v>
      </c>
      <c r="I483" s="7">
        <f t="shared" si="22"/>
        <v>70.599999999999994</v>
      </c>
      <c r="J483" s="9">
        <f t="shared" si="23"/>
        <v>1.215547703180212</v>
      </c>
      <c r="K483" s="9">
        <v>0.41328693950443629</v>
      </c>
      <c r="L483" s="13">
        <v>0.14549374271505019</v>
      </c>
      <c r="M483" s="13">
        <v>5.5474697573133289</v>
      </c>
      <c r="N483" s="7">
        <f>'Option source'!C401</f>
        <v>141235936</v>
      </c>
      <c r="O483" s="7">
        <f>'Option source'!G401</f>
        <v>66</v>
      </c>
      <c r="P483" s="7">
        <f>'Option source'!F401</f>
        <v>115</v>
      </c>
      <c r="Q483" s="1" t="s">
        <v>88</v>
      </c>
      <c r="R483" s="1">
        <v>396</v>
      </c>
    </row>
    <row r="484" spans="1:18" ht="21" customHeight="1">
      <c r="A484" s="8">
        <v>46268</v>
      </c>
      <c r="B484" s="1" t="s">
        <v>128</v>
      </c>
      <c r="C484" s="39" t="s">
        <v>90</v>
      </c>
      <c r="D484" s="7">
        <v>8600</v>
      </c>
      <c r="E484" s="7">
        <f>'Option source'!B895</f>
        <v>1555.11</v>
      </c>
      <c r="F484" s="7">
        <v>7075</v>
      </c>
      <c r="G484" s="14">
        <v>43</v>
      </c>
      <c r="H484" s="7">
        <f t="shared" si="21"/>
        <v>1525</v>
      </c>
      <c r="I484" s="7">
        <f t="shared" si="22"/>
        <v>30.1099999999999</v>
      </c>
      <c r="J484" s="9">
        <f t="shared" si="23"/>
        <v>1.215547703180212</v>
      </c>
      <c r="K484" s="9"/>
      <c r="L484" s="13"/>
      <c r="M484" s="13"/>
      <c r="N484" s="7">
        <f>'Option source'!C895</f>
        <v>0</v>
      </c>
      <c r="O484" s="7">
        <f>'Option source'!G895</f>
        <v>1555.11</v>
      </c>
      <c r="P484" s="7">
        <f>'Option source'!F895</f>
        <v>1555.11</v>
      </c>
      <c r="Q484" s="1" t="s">
        <v>25</v>
      </c>
      <c r="R484" s="1">
        <v>890</v>
      </c>
    </row>
    <row r="485" spans="1:18" ht="21" customHeight="1">
      <c r="A485" s="8">
        <v>46268</v>
      </c>
      <c r="B485" s="1" t="s">
        <v>119</v>
      </c>
      <c r="C485" s="39" t="s">
        <v>87</v>
      </c>
      <c r="D485" s="7">
        <v>5400</v>
      </c>
      <c r="E485" s="7">
        <f>'Option source'!B126</f>
        <v>1829.26</v>
      </c>
      <c r="F485" s="7">
        <v>7075</v>
      </c>
      <c r="G485" s="14">
        <v>43</v>
      </c>
      <c r="H485" s="7">
        <f t="shared" si="21"/>
        <v>1675</v>
      </c>
      <c r="I485" s="7">
        <f t="shared" si="22"/>
        <v>154.26</v>
      </c>
      <c r="J485" s="9">
        <f t="shared" si="23"/>
        <v>0.76325088339222613</v>
      </c>
      <c r="K485" s="9"/>
      <c r="L485" s="13"/>
      <c r="M485" s="13"/>
      <c r="N485" s="7">
        <f>'Option source'!C126</f>
        <v>24560736</v>
      </c>
      <c r="O485" s="7">
        <f>'Option source'!G126</f>
        <v>1788</v>
      </c>
      <c r="P485" s="7">
        <f>'Option source'!F126</f>
        <v>1911.9</v>
      </c>
      <c r="Q485" s="1" t="s">
        <v>100</v>
      </c>
      <c r="R485" s="1">
        <v>121</v>
      </c>
    </row>
    <row r="486" spans="1:18" ht="21" customHeight="1">
      <c r="A486" s="8">
        <v>46268</v>
      </c>
      <c r="B486" s="1" t="s">
        <v>120</v>
      </c>
      <c r="C486" s="39" t="s">
        <v>90</v>
      </c>
      <c r="D486" s="7">
        <v>5400</v>
      </c>
      <c r="E486" s="7">
        <f>'Option source'!B610</f>
        <v>8.7799999999999994</v>
      </c>
      <c r="F486" s="7">
        <v>7075</v>
      </c>
      <c r="G486" s="14">
        <v>43</v>
      </c>
      <c r="H486" s="7">
        <f t="shared" si="21"/>
        <v>0</v>
      </c>
      <c r="I486" s="7">
        <f t="shared" si="22"/>
        <v>8.7799999999999994</v>
      </c>
      <c r="J486" s="9">
        <f t="shared" si="23"/>
        <v>0.76325088339222613</v>
      </c>
      <c r="K486" s="9">
        <v>0.45054855461582588</v>
      </c>
      <c r="L486" s="13">
        <v>-2.004046177904617E-2</v>
      </c>
      <c r="M486" s="13">
        <v>1.1777873317099066</v>
      </c>
      <c r="N486" s="7">
        <f>'Option source'!C610</f>
        <v>642421.88</v>
      </c>
      <c r="O486" s="7">
        <f>'Option source'!G610</f>
        <v>5</v>
      </c>
      <c r="P486" s="7">
        <f>'Option source'!F610</f>
        <v>9.99</v>
      </c>
      <c r="Q486" s="1" t="s">
        <v>88</v>
      </c>
      <c r="R486" s="1">
        <v>605</v>
      </c>
    </row>
    <row r="487" spans="1:18" ht="21" customHeight="1">
      <c r="A487" s="8">
        <v>46268</v>
      </c>
      <c r="B487" s="1" t="s">
        <v>132</v>
      </c>
      <c r="C487" s="39" t="s">
        <v>87</v>
      </c>
      <c r="D487" s="7">
        <v>8900</v>
      </c>
      <c r="E487" s="7">
        <f>'Option source'!B420</f>
        <v>41.9</v>
      </c>
      <c r="F487" s="7">
        <v>7075</v>
      </c>
      <c r="G487" s="14">
        <v>43</v>
      </c>
      <c r="H487" s="7">
        <f t="shared" si="21"/>
        <v>0</v>
      </c>
      <c r="I487" s="7">
        <f t="shared" si="22"/>
        <v>41.9</v>
      </c>
      <c r="J487" s="9">
        <f t="shared" si="23"/>
        <v>1.2579505300353357</v>
      </c>
      <c r="K487" s="9">
        <v>0.40975645751232415</v>
      </c>
      <c r="L487" s="13">
        <v>9.508476848620441E-2</v>
      </c>
      <c r="M487" s="13">
        <v>4.1070850282335103</v>
      </c>
      <c r="N487" s="7">
        <f>'Option source'!C420</f>
        <v>35978904</v>
      </c>
      <c r="O487" s="7">
        <f>'Option source'!G420</f>
        <v>41</v>
      </c>
      <c r="P487" s="7">
        <f>'Option source'!F420</f>
        <v>74</v>
      </c>
      <c r="Q487" s="1" t="s">
        <v>88</v>
      </c>
      <c r="R487" s="1">
        <v>415</v>
      </c>
    </row>
    <row r="488" spans="1:18" ht="21" customHeight="1">
      <c r="A488" s="8">
        <v>46268</v>
      </c>
      <c r="B488" s="1" t="s">
        <v>133</v>
      </c>
      <c r="C488" s="39" t="s">
        <v>90</v>
      </c>
      <c r="D488" s="7">
        <v>8900</v>
      </c>
      <c r="E488" s="7">
        <f>'Option source'!B910</f>
        <v>2022.5</v>
      </c>
      <c r="F488" s="7">
        <v>7075</v>
      </c>
      <c r="G488" s="14">
        <v>43</v>
      </c>
      <c r="H488" s="7">
        <f t="shared" si="21"/>
        <v>1825</v>
      </c>
      <c r="I488" s="7">
        <f t="shared" si="22"/>
        <v>197.5</v>
      </c>
      <c r="J488" s="9">
        <f t="shared" si="23"/>
        <v>1.2579505300353357</v>
      </c>
      <c r="K488" s="9"/>
      <c r="L488" s="13"/>
      <c r="M488" s="13"/>
      <c r="N488" s="7">
        <f>'Option source'!C910</f>
        <v>0</v>
      </c>
      <c r="O488" s="7">
        <f>'Option source'!G910</f>
        <v>2022.5</v>
      </c>
      <c r="P488" s="7">
        <f>'Option source'!F910</f>
        <v>2037.67</v>
      </c>
      <c r="Q488" s="1" t="s">
        <v>25</v>
      </c>
      <c r="R488" s="1">
        <v>905</v>
      </c>
    </row>
    <row r="489" spans="1:18" ht="21" customHeight="1">
      <c r="A489" s="8">
        <v>46268</v>
      </c>
      <c r="B489" s="1" t="s">
        <v>123</v>
      </c>
      <c r="C489" s="39" t="s">
        <v>87</v>
      </c>
      <c r="D489" s="7">
        <v>5200</v>
      </c>
      <c r="E489" s="7">
        <f>'Option source'!B107</f>
        <v>2076.9299999999998</v>
      </c>
      <c r="F489" s="7">
        <v>7075</v>
      </c>
      <c r="G489" s="14">
        <v>43</v>
      </c>
      <c r="H489" s="7">
        <f t="shared" si="21"/>
        <v>1875</v>
      </c>
      <c r="I489" s="7">
        <f t="shared" si="22"/>
        <v>201.92999999999984</v>
      </c>
      <c r="J489" s="9">
        <f t="shared" si="23"/>
        <v>0.73498233215547704</v>
      </c>
      <c r="K489" s="9">
        <v>0.58531182185932884</v>
      </c>
      <c r="L489" s="13">
        <v>0.96477727946870884</v>
      </c>
      <c r="M489" s="13">
        <v>1.8861922481254336</v>
      </c>
      <c r="N489" s="7">
        <f>'Option source'!C107</f>
        <v>2062511.75</v>
      </c>
      <c r="O489" s="7">
        <f>'Option source'!G107</f>
        <v>2027.11</v>
      </c>
      <c r="P489" s="7">
        <f>'Option source'!F107</f>
        <v>2102.98</v>
      </c>
      <c r="Q489" s="1" t="s">
        <v>88</v>
      </c>
      <c r="R489" s="1">
        <v>102</v>
      </c>
    </row>
    <row r="490" spans="1:18" ht="21" customHeight="1">
      <c r="A490" s="8">
        <v>46268</v>
      </c>
      <c r="B490" s="1" t="s">
        <v>124</v>
      </c>
      <c r="C490" s="39" t="s">
        <v>90</v>
      </c>
      <c r="D490" s="7">
        <v>5200</v>
      </c>
      <c r="E490" s="7">
        <f>'Option source'!B591</f>
        <v>4.9800000000000004</v>
      </c>
      <c r="F490" s="7">
        <v>7075</v>
      </c>
      <c r="G490" s="14">
        <v>43</v>
      </c>
      <c r="H490" s="7">
        <f t="shared" si="21"/>
        <v>0</v>
      </c>
      <c r="I490" s="7">
        <f t="shared" si="22"/>
        <v>4.9800000000000004</v>
      </c>
      <c r="J490" s="9">
        <f t="shared" si="23"/>
        <v>0.73498233215547704</v>
      </c>
      <c r="K490" s="9">
        <v>0.45894178648347028</v>
      </c>
      <c r="L490" s="13">
        <v>-1.1978765099690092E-2</v>
      </c>
      <c r="M490" s="13">
        <v>0.75730682376645253</v>
      </c>
      <c r="N490" s="7">
        <f>'Option source'!C591</f>
        <v>1265817.75</v>
      </c>
      <c r="O490" s="7">
        <f>'Option source'!G591</f>
        <v>4</v>
      </c>
      <c r="P490" s="7">
        <f>'Option source'!F591</f>
        <v>7</v>
      </c>
      <c r="Q490" s="1" t="s">
        <v>88</v>
      </c>
      <c r="R490" s="1">
        <v>586</v>
      </c>
    </row>
    <row r="491" spans="1:18" ht="21" customHeight="1">
      <c r="A491" s="8">
        <v>46268</v>
      </c>
      <c r="B491" s="1" t="s">
        <v>125</v>
      </c>
      <c r="C491" s="39" t="s">
        <v>87</v>
      </c>
      <c r="D491" s="7">
        <v>5000</v>
      </c>
      <c r="E491" s="7">
        <f>'Option source'!B88</f>
        <v>2221.63</v>
      </c>
      <c r="F491" s="7">
        <v>7075</v>
      </c>
      <c r="G491" s="14">
        <v>43</v>
      </c>
      <c r="H491" s="7">
        <f t="shared" si="21"/>
        <v>2075</v>
      </c>
      <c r="I491" s="7">
        <f t="shared" si="22"/>
        <v>146.63000000000011</v>
      </c>
      <c r="J491" s="9">
        <f t="shared" si="23"/>
        <v>0.70671378091872794</v>
      </c>
      <c r="K491" s="9"/>
      <c r="L491" s="13"/>
      <c r="M491" s="13"/>
      <c r="N491" s="7">
        <f>'Option source'!C88</f>
        <v>681513.19</v>
      </c>
      <c r="O491" s="7">
        <f>'Option source'!G88</f>
        <v>2296.75</v>
      </c>
      <c r="P491" s="7">
        <f>'Option source'!F88</f>
        <v>2296.75</v>
      </c>
      <c r="Q491" s="1" t="s">
        <v>109</v>
      </c>
      <c r="R491" s="1">
        <v>83</v>
      </c>
    </row>
    <row r="492" spans="1:18" ht="21" customHeight="1">
      <c r="A492" s="8">
        <v>46268</v>
      </c>
      <c r="B492" s="1" t="s">
        <v>126</v>
      </c>
      <c r="C492" s="39" t="s">
        <v>90</v>
      </c>
      <c r="D492" s="7">
        <v>5000</v>
      </c>
      <c r="E492" s="7">
        <f>'Option source'!B572</f>
        <v>2.37</v>
      </c>
      <c r="F492" s="7">
        <v>7075</v>
      </c>
      <c r="G492" s="14">
        <v>43</v>
      </c>
      <c r="H492" s="7">
        <f t="shared" si="21"/>
        <v>0</v>
      </c>
      <c r="I492" s="7">
        <f t="shared" si="22"/>
        <v>2.37</v>
      </c>
      <c r="J492" s="9">
        <f t="shared" si="23"/>
        <v>0.70671378091872794</v>
      </c>
      <c r="K492" s="9">
        <v>0.45937345764508253</v>
      </c>
      <c r="L492" s="13">
        <v>-6.129751417783047E-3</v>
      </c>
      <c r="M492" s="13">
        <v>0.42079543665308639</v>
      </c>
      <c r="N492" s="7">
        <f>'Option source'!C572</f>
        <v>734486.12</v>
      </c>
      <c r="O492" s="7">
        <f>'Option source'!G572</f>
        <v>1.1000000000000001</v>
      </c>
      <c r="P492" s="7">
        <f>'Option source'!F572</f>
        <v>4</v>
      </c>
      <c r="Q492" s="1" t="s">
        <v>88</v>
      </c>
      <c r="R492" s="1">
        <v>567</v>
      </c>
    </row>
    <row r="493" spans="1:18" ht="21" customHeight="1">
      <c r="A493" s="8">
        <v>46268</v>
      </c>
      <c r="B493" s="1" t="s">
        <v>138</v>
      </c>
      <c r="C493" s="39" t="s">
        <v>87</v>
      </c>
      <c r="D493" s="7">
        <v>9200</v>
      </c>
      <c r="E493" s="7">
        <f>'Option source'!B439</f>
        <v>26.71</v>
      </c>
      <c r="F493" s="7">
        <v>7075</v>
      </c>
      <c r="G493" s="14">
        <v>43</v>
      </c>
      <c r="H493" s="7">
        <f t="shared" si="21"/>
        <v>0</v>
      </c>
      <c r="I493" s="7">
        <f t="shared" si="22"/>
        <v>26.71</v>
      </c>
      <c r="J493" s="9">
        <f t="shared" si="23"/>
        <v>1.3003533568904593</v>
      </c>
      <c r="K493" s="9">
        <v>0.4158248140359545</v>
      </c>
      <c r="L493" s="13">
        <v>6.4108250235485137E-2</v>
      </c>
      <c r="M493" s="13">
        <v>3.0461611818685266</v>
      </c>
      <c r="N493" s="7">
        <f>'Option source'!C439</f>
        <v>14819366</v>
      </c>
      <c r="O493" s="7">
        <f>'Option source'!G439</f>
        <v>26</v>
      </c>
      <c r="P493" s="7">
        <f>'Option source'!F439</f>
        <v>42.99</v>
      </c>
      <c r="Q493" s="1" t="s">
        <v>88</v>
      </c>
      <c r="R493" s="1">
        <v>434</v>
      </c>
    </row>
    <row r="494" spans="1:18" ht="21" customHeight="1">
      <c r="A494" s="8">
        <v>46268</v>
      </c>
      <c r="B494" s="1" t="s">
        <v>129</v>
      </c>
      <c r="C494" s="39" t="s">
        <v>87</v>
      </c>
      <c r="D494" s="7">
        <v>4800</v>
      </c>
      <c r="E494" s="7">
        <f>'Option source'!B71</f>
        <v>2375</v>
      </c>
      <c r="F494" s="7">
        <v>7075</v>
      </c>
      <c r="G494" s="14">
        <v>43</v>
      </c>
      <c r="H494" s="7">
        <f t="shared" si="21"/>
        <v>2275</v>
      </c>
      <c r="I494" s="7">
        <f t="shared" si="22"/>
        <v>100</v>
      </c>
      <c r="J494" s="9">
        <f t="shared" si="23"/>
        <v>0.67844522968197885</v>
      </c>
      <c r="K494" s="9"/>
      <c r="L494" s="13"/>
      <c r="M494" s="13"/>
      <c r="N494" s="7">
        <f>'Option source'!C71</f>
        <v>0</v>
      </c>
      <c r="O494" s="7">
        <f>'Option source'!G71</f>
        <v>2375</v>
      </c>
      <c r="P494" s="7">
        <f>'Option source'!F71</f>
        <v>2375</v>
      </c>
      <c r="Q494" s="1" t="s">
        <v>25</v>
      </c>
      <c r="R494" s="1">
        <v>66</v>
      </c>
    </row>
    <row r="495" spans="1:18" ht="21" customHeight="1">
      <c r="A495" s="8">
        <v>46268</v>
      </c>
      <c r="B495" s="1" t="s">
        <v>131</v>
      </c>
      <c r="C495" s="39" t="s">
        <v>90</v>
      </c>
      <c r="D495" s="7">
        <v>4800</v>
      </c>
      <c r="E495" s="7">
        <f>'Option source'!B553</f>
        <v>2.2000000000000002</v>
      </c>
      <c r="F495" s="7">
        <v>7075</v>
      </c>
      <c r="G495" s="14">
        <v>43</v>
      </c>
      <c r="H495" s="7">
        <f t="shared" si="21"/>
        <v>0</v>
      </c>
      <c r="I495" s="7">
        <f t="shared" si="22"/>
        <v>2.2000000000000002</v>
      </c>
      <c r="J495" s="9">
        <f t="shared" si="23"/>
        <v>0.67844522968197885</v>
      </c>
      <c r="K495" s="9">
        <v>0.50040291901953504</v>
      </c>
      <c r="L495" s="13">
        <v>-5.3798270422160677E-3</v>
      </c>
      <c r="M495" s="13">
        <v>0.37477545653373534</v>
      </c>
      <c r="N495" s="7">
        <f>'Option source'!C553</f>
        <v>134082.5</v>
      </c>
      <c r="O495" s="7">
        <f>'Option source'!G553</f>
        <v>0.44</v>
      </c>
      <c r="P495" s="7">
        <f>'Option source'!F553</f>
        <v>2.8</v>
      </c>
      <c r="Q495" s="1" t="s">
        <v>88</v>
      </c>
      <c r="R495" s="1">
        <v>548</v>
      </c>
    </row>
    <row r="496" spans="1:18" ht="21" customHeight="1">
      <c r="A496" s="8">
        <v>46268</v>
      </c>
      <c r="B496" s="1" t="s">
        <v>142</v>
      </c>
      <c r="C496" s="39" t="s">
        <v>87</v>
      </c>
      <c r="D496" s="7">
        <v>9500</v>
      </c>
      <c r="E496" s="7">
        <f>'Option source'!B458</f>
        <v>16.43</v>
      </c>
      <c r="F496" s="7">
        <v>7075</v>
      </c>
      <c r="G496" s="14">
        <v>43</v>
      </c>
      <c r="H496" s="7">
        <f t="shared" si="21"/>
        <v>0</v>
      </c>
      <c r="I496" s="7">
        <f t="shared" si="22"/>
        <v>16.43</v>
      </c>
      <c r="J496" s="9">
        <f t="shared" si="23"/>
        <v>1.342756183745583</v>
      </c>
      <c r="K496" s="9">
        <v>0.4193442759426147</v>
      </c>
      <c r="L496" s="13">
        <v>4.1802352486253712E-2</v>
      </c>
      <c r="M496" s="13">
        <v>2.168786401070478</v>
      </c>
      <c r="N496" s="7">
        <f>'Option source'!C458</f>
        <v>8589591</v>
      </c>
      <c r="O496" s="7">
        <f>'Option source'!G458</f>
        <v>16.2</v>
      </c>
      <c r="P496" s="7">
        <f>'Option source'!F458</f>
        <v>28</v>
      </c>
      <c r="Q496" s="1" t="s">
        <v>88</v>
      </c>
      <c r="R496" s="1">
        <v>453</v>
      </c>
    </row>
    <row r="497" spans="1:18" ht="21" customHeight="1">
      <c r="A497" s="8">
        <v>46268</v>
      </c>
      <c r="B497" s="1" t="s">
        <v>134</v>
      </c>
      <c r="C497" s="39" t="s">
        <v>87</v>
      </c>
      <c r="D497" s="7">
        <v>4600</v>
      </c>
      <c r="E497" s="7">
        <f>'Option source'!B54</f>
        <v>2581.0500000000002</v>
      </c>
      <c r="F497" s="7">
        <v>7075</v>
      </c>
      <c r="G497" s="14">
        <v>43</v>
      </c>
      <c r="H497" s="7">
        <f t="shared" si="21"/>
        <v>2475</v>
      </c>
      <c r="I497" s="7">
        <f t="shared" si="22"/>
        <v>106.05000000000018</v>
      </c>
      <c r="J497" s="9">
        <f t="shared" si="23"/>
        <v>0.65017667844522964</v>
      </c>
      <c r="K497" s="9"/>
      <c r="L497" s="13"/>
      <c r="M497" s="13"/>
      <c r="N497" s="7">
        <f>'Option source'!C54</f>
        <v>38763936</v>
      </c>
      <c r="O497" s="7">
        <f>'Option source'!G54</f>
        <v>2575.79</v>
      </c>
      <c r="P497" s="7">
        <f>'Option source'!F54</f>
        <v>2814.94</v>
      </c>
      <c r="Q497" s="1" t="s">
        <v>100</v>
      </c>
      <c r="R497" s="1">
        <v>49</v>
      </c>
    </row>
    <row r="498" spans="1:18" ht="21" customHeight="1">
      <c r="A498" s="8">
        <v>46268</v>
      </c>
      <c r="B498" s="1" t="s">
        <v>135</v>
      </c>
      <c r="C498" s="39" t="s">
        <v>90</v>
      </c>
      <c r="D498" s="7">
        <v>4600</v>
      </c>
      <c r="E498" s="7">
        <f>'Option source'!B534</f>
        <v>1.48</v>
      </c>
      <c r="F498" s="7">
        <v>7075</v>
      </c>
      <c r="G498" s="14">
        <v>43</v>
      </c>
      <c r="H498" s="7">
        <f t="shared" si="21"/>
        <v>0</v>
      </c>
      <c r="I498" s="7">
        <f t="shared" si="22"/>
        <v>1.48</v>
      </c>
      <c r="J498" s="9">
        <f t="shared" si="23"/>
        <v>0.65017667844522964</v>
      </c>
      <c r="K498" s="9">
        <v>0.52273762844372074</v>
      </c>
      <c r="L498" s="13">
        <v>-3.6140551184652425E-3</v>
      </c>
      <c r="M498" s="13">
        <v>0.26267712072002086</v>
      </c>
      <c r="N498" s="7">
        <f>'Option source'!C534</f>
        <v>174172.79999999999</v>
      </c>
      <c r="O498" s="7">
        <f>'Option source'!G534</f>
        <v>1</v>
      </c>
      <c r="P498" s="7">
        <f>'Option source'!F534</f>
        <v>1.75</v>
      </c>
      <c r="Q498" s="1" t="s">
        <v>88</v>
      </c>
      <c r="R498" s="1">
        <v>529</v>
      </c>
    </row>
    <row r="499" spans="1:18" ht="21" customHeight="1">
      <c r="A499" s="8">
        <v>46268</v>
      </c>
      <c r="B499" s="1" t="s">
        <v>136</v>
      </c>
      <c r="C499" s="39" t="s">
        <v>87</v>
      </c>
      <c r="D499" s="7">
        <v>4400</v>
      </c>
      <c r="E499" s="7">
        <f>'Option source'!B35</f>
        <v>2772.89</v>
      </c>
      <c r="F499" s="7">
        <v>7075</v>
      </c>
      <c r="G499" s="14">
        <v>43</v>
      </c>
      <c r="H499" s="7">
        <f t="shared" si="21"/>
        <v>2675</v>
      </c>
      <c r="I499" s="7">
        <f t="shared" si="22"/>
        <v>97.889999999999873</v>
      </c>
      <c r="J499" s="9">
        <f t="shared" si="23"/>
        <v>0.62190812720848054</v>
      </c>
      <c r="K499" s="9"/>
      <c r="L499" s="13"/>
      <c r="M499" s="13"/>
      <c r="N499" s="7">
        <f>'Option source'!C35</f>
        <v>20663730</v>
      </c>
      <c r="O499" s="7">
        <f>'Option source'!G35</f>
        <v>2770.32</v>
      </c>
      <c r="P499" s="7">
        <f>'Option source'!F35</f>
        <v>3009.46</v>
      </c>
      <c r="Q499" s="1" t="s">
        <v>100</v>
      </c>
      <c r="R499" s="1">
        <v>30</v>
      </c>
    </row>
    <row r="500" spans="1:18" ht="21" customHeight="1">
      <c r="A500" s="8">
        <v>46268</v>
      </c>
      <c r="B500" s="1" t="s">
        <v>137</v>
      </c>
      <c r="C500" s="39" t="s">
        <v>90</v>
      </c>
      <c r="D500" s="7">
        <v>4400</v>
      </c>
      <c r="E500" s="7">
        <f>'Option source'!B515</f>
        <v>1.55</v>
      </c>
      <c r="F500" s="7">
        <v>7075</v>
      </c>
      <c r="G500" s="14">
        <v>43</v>
      </c>
      <c r="H500" s="7">
        <f t="shared" si="21"/>
        <v>0</v>
      </c>
      <c r="I500" s="7">
        <f t="shared" si="22"/>
        <v>1.55</v>
      </c>
      <c r="J500" s="9">
        <f t="shared" si="23"/>
        <v>0.62190812720848054</v>
      </c>
      <c r="K500" s="9">
        <v>0.5712260602303928</v>
      </c>
      <c r="L500" s="13">
        <v>-3.4587212568406578E-3</v>
      </c>
      <c r="M500" s="13">
        <v>0.25251732894402762</v>
      </c>
      <c r="N500" s="7">
        <f>'Option source'!C515</f>
        <v>107132.6</v>
      </c>
      <c r="O500" s="7">
        <f>'Option source'!G515</f>
        <v>0.97</v>
      </c>
      <c r="P500" s="7">
        <f>'Option source'!F515</f>
        <v>1.6</v>
      </c>
      <c r="Q500" s="1" t="s">
        <v>88</v>
      </c>
      <c r="R500" s="1">
        <v>510</v>
      </c>
    </row>
    <row r="501" spans="1:18" ht="21" customHeight="1">
      <c r="A501" s="8">
        <v>46268</v>
      </c>
      <c r="B501" s="1" t="s">
        <v>143</v>
      </c>
      <c r="C501" s="39" t="s">
        <v>87</v>
      </c>
      <c r="D501" s="7">
        <v>9900</v>
      </c>
      <c r="E501" s="7">
        <f>'Option source'!B477</f>
        <v>10.11</v>
      </c>
      <c r="F501" s="7">
        <v>7075</v>
      </c>
      <c r="G501" s="14">
        <v>43</v>
      </c>
      <c r="H501" s="7">
        <f t="shared" si="21"/>
        <v>0</v>
      </c>
      <c r="I501" s="7">
        <f t="shared" si="22"/>
        <v>10.11</v>
      </c>
      <c r="J501" s="9">
        <f t="shared" si="23"/>
        <v>1.3992932862190812</v>
      </c>
      <c r="K501" s="9">
        <v>0.43553154461812049</v>
      </c>
      <c r="L501" s="13">
        <v>2.6416660538521167E-2</v>
      </c>
      <c r="M501" s="13">
        <v>1.4862761278864149</v>
      </c>
      <c r="N501" s="7">
        <f>'Option source'!C477</f>
        <v>5951273.5</v>
      </c>
      <c r="O501" s="7">
        <f>'Option source'!G477</f>
        <v>9</v>
      </c>
      <c r="P501" s="7">
        <f>'Option source'!F477</f>
        <v>15.2</v>
      </c>
      <c r="Q501" s="1" t="s">
        <v>88</v>
      </c>
      <c r="R501" s="1">
        <v>472</v>
      </c>
    </row>
    <row r="502" spans="1:18" ht="21" customHeight="1">
      <c r="A502" s="8">
        <v>46268</v>
      </c>
      <c r="B502" s="1" t="s">
        <v>140</v>
      </c>
      <c r="C502" s="39" t="s">
        <v>87</v>
      </c>
      <c r="D502" s="7">
        <v>4200</v>
      </c>
      <c r="E502" s="7">
        <f>'Option source'!B16</f>
        <v>2964.84</v>
      </c>
      <c r="F502" s="7">
        <v>7075</v>
      </c>
      <c r="G502" s="14">
        <v>43</v>
      </c>
      <c r="H502" s="7">
        <f t="shared" si="21"/>
        <v>2875</v>
      </c>
      <c r="I502" s="7">
        <f t="shared" si="22"/>
        <v>89.840000000000146</v>
      </c>
      <c r="J502" s="9">
        <f t="shared" si="23"/>
        <v>0.59363957597173145</v>
      </c>
      <c r="K502" s="9"/>
      <c r="L502" s="13"/>
      <c r="M502" s="13"/>
      <c r="N502" s="7">
        <f>'Option source'!C16</f>
        <v>3574248</v>
      </c>
      <c r="O502" s="7">
        <f>'Option source'!G16</f>
        <v>2979.78</v>
      </c>
      <c r="P502" s="7">
        <f>'Option source'!F16</f>
        <v>3039.57</v>
      </c>
      <c r="Q502" s="1" t="s">
        <v>109</v>
      </c>
      <c r="R502" s="1">
        <v>11</v>
      </c>
    </row>
    <row r="503" spans="1:18" ht="21" customHeight="1">
      <c r="A503" s="8">
        <v>46268</v>
      </c>
      <c r="B503" s="1" t="s">
        <v>141</v>
      </c>
      <c r="C503" s="39" t="s">
        <v>90</v>
      </c>
      <c r="D503" s="7">
        <v>4200</v>
      </c>
      <c r="E503" s="7">
        <f>'Option source'!B496</f>
        <v>1.05</v>
      </c>
      <c r="F503" s="7">
        <v>7075</v>
      </c>
      <c r="G503" s="14">
        <v>43</v>
      </c>
      <c r="H503" s="7">
        <f t="shared" si="21"/>
        <v>0</v>
      </c>
      <c r="I503" s="7">
        <f t="shared" si="22"/>
        <v>1.05</v>
      </c>
      <c r="J503" s="9">
        <f t="shared" si="23"/>
        <v>0.59363957597173145</v>
      </c>
      <c r="K503" s="9">
        <v>0.59537783760103469</v>
      </c>
      <c r="L503" s="13">
        <v>-2.3493086527857088E-3</v>
      </c>
      <c r="M503" s="13">
        <v>0.17815486144134568</v>
      </c>
      <c r="N503" s="7">
        <f>'Option source'!C496</f>
        <v>161437.20000000001</v>
      </c>
      <c r="O503" s="7">
        <f>'Option source'!G496</f>
        <v>0.78</v>
      </c>
      <c r="P503" s="7">
        <f>'Option source'!F496</f>
        <v>1.4</v>
      </c>
      <c r="Q503" s="1" t="s">
        <v>88</v>
      </c>
      <c r="R503" s="1">
        <v>491</v>
      </c>
    </row>
    <row r="504" spans="1:18" ht="21" customHeight="1">
      <c r="A504" s="8">
        <v>46267</v>
      </c>
      <c r="B504" s="1" t="s">
        <v>97</v>
      </c>
      <c r="C504" s="39" t="s">
        <v>87</v>
      </c>
      <c r="D504" s="7">
        <v>7200</v>
      </c>
      <c r="E504" s="7">
        <f>'Option source'!B286</f>
        <v>507.78</v>
      </c>
      <c r="F504" s="7">
        <v>7170</v>
      </c>
      <c r="G504" s="14">
        <v>44</v>
      </c>
      <c r="H504" s="7">
        <f t="shared" si="21"/>
        <v>0</v>
      </c>
      <c r="I504" s="7">
        <f t="shared" si="22"/>
        <v>507.78</v>
      </c>
      <c r="J504" s="9">
        <f t="shared" si="23"/>
        <v>1.00418410041841</v>
      </c>
      <c r="K504" s="9">
        <v>0.3936006656446317</v>
      </c>
      <c r="L504" s="13">
        <v>0.61883005504373756</v>
      </c>
      <c r="M504" s="13">
        <v>9.4874758030633366</v>
      </c>
      <c r="N504" s="7">
        <f>'Option source'!C286</f>
        <v>383027872</v>
      </c>
      <c r="O504" s="7">
        <f>'Option source'!G286</f>
        <v>408.42</v>
      </c>
      <c r="P504" s="7">
        <f>'Option source'!F286</f>
        <v>512</v>
      </c>
      <c r="Q504" s="1" t="s">
        <v>88</v>
      </c>
      <c r="R504" s="1">
        <v>281</v>
      </c>
    </row>
    <row r="505" spans="1:18" ht="21" customHeight="1">
      <c r="A505" s="8">
        <v>46267</v>
      </c>
      <c r="B505" s="1" t="s">
        <v>98</v>
      </c>
      <c r="C505" s="39" t="s">
        <v>90</v>
      </c>
      <c r="D505" s="7">
        <v>7200</v>
      </c>
      <c r="E505" s="7">
        <f>'Option source'!B780</f>
        <v>369.49</v>
      </c>
      <c r="F505" s="7">
        <v>7170</v>
      </c>
      <c r="G505" s="14">
        <v>44</v>
      </c>
      <c r="H505" s="7">
        <f t="shared" si="21"/>
        <v>30</v>
      </c>
      <c r="I505" s="7">
        <f t="shared" si="22"/>
        <v>339.49</v>
      </c>
      <c r="J505" s="9">
        <f t="shared" si="23"/>
        <v>1.00418410041841</v>
      </c>
      <c r="K505" s="9">
        <v>0.45664185580179617</v>
      </c>
      <c r="L505" s="13">
        <v>-0.38934071514554613</v>
      </c>
      <c r="M505" s="13">
        <v>9.5468116528712592</v>
      </c>
      <c r="N505" s="7">
        <f>'Option source'!C780</f>
        <v>57154840</v>
      </c>
      <c r="O505" s="7">
        <f>'Option source'!G780</f>
        <v>365.01</v>
      </c>
      <c r="P505" s="7">
        <f>'Option source'!F780</f>
        <v>432.65</v>
      </c>
      <c r="Q505" s="1" t="s">
        <v>88</v>
      </c>
      <c r="R505" s="1">
        <v>775</v>
      </c>
    </row>
    <row r="506" spans="1:18" ht="21" customHeight="1">
      <c r="A506" s="8">
        <v>46267</v>
      </c>
      <c r="B506" s="1" t="s">
        <v>93</v>
      </c>
      <c r="C506" s="39" t="s">
        <v>87</v>
      </c>
      <c r="D506" s="7">
        <v>7000</v>
      </c>
      <c r="E506" s="7">
        <f>'Option source'!B267</f>
        <v>617.88</v>
      </c>
      <c r="F506" s="7">
        <v>7170</v>
      </c>
      <c r="G506" s="14">
        <v>44</v>
      </c>
      <c r="H506" s="7">
        <f t="shared" si="21"/>
        <v>170</v>
      </c>
      <c r="I506" s="7">
        <f t="shared" si="22"/>
        <v>447.88</v>
      </c>
      <c r="J506" s="9">
        <f t="shared" si="23"/>
        <v>0.97629009762900976</v>
      </c>
      <c r="K506" s="9">
        <v>0.38588835412865985</v>
      </c>
      <c r="L506" s="13">
        <v>0.69707628859407744</v>
      </c>
      <c r="M506" s="13">
        <v>8.693409353069832</v>
      </c>
      <c r="N506" s="7">
        <f>'Option source'!C267</f>
        <v>216383168</v>
      </c>
      <c r="O506" s="7">
        <f>'Option source'!G267</f>
        <v>543</v>
      </c>
      <c r="P506" s="7">
        <f>'Option source'!F267</f>
        <v>626.05999999999995</v>
      </c>
      <c r="Q506" s="1" t="s">
        <v>88</v>
      </c>
      <c r="R506" s="1">
        <v>262</v>
      </c>
    </row>
    <row r="507" spans="1:18" ht="21" customHeight="1">
      <c r="A507" s="8">
        <v>46267</v>
      </c>
      <c r="B507" s="1" t="s">
        <v>94</v>
      </c>
      <c r="C507" s="39" t="s">
        <v>90</v>
      </c>
      <c r="D507" s="7">
        <v>7000</v>
      </c>
      <c r="E507" s="7">
        <f>'Option source'!B761</f>
        <v>286.63</v>
      </c>
      <c r="F507" s="7">
        <v>7170</v>
      </c>
      <c r="G507" s="14">
        <v>44</v>
      </c>
      <c r="H507" s="7">
        <f t="shared" si="21"/>
        <v>0</v>
      </c>
      <c r="I507" s="7">
        <f t="shared" si="22"/>
        <v>286.63</v>
      </c>
      <c r="J507" s="9">
        <f t="shared" si="23"/>
        <v>0.97629009762900976</v>
      </c>
      <c r="K507" s="9">
        <v>0.4634240599041658</v>
      </c>
      <c r="L507" s="13">
        <v>-0.32479044848057614</v>
      </c>
      <c r="M507" s="13">
        <v>8.957434836919143</v>
      </c>
      <c r="N507" s="7">
        <f>'Option source'!C761</f>
        <v>247666304</v>
      </c>
      <c r="O507" s="7">
        <f>'Option source'!G761</f>
        <v>280.01</v>
      </c>
      <c r="P507" s="7">
        <f>'Option source'!F761</f>
        <v>335</v>
      </c>
      <c r="Q507" s="1" t="s">
        <v>88</v>
      </c>
      <c r="R507" s="1">
        <v>756</v>
      </c>
    </row>
    <row r="508" spans="1:18" ht="21" customHeight="1">
      <c r="A508" s="8">
        <v>46267</v>
      </c>
      <c r="B508" s="1" t="s">
        <v>102</v>
      </c>
      <c r="C508" s="39" t="s">
        <v>87</v>
      </c>
      <c r="D508" s="7">
        <v>7400</v>
      </c>
      <c r="E508" s="7">
        <f>'Option source'!B305</f>
        <v>410.55</v>
      </c>
      <c r="F508" s="7">
        <v>7170</v>
      </c>
      <c r="G508" s="14">
        <v>44</v>
      </c>
      <c r="H508" s="7">
        <f t="shared" si="21"/>
        <v>0</v>
      </c>
      <c r="I508" s="7">
        <f t="shared" si="22"/>
        <v>410.55</v>
      </c>
      <c r="J508" s="9">
        <f t="shared" si="23"/>
        <v>1.0320781032078103</v>
      </c>
      <c r="K508" s="9">
        <v>0.39786388811943174</v>
      </c>
      <c r="L508" s="13">
        <v>0.54073954014094228</v>
      </c>
      <c r="M508" s="13">
        <v>9.8795406158287555</v>
      </c>
      <c r="N508" s="7">
        <f>'Option source'!C305</f>
        <v>522480896</v>
      </c>
      <c r="O508" s="7">
        <f>'Option source'!G305</f>
        <v>350</v>
      </c>
      <c r="P508" s="7">
        <f>'Option source'!F305</f>
        <v>455</v>
      </c>
      <c r="Q508" s="1" t="s">
        <v>88</v>
      </c>
      <c r="R508" s="1">
        <v>300</v>
      </c>
    </row>
    <row r="509" spans="1:18" ht="21" customHeight="1">
      <c r="A509" s="8">
        <v>46267</v>
      </c>
      <c r="B509" s="1" t="s">
        <v>103</v>
      </c>
      <c r="C509" s="39" t="s">
        <v>90</v>
      </c>
      <c r="D509" s="7">
        <v>7400</v>
      </c>
      <c r="E509" s="7">
        <f>'Option source'!B799</f>
        <v>480</v>
      </c>
      <c r="F509" s="7">
        <v>7170</v>
      </c>
      <c r="G509" s="14">
        <v>44</v>
      </c>
      <c r="H509" s="7">
        <f t="shared" si="21"/>
        <v>230</v>
      </c>
      <c r="I509" s="7">
        <f t="shared" si="22"/>
        <v>250</v>
      </c>
      <c r="J509" s="9">
        <f t="shared" si="23"/>
        <v>1.0320781032078103</v>
      </c>
      <c r="K509" s="9">
        <v>0.46267991445652756</v>
      </c>
      <c r="L509" s="13">
        <v>-0.45664317949771305</v>
      </c>
      <c r="M509" s="13">
        <v>9.8726605321064262</v>
      </c>
      <c r="N509" s="7">
        <f>'Option source'!C799</f>
        <v>14795418</v>
      </c>
      <c r="O509" s="7">
        <f>'Option source'!G799</f>
        <v>475</v>
      </c>
      <c r="P509" s="7">
        <f>'Option source'!F799</f>
        <v>547.89</v>
      </c>
      <c r="Q509" s="1" t="s">
        <v>88</v>
      </c>
      <c r="R509" s="1">
        <v>794</v>
      </c>
    </row>
    <row r="510" spans="1:18" ht="21" customHeight="1">
      <c r="A510" s="8">
        <v>46267</v>
      </c>
      <c r="B510" s="1" t="s">
        <v>86</v>
      </c>
      <c r="C510" s="39" t="s">
        <v>87</v>
      </c>
      <c r="D510" s="7">
        <v>6800</v>
      </c>
      <c r="E510" s="7">
        <f>'Option source'!B248</f>
        <v>745.47</v>
      </c>
      <c r="F510" s="7">
        <v>7170</v>
      </c>
      <c r="G510" s="14">
        <v>44</v>
      </c>
      <c r="H510" s="7">
        <f t="shared" si="21"/>
        <v>370</v>
      </c>
      <c r="I510" s="7">
        <f t="shared" si="22"/>
        <v>375.47</v>
      </c>
      <c r="J510" s="9">
        <f t="shared" si="23"/>
        <v>0.94839609483960952</v>
      </c>
      <c r="K510" s="9">
        <v>0.37924934362292517</v>
      </c>
      <c r="L510" s="13">
        <v>0.77121729652558468</v>
      </c>
      <c r="M510" s="13">
        <v>7.5366409930211242</v>
      </c>
      <c r="N510" s="7">
        <f>'Option source'!C248</f>
        <v>94739640</v>
      </c>
      <c r="O510" s="7">
        <f>'Option source'!G248</f>
        <v>660.01</v>
      </c>
      <c r="P510" s="7">
        <f>'Option source'!F248</f>
        <v>750</v>
      </c>
      <c r="Q510" s="1" t="s">
        <v>88</v>
      </c>
      <c r="R510" s="1">
        <v>243</v>
      </c>
    </row>
    <row r="511" spans="1:18" ht="21" customHeight="1">
      <c r="A511" s="8">
        <v>46267</v>
      </c>
      <c r="B511" s="1" t="s">
        <v>89</v>
      </c>
      <c r="C511" s="39" t="s">
        <v>90</v>
      </c>
      <c r="D511" s="7">
        <v>6800</v>
      </c>
      <c r="E511" s="7">
        <f>'Option source'!B742</f>
        <v>210.34</v>
      </c>
      <c r="F511" s="7">
        <v>7170</v>
      </c>
      <c r="G511" s="14">
        <v>44</v>
      </c>
      <c r="H511" s="7">
        <f t="shared" si="21"/>
        <v>0</v>
      </c>
      <c r="I511" s="7">
        <f t="shared" si="22"/>
        <v>210.34</v>
      </c>
      <c r="J511" s="9">
        <f t="shared" si="23"/>
        <v>0.94839609483960952</v>
      </c>
      <c r="K511" s="9">
        <v>0.45982829925589397</v>
      </c>
      <c r="L511" s="13">
        <v>-0.2616683193604632</v>
      </c>
      <c r="M511" s="13">
        <v>8.1014415059167408</v>
      </c>
      <c r="N511" s="7">
        <f>'Option source'!C742</f>
        <v>76401512</v>
      </c>
      <c r="O511" s="7">
        <f>'Option source'!G742</f>
        <v>205.01</v>
      </c>
      <c r="P511" s="7">
        <f>'Option source'!F742</f>
        <v>256.85000000000002</v>
      </c>
      <c r="Q511" s="1" t="s">
        <v>88</v>
      </c>
      <c r="R511" s="1">
        <v>737</v>
      </c>
    </row>
    <row r="512" spans="1:18" ht="21" customHeight="1">
      <c r="A512" s="8">
        <v>46267</v>
      </c>
      <c r="B512" s="1" t="s">
        <v>106</v>
      </c>
      <c r="C512" s="39" t="s">
        <v>87</v>
      </c>
      <c r="D512" s="7">
        <v>7600</v>
      </c>
      <c r="E512" s="7">
        <f>'Option source'!B324</f>
        <v>324.11</v>
      </c>
      <c r="F512" s="7">
        <v>7170</v>
      </c>
      <c r="G512" s="14">
        <v>44</v>
      </c>
      <c r="H512" s="7">
        <f t="shared" si="21"/>
        <v>0</v>
      </c>
      <c r="I512" s="7">
        <f t="shared" si="22"/>
        <v>324.11</v>
      </c>
      <c r="J512" s="9">
        <f t="shared" si="23"/>
        <v>1.0599721059972107</v>
      </c>
      <c r="K512" s="9">
        <v>0.39769648794193935</v>
      </c>
      <c r="L512" s="13">
        <v>0.46380435462770125</v>
      </c>
      <c r="M512" s="13">
        <v>9.8904648071075627</v>
      </c>
      <c r="N512" s="7">
        <f>'Option source'!C324</f>
        <v>425418784</v>
      </c>
      <c r="O512" s="7">
        <f>'Option source'!G324</f>
        <v>271.5</v>
      </c>
      <c r="P512" s="7">
        <f>'Option source'!F324</f>
        <v>329</v>
      </c>
      <c r="Q512" s="1" t="s">
        <v>88</v>
      </c>
      <c r="R512" s="1">
        <v>319</v>
      </c>
    </row>
    <row r="513" spans="1:18" ht="21" customHeight="1">
      <c r="A513" s="8">
        <v>46267</v>
      </c>
      <c r="B513" s="1" t="s">
        <v>107</v>
      </c>
      <c r="C513" s="39" t="s">
        <v>90</v>
      </c>
      <c r="D513" s="7">
        <v>7600</v>
      </c>
      <c r="E513" s="7">
        <f>'Option source'!B818</f>
        <v>600</v>
      </c>
      <c r="F513" s="7">
        <v>7170</v>
      </c>
      <c r="G513" s="14">
        <v>44</v>
      </c>
      <c r="H513" s="7">
        <f t="shared" si="21"/>
        <v>430</v>
      </c>
      <c r="I513" s="7">
        <f t="shared" si="22"/>
        <v>170</v>
      </c>
      <c r="J513" s="9">
        <f t="shared" si="23"/>
        <v>1.0599721059972107</v>
      </c>
      <c r="K513" s="9">
        <v>0.46222345813121046</v>
      </c>
      <c r="L513" s="13">
        <v>-0.52285906766286261</v>
      </c>
      <c r="M513" s="13">
        <v>9.9150614251376563</v>
      </c>
      <c r="N513" s="7">
        <f>'Option source'!C818</f>
        <v>2646613</v>
      </c>
      <c r="O513" s="7">
        <f>'Option source'!G818</f>
        <v>600</v>
      </c>
      <c r="P513" s="7">
        <f>'Option source'!F818</f>
        <v>650</v>
      </c>
      <c r="Q513" s="1" t="s">
        <v>88</v>
      </c>
      <c r="R513" s="1">
        <v>813</v>
      </c>
    </row>
    <row r="514" spans="1:18" ht="21" customHeight="1">
      <c r="A514" s="8">
        <v>46267</v>
      </c>
      <c r="B514" s="1" t="s">
        <v>91</v>
      </c>
      <c r="C514" s="39" t="s">
        <v>87</v>
      </c>
      <c r="D514" s="7">
        <v>6600</v>
      </c>
      <c r="E514" s="7">
        <f>'Option source'!B229</f>
        <v>884.58</v>
      </c>
      <c r="F514" s="7">
        <v>7170</v>
      </c>
      <c r="G514" s="14">
        <v>44</v>
      </c>
      <c r="H514" s="7">
        <f t="shared" si="21"/>
        <v>570</v>
      </c>
      <c r="I514" s="7">
        <f t="shared" si="22"/>
        <v>314.58000000000004</v>
      </c>
      <c r="J514" s="9">
        <f t="shared" si="23"/>
        <v>0.92050209205020916</v>
      </c>
      <c r="K514" s="9">
        <v>0.3654201416481776</v>
      </c>
      <c r="L514" s="13">
        <v>0.84167819043103376</v>
      </c>
      <c r="M514" s="13">
        <v>6.0153733479969915</v>
      </c>
      <c r="N514" s="7">
        <f>'Option source'!C229</f>
        <v>58310144</v>
      </c>
      <c r="O514" s="7">
        <f>'Option source'!G229</f>
        <v>790</v>
      </c>
      <c r="P514" s="7">
        <f>'Option source'!F229</f>
        <v>899.91</v>
      </c>
      <c r="Q514" s="1" t="s">
        <v>88</v>
      </c>
      <c r="R514" s="1">
        <v>224</v>
      </c>
    </row>
    <row r="515" spans="1:18" ht="21" customHeight="1">
      <c r="A515" s="8">
        <v>46267</v>
      </c>
      <c r="B515" s="1" t="s">
        <v>92</v>
      </c>
      <c r="C515" s="39" t="s">
        <v>90</v>
      </c>
      <c r="D515" s="7">
        <v>6600</v>
      </c>
      <c r="E515" s="7">
        <f>'Option source'!B723</f>
        <v>146.29</v>
      </c>
      <c r="F515" s="7">
        <v>7170</v>
      </c>
      <c r="G515" s="14">
        <v>44</v>
      </c>
      <c r="H515" s="7">
        <f t="shared" si="21"/>
        <v>0</v>
      </c>
      <c r="I515" s="7">
        <f t="shared" si="22"/>
        <v>146.29</v>
      </c>
      <c r="J515" s="9">
        <f t="shared" si="23"/>
        <v>0.92050209205020916</v>
      </c>
      <c r="K515" s="9">
        <v>0.45323101557624712</v>
      </c>
      <c r="L515" s="13">
        <v>-0.20188640263180435</v>
      </c>
      <c r="M515" s="13">
        <v>7.0088073860860769</v>
      </c>
      <c r="N515" s="7">
        <f>'Option source'!C723</f>
        <v>141914928</v>
      </c>
      <c r="O515" s="7">
        <f>'Option source'!G723</f>
        <v>140</v>
      </c>
      <c r="P515" s="7">
        <f>'Option source'!F723</f>
        <v>181</v>
      </c>
      <c r="Q515" s="1" t="s">
        <v>88</v>
      </c>
      <c r="R515" s="1">
        <v>718</v>
      </c>
    </row>
    <row r="516" spans="1:18" ht="21" customHeight="1">
      <c r="A516" s="8">
        <v>46267</v>
      </c>
      <c r="B516" s="1" t="s">
        <v>111</v>
      </c>
      <c r="C516" s="39" t="s">
        <v>87</v>
      </c>
      <c r="D516" s="7">
        <v>7800</v>
      </c>
      <c r="E516" s="7">
        <f>'Option source'!B343</f>
        <v>253.96</v>
      </c>
      <c r="F516" s="7">
        <v>7170</v>
      </c>
      <c r="G516" s="14">
        <v>44</v>
      </c>
      <c r="H516" s="7">
        <f t="shared" si="21"/>
        <v>0</v>
      </c>
      <c r="I516" s="7">
        <f t="shared" si="22"/>
        <v>253.96</v>
      </c>
      <c r="J516" s="9">
        <f t="shared" si="23"/>
        <v>1.0878661087866108</v>
      </c>
      <c r="K516" s="9">
        <v>0.39965659792533614</v>
      </c>
      <c r="L516" s="13">
        <v>0.39091865934953018</v>
      </c>
      <c r="M516" s="13">
        <v>9.5577705209908252</v>
      </c>
      <c r="N516" s="7">
        <f>'Option source'!C343</f>
        <v>211616976</v>
      </c>
      <c r="O516" s="7">
        <f>'Option source'!G343</f>
        <v>210</v>
      </c>
      <c r="P516" s="7">
        <f>'Option source'!F343</f>
        <v>258</v>
      </c>
      <c r="Q516" s="1" t="s">
        <v>88</v>
      </c>
      <c r="R516" s="1">
        <v>338</v>
      </c>
    </row>
    <row r="517" spans="1:18" ht="21" customHeight="1">
      <c r="A517" s="8">
        <v>46267</v>
      </c>
      <c r="B517" s="1" t="s">
        <v>112</v>
      </c>
      <c r="C517" s="39" t="s">
        <v>90</v>
      </c>
      <c r="D517" s="7">
        <v>7800</v>
      </c>
      <c r="E517" s="7">
        <f>'Option source'!B837</f>
        <v>726</v>
      </c>
      <c r="F517" s="7">
        <v>7170</v>
      </c>
      <c r="G517" s="14">
        <v>44</v>
      </c>
      <c r="H517" s="7">
        <f t="shared" si="21"/>
        <v>630</v>
      </c>
      <c r="I517" s="7">
        <f t="shared" si="22"/>
        <v>96</v>
      </c>
      <c r="J517" s="9">
        <f t="shared" si="23"/>
        <v>1.0878661087866108</v>
      </c>
      <c r="K517" s="9"/>
      <c r="L517" s="13"/>
      <c r="M517" s="13"/>
      <c r="N517" s="7">
        <f>'Option source'!C837</f>
        <v>363000.5</v>
      </c>
      <c r="O517" s="7">
        <f>'Option source'!G837</f>
        <v>0</v>
      </c>
      <c r="P517" s="7">
        <f>'Option source'!F837</f>
        <v>0</v>
      </c>
      <c r="Q517" s="1" t="s">
        <v>109</v>
      </c>
      <c r="R517" s="1">
        <v>832</v>
      </c>
    </row>
    <row r="518" spans="1:18" ht="21" customHeight="1">
      <c r="A518" s="8">
        <v>46267</v>
      </c>
      <c r="B518" s="1" t="s">
        <v>95</v>
      </c>
      <c r="C518" s="39" t="s">
        <v>87</v>
      </c>
      <c r="D518" s="7">
        <v>6400</v>
      </c>
      <c r="E518" s="7">
        <f>'Option source'!B210</f>
        <v>1025</v>
      </c>
      <c r="F518" s="7">
        <v>7170</v>
      </c>
      <c r="G518" s="14">
        <v>44</v>
      </c>
      <c r="H518" s="7">
        <f t="shared" si="21"/>
        <v>770</v>
      </c>
      <c r="I518" s="7">
        <f t="shared" si="22"/>
        <v>255</v>
      </c>
      <c r="J518" s="9">
        <f t="shared" si="23"/>
        <v>0.89260808926080892</v>
      </c>
      <c r="K518" s="9">
        <v>0.31272482369054488</v>
      </c>
      <c r="L518" s="13">
        <v>0.92416871315554749</v>
      </c>
      <c r="M518" s="13">
        <v>3.5536456451049339</v>
      </c>
      <c r="N518" s="7">
        <f>'Option source'!C210</f>
        <v>9232591</v>
      </c>
      <c r="O518" s="7">
        <f>'Option source'!G210</f>
        <v>890</v>
      </c>
      <c r="P518" s="7">
        <f>'Option source'!F210</f>
        <v>1025</v>
      </c>
      <c r="Q518" s="1" t="s">
        <v>88</v>
      </c>
      <c r="R518" s="1">
        <v>205</v>
      </c>
    </row>
    <row r="519" spans="1:18" ht="21" customHeight="1">
      <c r="A519" s="8">
        <v>46267</v>
      </c>
      <c r="B519" s="1" t="s">
        <v>96</v>
      </c>
      <c r="C519" s="39" t="s">
        <v>90</v>
      </c>
      <c r="D519" s="7">
        <v>6400</v>
      </c>
      <c r="E519" s="7">
        <f>'Option source'!B704</f>
        <v>103.46</v>
      </c>
      <c r="F519" s="7">
        <v>7170</v>
      </c>
      <c r="G519" s="14">
        <v>44</v>
      </c>
      <c r="H519" s="7">
        <f t="shared" ref="H519:H582" si="24">MAX(IF(C519="call",F519-D519,D519-F519),0)</f>
        <v>0</v>
      </c>
      <c r="I519" s="7">
        <f t="shared" ref="I519:I582" si="25">E519-H519</f>
        <v>103.46</v>
      </c>
      <c r="J519" s="9">
        <f t="shared" ref="J519:J582" si="26">D519/F519</f>
        <v>0.89260808926080892</v>
      </c>
      <c r="K519" s="9">
        <v>0.45826708173476927</v>
      </c>
      <c r="L519" s="13">
        <v>-0.15365939704556986</v>
      </c>
      <c r="M519" s="13">
        <v>5.8980189425486254</v>
      </c>
      <c r="N519" s="7">
        <f>'Option source'!C704</f>
        <v>65994224</v>
      </c>
      <c r="O519" s="7">
        <f>'Option source'!G704</f>
        <v>100</v>
      </c>
      <c r="P519" s="7">
        <f>'Option source'!F704</f>
        <v>135</v>
      </c>
      <c r="Q519" s="1" t="s">
        <v>88</v>
      </c>
      <c r="R519" s="1">
        <v>699</v>
      </c>
    </row>
    <row r="520" spans="1:18" ht="21" customHeight="1">
      <c r="A520" s="8">
        <v>46267</v>
      </c>
      <c r="B520" s="1" t="s">
        <v>116</v>
      </c>
      <c r="C520" s="39" t="s">
        <v>87</v>
      </c>
      <c r="D520" s="7">
        <v>8000</v>
      </c>
      <c r="E520" s="7">
        <f>'Option source'!B362</f>
        <v>195.8</v>
      </c>
      <c r="F520" s="7">
        <v>7170</v>
      </c>
      <c r="G520" s="14">
        <v>44</v>
      </c>
      <c r="H520" s="7">
        <f t="shared" si="24"/>
        <v>0</v>
      </c>
      <c r="I520" s="7">
        <f t="shared" si="25"/>
        <v>195.8</v>
      </c>
      <c r="J520" s="9">
        <f t="shared" si="26"/>
        <v>1.1157601115760112</v>
      </c>
      <c r="K520" s="9">
        <v>0.40067280934668226</v>
      </c>
      <c r="L520" s="13">
        <v>0.32352491745368844</v>
      </c>
      <c r="M520" s="13">
        <v>8.9430655328074113</v>
      </c>
      <c r="N520" s="7">
        <f>'Option source'!C362</f>
        <v>424807360</v>
      </c>
      <c r="O520" s="7">
        <f>'Option source'!G362</f>
        <v>165</v>
      </c>
      <c r="P520" s="7">
        <f>'Option source'!F362</f>
        <v>199</v>
      </c>
      <c r="Q520" s="1" t="s">
        <v>88</v>
      </c>
      <c r="R520" s="1">
        <v>357</v>
      </c>
    </row>
    <row r="521" spans="1:18" ht="21" customHeight="1">
      <c r="A521" s="8">
        <v>46267</v>
      </c>
      <c r="B521" s="1" t="s">
        <v>117</v>
      </c>
      <c r="C521" s="39" t="s">
        <v>90</v>
      </c>
      <c r="D521" s="7">
        <v>8000</v>
      </c>
      <c r="E521" s="7">
        <f>'Option source'!B856</f>
        <v>910</v>
      </c>
      <c r="F521" s="7">
        <v>7170</v>
      </c>
      <c r="G521" s="14">
        <v>44</v>
      </c>
      <c r="H521" s="7">
        <f t="shared" si="24"/>
        <v>830</v>
      </c>
      <c r="I521" s="7">
        <f t="shared" si="25"/>
        <v>80</v>
      </c>
      <c r="J521" s="9">
        <f t="shared" si="26"/>
        <v>1.1157601115760112</v>
      </c>
      <c r="K521" s="9">
        <v>0.49327861357402292</v>
      </c>
      <c r="L521" s="13">
        <v>-0.63411518487611829</v>
      </c>
      <c r="M521" s="13">
        <v>9.3647427645255021</v>
      </c>
      <c r="N521" s="7">
        <f>'Option source'!C856</f>
        <v>455000</v>
      </c>
      <c r="O521" s="7">
        <f>'Option source'!G856</f>
        <v>910</v>
      </c>
      <c r="P521" s="7">
        <f>'Option source'!F856</f>
        <v>910</v>
      </c>
      <c r="Q521" s="1" t="s">
        <v>88</v>
      </c>
      <c r="R521" s="1">
        <v>851</v>
      </c>
    </row>
    <row r="522" spans="1:18" ht="21" customHeight="1">
      <c r="A522" s="8">
        <v>46267</v>
      </c>
      <c r="B522" s="1" t="s">
        <v>99</v>
      </c>
      <c r="C522" s="39" t="s">
        <v>87</v>
      </c>
      <c r="D522" s="7">
        <v>6200</v>
      </c>
      <c r="E522" s="7">
        <f>'Option source'!B191</f>
        <v>1088.47</v>
      </c>
      <c r="F522" s="7">
        <v>7170</v>
      </c>
      <c r="G522" s="14">
        <v>44</v>
      </c>
      <c r="H522" s="7">
        <f t="shared" si="24"/>
        <v>970</v>
      </c>
      <c r="I522" s="7">
        <f t="shared" si="25"/>
        <v>118.47000000000003</v>
      </c>
      <c r="J522" s="9">
        <f t="shared" si="26"/>
        <v>0.86471408647140868</v>
      </c>
      <c r="K522" s="9"/>
      <c r="L522" s="13"/>
      <c r="M522" s="13"/>
      <c r="N522" s="7">
        <f>'Option source'!C191</f>
        <v>435389.41</v>
      </c>
      <c r="O522" s="7">
        <f>'Option source'!G191</f>
        <v>1089.32</v>
      </c>
      <c r="P522" s="7">
        <f>'Option source'!F191</f>
        <v>1089.32</v>
      </c>
      <c r="Q522" s="1" t="s">
        <v>109</v>
      </c>
      <c r="R522" s="1">
        <v>186</v>
      </c>
    </row>
    <row r="523" spans="1:18" ht="21" customHeight="1">
      <c r="A523" s="8">
        <v>46267</v>
      </c>
      <c r="B523" s="1" t="s">
        <v>101</v>
      </c>
      <c r="C523" s="39" t="s">
        <v>90</v>
      </c>
      <c r="D523" s="7">
        <v>6200</v>
      </c>
      <c r="E523" s="7">
        <f>'Option source'!B685</f>
        <v>66.11</v>
      </c>
      <c r="F523" s="7">
        <v>7170</v>
      </c>
      <c r="G523" s="14">
        <v>44</v>
      </c>
      <c r="H523" s="7">
        <f t="shared" si="24"/>
        <v>0</v>
      </c>
      <c r="I523" s="7">
        <f t="shared" si="25"/>
        <v>66.11</v>
      </c>
      <c r="J523" s="9">
        <f t="shared" si="26"/>
        <v>0.86471408647140868</v>
      </c>
      <c r="K523" s="9">
        <v>0.45184420075101106</v>
      </c>
      <c r="L523" s="13">
        <v>-0.10832132677600059</v>
      </c>
      <c r="M523" s="13">
        <v>4.6295615882681318</v>
      </c>
      <c r="N523" s="7">
        <f>'Option source'!C685</f>
        <v>34053432</v>
      </c>
      <c r="O523" s="7">
        <f>'Option source'!G685</f>
        <v>64</v>
      </c>
      <c r="P523" s="7">
        <f>'Option source'!F685</f>
        <v>87</v>
      </c>
      <c r="Q523" s="1" t="s">
        <v>88</v>
      </c>
      <c r="R523" s="1">
        <v>680</v>
      </c>
    </row>
    <row r="524" spans="1:18" ht="21" customHeight="1">
      <c r="A524" s="8">
        <v>46267</v>
      </c>
      <c r="B524" s="1" t="s">
        <v>121</v>
      </c>
      <c r="C524" s="39" t="s">
        <v>87</v>
      </c>
      <c r="D524" s="7">
        <v>8300</v>
      </c>
      <c r="E524" s="7">
        <f>'Option source'!B381</f>
        <v>131.47999999999999</v>
      </c>
      <c r="F524" s="7">
        <v>7170</v>
      </c>
      <c r="G524" s="14">
        <v>44</v>
      </c>
      <c r="H524" s="7">
        <f t="shared" si="24"/>
        <v>0</v>
      </c>
      <c r="I524" s="7">
        <f t="shared" si="25"/>
        <v>131.47999999999999</v>
      </c>
      <c r="J524" s="9">
        <f t="shared" si="26"/>
        <v>1.1576011157601116</v>
      </c>
      <c r="K524" s="9">
        <v>0.40482633499943355</v>
      </c>
      <c r="L524" s="13">
        <v>0.23772204997346455</v>
      </c>
      <c r="M524" s="13">
        <v>7.6986942294891492</v>
      </c>
      <c r="N524" s="7">
        <f>'Option source'!C381</f>
        <v>131989768</v>
      </c>
      <c r="O524" s="7">
        <f>'Option source'!G381</f>
        <v>108.1</v>
      </c>
      <c r="P524" s="7">
        <f>'Option source'!F381</f>
        <v>135</v>
      </c>
      <c r="Q524" s="1" t="s">
        <v>88</v>
      </c>
      <c r="R524" s="1">
        <v>376</v>
      </c>
    </row>
    <row r="525" spans="1:18" ht="21" customHeight="1">
      <c r="A525" s="8">
        <v>46267</v>
      </c>
      <c r="B525" s="1" t="s">
        <v>122</v>
      </c>
      <c r="C525" s="39" t="s">
        <v>90</v>
      </c>
      <c r="D525" s="7">
        <v>8300</v>
      </c>
      <c r="E525" s="7">
        <f>'Option source'!B875</f>
        <v>1250</v>
      </c>
      <c r="F525" s="7">
        <v>7170</v>
      </c>
      <c r="G525" s="14">
        <v>44</v>
      </c>
      <c r="H525" s="7">
        <f t="shared" si="24"/>
        <v>1130</v>
      </c>
      <c r="I525" s="7">
        <f t="shared" si="25"/>
        <v>120</v>
      </c>
      <c r="J525" s="9">
        <f t="shared" si="26"/>
        <v>1.1576011157601116</v>
      </c>
      <c r="K525" s="9"/>
      <c r="L525" s="13"/>
      <c r="M525" s="13"/>
      <c r="N525" s="7">
        <f>'Option source'!C875</f>
        <v>125000</v>
      </c>
      <c r="O525" s="7">
        <f>'Option source'!G875</f>
        <v>0</v>
      </c>
      <c r="P525" s="7">
        <f>'Option source'!F875</f>
        <v>0</v>
      </c>
      <c r="Q525" s="1" t="s">
        <v>109</v>
      </c>
      <c r="R525" s="1">
        <v>870</v>
      </c>
    </row>
    <row r="526" spans="1:18" ht="21" customHeight="1">
      <c r="A526" s="8">
        <v>46267</v>
      </c>
      <c r="B526" s="1" t="s">
        <v>104</v>
      </c>
      <c r="C526" s="39" t="s">
        <v>87</v>
      </c>
      <c r="D526" s="7">
        <v>6000</v>
      </c>
      <c r="E526" s="7">
        <f>'Option source'!B172</f>
        <v>1350</v>
      </c>
      <c r="F526" s="7">
        <v>7170</v>
      </c>
      <c r="G526" s="14">
        <v>44</v>
      </c>
      <c r="H526" s="7">
        <f t="shared" si="24"/>
        <v>1170</v>
      </c>
      <c r="I526" s="7">
        <f t="shared" si="25"/>
        <v>180</v>
      </c>
      <c r="J526" s="9">
        <f t="shared" si="26"/>
        <v>0.83682008368200833</v>
      </c>
      <c r="K526" s="9"/>
      <c r="L526" s="13"/>
      <c r="M526" s="13"/>
      <c r="N526" s="7">
        <f>'Option source'!C172</f>
        <v>135000</v>
      </c>
      <c r="O526" s="7">
        <f>'Option source'!G172</f>
        <v>0</v>
      </c>
      <c r="P526" s="7">
        <f>'Option source'!F172</f>
        <v>0</v>
      </c>
      <c r="Q526" s="1" t="s">
        <v>109</v>
      </c>
      <c r="R526" s="1">
        <v>167</v>
      </c>
    </row>
    <row r="527" spans="1:18" ht="21" customHeight="1">
      <c r="A527" s="8">
        <v>46267</v>
      </c>
      <c r="B527" s="1" t="s">
        <v>105</v>
      </c>
      <c r="C527" s="39" t="s">
        <v>90</v>
      </c>
      <c r="D527" s="7">
        <v>6000</v>
      </c>
      <c r="E527" s="7">
        <f>'Option source'!B666</f>
        <v>41.36</v>
      </c>
      <c r="F527" s="7">
        <v>7170</v>
      </c>
      <c r="G527" s="14">
        <v>44</v>
      </c>
      <c r="H527" s="7">
        <f t="shared" si="24"/>
        <v>0</v>
      </c>
      <c r="I527" s="7">
        <f t="shared" si="25"/>
        <v>41.36</v>
      </c>
      <c r="J527" s="9">
        <f t="shared" si="26"/>
        <v>0.83682008368200833</v>
      </c>
      <c r="K527" s="9">
        <v>0.45154007942416641</v>
      </c>
      <c r="L527" s="13">
        <v>-7.4175053483070075E-2</v>
      </c>
      <c r="M527" s="13">
        <v>3.4942933558520064</v>
      </c>
      <c r="N527" s="7">
        <f>'Option source'!C666</f>
        <v>30934984</v>
      </c>
      <c r="O527" s="7">
        <f>'Option source'!G666</f>
        <v>40</v>
      </c>
      <c r="P527" s="7">
        <f>'Option source'!F666</f>
        <v>58.99</v>
      </c>
      <c r="Q527" s="1" t="s">
        <v>88</v>
      </c>
      <c r="R527" s="1">
        <v>661</v>
      </c>
    </row>
    <row r="528" spans="1:18" ht="21" customHeight="1">
      <c r="A528" s="8">
        <v>46267</v>
      </c>
      <c r="B528" s="1" t="s">
        <v>110</v>
      </c>
      <c r="C528" s="39" t="s">
        <v>90</v>
      </c>
      <c r="D528" s="7">
        <v>5800</v>
      </c>
      <c r="E528" s="7">
        <f>'Option source'!B647</f>
        <v>24.27</v>
      </c>
      <c r="F528" s="7">
        <v>7170</v>
      </c>
      <c r="G528" s="14">
        <v>44</v>
      </c>
      <c r="H528" s="7">
        <f t="shared" si="24"/>
        <v>0</v>
      </c>
      <c r="I528" s="7">
        <f t="shared" si="25"/>
        <v>24.27</v>
      </c>
      <c r="J528" s="9">
        <f t="shared" si="26"/>
        <v>0.80892608089260809</v>
      </c>
      <c r="K528" s="9">
        <v>0.44865941260670672</v>
      </c>
      <c r="L528" s="13">
        <v>-4.7331934064569481E-2</v>
      </c>
      <c r="M528" s="13">
        <v>2.4573625227051257</v>
      </c>
      <c r="N528" s="7">
        <f>'Option source'!C647</f>
        <v>9040533</v>
      </c>
      <c r="O528" s="7">
        <f>'Option source'!G647</f>
        <v>23</v>
      </c>
      <c r="P528" s="7">
        <f>'Option source'!F647</f>
        <v>36.979999999999997</v>
      </c>
      <c r="Q528" s="1" t="s">
        <v>88</v>
      </c>
      <c r="R528" s="1">
        <v>642</v>
      </c>
    </row>
    <row r="529" spans="1:18" ht="21" customHeight="1">
      <c r="A529" s="8">
        <v>46267</v>
      </c>
      <c r="B529" s="1" t="s">
        <v>127</v>
      </c>
      <c r="C529" s="39" t="s">
        <v>87</v>
      </c>
      <c r="D529" s="7">
        <v>8600</v>
      </c>
      <c r="E529" s="7">
        <f>'Option source'!B400</f>
        <v>84.77</v>
      </c>
      <c r="F529" s="7">
        <v>7170</v>
      </c>
      <c r="G529" s="14">
        <v>44</v>
      </c>
      <c r="H529" s="7">
        <f t="shared" si="24"/>
        <v>0</v>
      </c>
      <c r="I529" s="7">
        <f t="shared" si="25"/>
        <v>84.77</v>
      </c>
      <c r="J529" s="9">
        <f t="shared" si="26"/>
        <v>1.199442119944212</v>
      </c>
      <c r="K529" s="9">
        <v>0.40595861339568562</v>
      </c>
      <c r="L529" s="13">
        <v>0.16772910530204677</v>
      </c>
      <c r="M529" s="13">
        <v>6.2453827967659041</v>
      </c>
      <c r="N529" s="7">
        <f>'Option source'!C400</f>
        <v>171411632</v>
      </c>
      <c r="O529" s="7">
        <f>'Option source'!G400</f>
        <v>67</v>
      </c>
      <c r="P529" s="7">
        <f>'Option source'!F400</f>
        <v>87</v>
      </c>
      <c r="Q529" s="1" t="s">
        <v>88</v>
      </c>
      <c r="R529" s="1">
        <v>395</v>
      </c>
    </row>
    <row r="530" spans="1:18" ht="21" customHeight="1">
      <c r="A530" s="8">
        <v>46267</v>
      </c>
      <c r="B530" s="1" t="s">
        <v>128</v>
      </c>
      <c r="C530" s="39" t="s">
        <v>90</v>
      </c>
      <c r="D530" s="7">
        <v>8600</v>
      </c>
      <c r="E530" s="7">
        <f>'Option source'!B894</f>
        <v>1555.11</v>
      </c>
      <c r="F530" s="7">
        <v>7170</v>
      </c>
      <c r="G530" s="14">
        <v>44</v>
      </c>
      <c r="H530" s="7">
        <f t="shared" si="24"/>
        <v>1430</v>
      </c>
      <c r="I530" s="7">
        <f t="shared" si="25"/>
        <v>125.1099999999999</v>
      </c>
      <c r="J530" s="9">
        <f t="shared" si="26"/>
        <v>1.199442119944212</v>
      </c>
      <c r="K530" s="9"/>
      <c r="L530" s="13"/>
      <c r="M530" s="13"/>
      <c r="N530" s="7">
        <f>'Option source'!C894</f>
        <v>155511</v>
      </c>
      <c r="O530" s="7">
        <f>'Option source'!G894</f>
        <v>0</v>
      </c>
      <c r="P530" s="7">
        <f>'Option source'!F894</f>
        <v>0</v>
      </c>
      <c r="Q530" s="1" t="s">
        <v>109</v>
      </c>
      <c r="R530" s="1">
        <v>889</v>
      </c>
    </row>
    <row r="531" spans="1:18" ht="21" customHeight="1">
      <c r="A531" s="8">
        <v>46267</v>
      </c>
      <c r="B531" s="1" t="s">
        <v>114</v>
      </c>
      <c r="C531" s="39" t="s">
        <v>87</v>
      </c>
      <c r="D531" s="7">
        <v>5600</v>
      </c>
      <c r="E531" s="7">
        <f>'Option source'!B143</f>
        <v>1600</v>
      </c>
      <c r="F531" s="7">
        <v>7170</v>
      </c>
      <c r="G531" s="14">
        <v>44</v>
      </c>
      <c r="H531" s="7">
        <f t="shared" si="24"/>
        <v>1570</v>
      </c>
      <c r="I531" s="7">
        <f t="shared" si="25"/>
        <v>30</v>
      </c>
      <c r="J531" s="9">
        <f t="shared" si="26"/>
        <v>0.78103207810320785</v>
      </c>
      <c r="K531" s="9"/>
      <c r="L531" s="13"/>
      <c r="M531" s="13"/>
      <c r="N531" s="7">
        <f>'Option source'!C143</f>
        <v>0</v>
      </c>
      <c r="O531" s="7">
        <f>'Option source'!G143</f>
        <v>1563</v>
      </c>
      <c r="P531" s="7">
        <f>'Option source'!F143</f>
        <v>1640</v>
      </c>
      <c r="Q531" s="1" t="s">
        <v>25</v>
      </c>
      <c r="R531" s="1">
        <v>138</v>
      </c>
    </row>
    <row r="532" spans="1:18" ht="21" customHeight="1">
      <c r="A532" s="8">
        <v>46267</v>
      </c>
      <c r="B532" s="1" t="s">
        <v>115</v>
      </c>
      <c r="C532" s="39" t="s">
        <v>90</v>
      </c>
      <c r="D532" s="7">
        <v>5600</v>
      </c>
      <c r="E532" s="7">
        <f>'Option source'!B628</f>
        <v>14.11</v>
      </c>
      <c r="F532" s="7">
        <v>7170</v>
      </c>
      <c r="G532" s="14">
        <v>44</v>
      </c>
      <c r="H532" s="7">
        <f t="shared" si="24"/>
        <v>0</v>
      </c>
      <c r="I532" s="7">
        <f t="shared" si="25"/>
        <v>14.11</v>
      </c>
      <c r="J532" s="9">
        <f t="shared" si="26"/>
        <v>0.78103207810320785</v>
      </c>
      <c r="K532" s="9">
        <v>0.4516138709028843</v>
      </c>
      <c r="L532" s="13">
        <v>-2.9702926058156498E-2</v>
      </c>
      <c r="M532" s="13">
        <v>1.679927935430394</v>
      </c>
      <c r="N532" s="7">
        <f>'Option source'!C628</f>
        <v>5835576</v>
      </c>
      <c r="O532" s="7">
        <f>'Option source'!G628</f>
        <v>10</v>
      </c>
      <c r="P532" s="7">
        <f>'Option source'!F628</f>
        <v>22</v>
      </c>
      <c r="Q532" s="1" t="s">
        <v>88</v>
      </c>
      <c r="R532" s="1">
        <v>623</v>
      </c>
    </row>
    <row r="533" spans="1:18" ht="21" customHeight="1">
      <c r="A533" s="8">
        <v>46267</v>
      </c>
      <c r="B533" s="1" t="s">
        <v>132</v>
      </c>
      <c r="C533" s="39" t="s">
        <v>87</v>
      </c>
      <c r="D533" s="7">
        <v>8900</v>
      </c>
      <c r="E533" s="7">
        <f>'Option source'!B419</f>
        <v>53.17</v>
      </c>
      <c r="F533" s="7">
        <v>7170</v>
      </c>
      <c r="G533" s="14">
        <v>44</v>
      </c>
      <c r="H533" s="7">
        <f t="shared" si="24"/>
        <v>0</v>
      </c>
      <c r="I533" s="7">
        <f t="shared" si="25"/>
        <v>53.17</v>
      </c>
      <c r="J533" s="9">
        <f t="shared" si="26"/>
        <v>1.2412831241283124</v>
      </c>
      <c r="K533" s="9">
        <v>0.40678295767287198</v>
      </c>
      <c r="L533" s="13">
        <v>0.11434885335813415</v>
      </c>
      <c r="M533" s="13">
        <v>4.8125499779000442</v>
      </c>
      <c r="N533" s="7">
        <f>'Option source'!C419</f>
        <v>22213796</v>
      </c>
      <c r="O533" s="7">
        <f>'Option source'!G419</f>
        <v>42</v>
      </c>
      <c r="P533" s="7">
        <f>'Option source'!F419</f>
        <v>55.2</v>
      </c>
      <c r="Q533" s="1" t="s">
        <v>88</v>
      </c>
      <c r="R533" s="1">
        <v>414</v>
      </c>
    </row>
    <row r="534" spans="1:18" ht="21" customHeight="1">
      <c r="A534" s="8">
        <v>46267</v>
      </c>
      <c r="B534" s="1" t="s">
        <v>133</v>
      </c>
      <c r="C534" s="39" t="s">
        <v>90</v>
      </c>
      <c r="D534" s="7">
        <v>8900</v>
      </c>
      <c r="E534" s="7">
        <f>'Option source'!B909</f>
        <v>2022.5</v>
      </c>
      <c r="F534" s="7">
        <v>7170</v>
      </c>
      <c r="G534" s="14">
        <v>44</v>
      </c>
      <c r="H534" s="7">
        <f t="shared" si="24"/>
        <v>1730</v>
      </c>
      <c r="I534" s="7">
        <f t="shared" si="25"/>
        <v>292.5</v>
      </c>
      <c r="J534" s="9">
        <f t="shared" si="26"/>
        <v>1.2412831241283124</v>
      </c>
      <c r="K534" s="9"/>
      <c r="L534" s="13"/>
      <c r="M534" s="13"/>
      <c r="N534" s="7">
        <f>'Option source'!C909</f>
        <v>0</v>
      </c>
      <c r="O534" s="7">
        <f>'Option source'!G909</f>
        <v>2022.5</v>
      </c>
      <c r="P534" s="7">
        <f>'Option source'!F909</f>
        <v>2037.67</v>
      </c>
      <c r="Q534" s="1" t="s">
        <v>25</v>
      </c>
      <c r="R534" s="1">
        <v>904</v>
      </c>
    </row>
    <row r="535" spans="1:18" ht="21" customHeight="1">
      <c r="A535" s="8">
        <v>46267</v>
      </c>
      <c r="B535" s="1" t="s">
        <v>119</v>
      </c>
      <c r="C535" s="39" t="s">
        <v>87</v>
      </c>
      <c r="D535" s="7">
        <v>5400</v>
      </c>
      <c r="E535" s="7">
        <f>'Option source'!B125</f>
        <v>1790</v>
      </c>
      <c r="F535" s="7">
        <v>7170</v>
      </c>
      <c r="G535" s="14">
        <v>44</v>
      </c>
      <c r="H535" s="7">
        <f t="shared" si="24"/>
        <v>1770</v>
      </c>
      <c r="I535" s="7">
        <f t="shared" si="25"/>
        <v>20</v>
      </c>
      <c r="J535" s="9">
        <f t="shared" si="26"/>
        <v>0.7531380753138075</v>
      </c>
      <c r="K535" s="9"/>
      <c r="L535" s="13"/>
      <c r="M535" s="13"/>
      <c r="N535" s="7">
        <f>'Option source'!C125</f>
        <v>0</v>
      </c>
      <c r="O535" s="7">
        <f>'Option source'!G125</f>
        <v>1700</v>
      </c>
      <c r="P535" s="7">
        <f>'Option source'!F125</f>
        <v>1822.64</v>
      </c>
      <c r="Q535" s="1" t="s">
        <v>25</v>
      </c>
      <c r="R535" s="1">
        <v>120</v>
      </c>
    </row>
    <row r="536" spans="1:18" ht="21" customHeight="1">
      <c r="A536" s="8">
        <v>46267</v>
      </c>
      <c r="B536" s="1" t="s">
        <v>120</v>
      </c>
      <c r="C536" s="39" t="s">
        <v>90</v>
      </c>
      <c r="D536" s="7">
        <v>5400</v>
      </c>
      <c r="E536" s="7">
        <f>'Option source'!B609</f>
        <v>8.0399999999999991</v>
      </c>
      <c r="F536" s="7">
        <v>7170</v>
      </c>
      <c r="G536" s="14">
        <v>44</v>
      </c>
      <c r="H536" s="7">
        <f t="shared" si="24"/>
        <v>0</v>
      </c>
      <c r="I536" s="7">
        <f t="shared" si="25"/>
        <v>8.0399999999999991</v>
      </c>
      <c r="J536" s="9">
        <f t="shared" si="26"/>
        <v>0.7531380753138075</v>
      </c>
      <c r="K536" s="9">
        <v>0.45588949890164265</v>
      </c>
      <c r="L536" s="13">
        <v>-1.7920113205492472E-2</v>
      </c>
      <c r="M536" s="13">
        <v>1.0978492911095943</v>
      </c>
      <c r="N536" s="7">
        <f>'Option source'!C609</f>
        <v>2344033.25</v>
      </c>
      <c r="O536" s="7">
        <f>'Option source'!G609</f>
        <v>5.01</v>
      </c>
      <c r="P536" s="7">
        <f>'Option source'!F609</f>
        <v>12</v>
      </c>
      <c r="Q536" s="1" t="s">
        <v>88</v>
      </c>
      <c r="R536" s="1">
        <v>604</v>
      </c>
    </row>
    <row r="537" spans="1:18" ht="21" customHeight="1">
      <c r="A537" s="8">
        <v>46267</v>
      </c>
      <c r="B537" s="1" t="s">
        <v>123</v>
      </c>
      <c r="C537" s="39" t="s">
        <v>87</v>
      </c>
      <c r="D537" s="7">
        <v>5200</v>
      </c>
      <c r="E537" s="7">
        <f>'Option source'!B106</f>
        <v>1991.75</v>
      </c>
      <c r="F537" s="7">
        <v>7170</v>
      </c>
      <c r="G537" s="14">
        <v>44</v>
      </c>
      <c r="H537" s="7">
        <f t="shared" si="24"/>
        <v>1970</v>
      </c>
      <c r="I537" s="7">
        <f t="shared" si="25"/>
        <v>21.75</v>
      </c>
      <c r="J537" s="9">
        <f t="shared" si="26"/>
        <v>0.72524407252440726</v>
      </c>
      <c r="K537" s="9"/>
      <c r="L537" s="13"/>
      <c r="M537" s="13"/>
      <c r="N537" s="7">
        <f>'Option source'!C106</f>
        <v>0</v>
      </c>
      <c r="O537" s="7">
        <f>'Option source'!G106</f>
        <v>1988</v>
      </c>
      <c r="P537" s="7">
        <f>'Option source'!F106</f>
        <v>2044.31</v>
      </c>
      <c r="Q537" s="1" t="s">
        <v>25</v>
      </c>
      <c r="R537" s="1">
        <v>101</v>
      </c>
    </row>
    <row r="538" spans="1:18" ht="21" customHeight="1">
      <c r="A538" s="8">
        <v>46267</v>
      </c>
      <c r="B538" s="1" t="s">
        <v>124</v>
      </c>
      <c r="C538" s="39" t="s">
        <v>90</v>
      </c>
      <c r="D538" s="7">
        <v>5200</v>
      </c>
      <c r="E538" s="7">
        <f>'Option source'!B590</f>
        <v>4.57</v>
      </c>
      <c r="F538" s="7">
        <v>7170</v>
      </c>
      <c r="G538" s="14">
        <v>44</v>
      </c>
      <c r="H538" s="7">
        <f t="shared" si="24"/>
        <v>0</v>
      </c>
      <c r="I538" s="7">
        <f t="shared" si="25"/>
        <v>4.57</v>
      </c>
      <c r="J538" s="9">
        <f t="shared" si="26"/>
        <v>0.72524407252440726</v>
      </c>
      <c r="K538" s="9">
        <v>0.46436041657721316</v>
      </c>
      <c r="L538" s="13">
        <v>-1.0796620549570313E-2</v>
      </c>
      <c r="M538" s="13">
        <v>0.70932979707888899</v>
      </c>
      <c r="N538" s="7">
        <f>'Option source'!C590</f>
        <v>808803.62</v>
      </c>
      <c r="O538" s="7">
        <f>'Option source'!G590</f>
        <v>4.46</v>
      </c>
      <c r="P538" s="7">
        <f>'Option source'!F590</f>
        <v>8.99</v>
      </c>
      <c r="Q538" s="1" t="s">
        <v>88</v>
      </c>
      <c r="R538" s="1">
        <v>585</v>
      </c>
    </row>
    <row r="539" spans="1:18" ht="21" customHeight="1">
      <c r="A539" s="8">
        <v>46267</v>
      </c>
      <c r="B539" s="1" t="s">
        <v>138</v>
      </c>
      <c r="C539" s="39" t="s">
        <v>87</v>
      </c>
      <c r="D539" s="7">
        <v>9200</v>
      </c>
      <c r="E539" s="7">
        <f>'Option source'!B438</f>
        <v>32.75</v>
      </c>
      <c r="F539" s="7">
        <v>7170</v>
      </c>
      <c r="G539" s="14">
        <v>44</v>
      </c>
      <c r="H539" s="7">
        <f t="shared" si="24"/>
        <v>0</v>
      </c>
      <c r="I539" s="7">
        <f t="shared" si="25"/>
        <v>32.75</v>
      </c>
      <c r="J539" s="9">
        <f t="shared" si="26"/>
        <v>1.2831241283124128</v>
      </c>
      <c r="K539" s="9">
        <v>0.408109362990137</v>
      </c>
      <c r="L539" s="13">
        <v>7.5883773453605793E-2</v>
      </c>
      <c r="M539" s="13">
        <v>3.5555186771722278</v>
      </c>
      <c r="N539" s="7">
        <f>'Option source'!C438</f>
        <v>9520588</v>
      </c>
      <c r="O539" s="7">
        <f>'Option source'!G438</f>
        <v>26.78</v>
      </c>
      <c r="P539" s="7">
        <f>'Option source'!F438</f>
        <v>33</v>
      </c>
      <c r="Q539" s="1" t="s">
        <v>88</v>
      </c>
      <c r="R539" s="1">
        <v>433</v>
      </c>
    </row>
    <row r="540" spans="1:18" ht="21" customHeight="1">
      <c r="A540" s="8">
        <v>46267</v>
      </c>
      <c r="B540" s="1" t="s">
        <v>125</v>
      </c>
      <c r="C540" s="39" t="s">
        <v>87</v>
      </c>
      <c r="D540" s="7">
        <v>5000</v>
      </c>
      <c r="E540" s="7">
        <f>'Option source'!B87</f>
        <v>2170</v>
      </c>
      <c r="F540" s="7">
        <v>7170</v>
      </c>
      <c r="G540" s="14">
        <v>44</v>
      </c>
      <c r="H540" s="7">
        <f t="shared" si="24"/>
        <v>2170</v>
      </c>
      <c r="I540" s="7">
        <f t="shared" si="25"/>
        <v>0</v>
      </c>
      <c r="J540" s="9">
        <f t="shared" si="26"/>
        <v>0.69735006973500702</v>
      </c>
      <c r="K540" s="9"/>
      <c r="L540" s="13"/>
      <c r="M540" s="13"/>
      <c r="N540" s="7">
        <f>'Option source'!C87</f>
        <v>1302000</v>
      </c>
      <c r="O540" s="7">
        <f>'Option source'!G87</f>
        <v>2170</v>
      </c>
      <c r="P540" s="7">
        <f>'Option source'!F87</f>
        <v>2170</v>
      </c>
      <c r="Q540" s="1" t="s">
        <v>100</v>
      </c>
      <c r="R540" s="1">
        <v>82</v>
      </c>
    </row>
    <row r="541" spans="1:18" ht="21" customHeight="1">
      <c r="A541" s="8">
        <v>46267</v>
      </c>
      <c r="B541" s="1" t="s">
        <v>126</v>
      </c>
      <c r="C541" s="39" t="s">
        <v>90</v>
      </c>
      <c r="D541" s="7">
        <v>5000</v>
      </c>
      <c r="E541" s="7">
        <f>'Option source'!B571</f>
        <v>2.6</v>
      </c>
      <c r="F541" s="7">
        <v>7170</v>
      </c>
      <c r="G541" s="14">
        <v>44</v>
      </c>
      <c r="H541" s="7">
        <f t="shared" si="24"/>
        <v>0</v>
      </c>
      <c r="I541" s="7">
        <f t="shared" si="25"/>
        <v>2.6</v>
      </c>
      <c r="J541" s="9">
        <f t="shared" si="26"/>
        <v>0.69735006973500702</v>
      </c>
      <c r="K541" s="9">
        <v>0.47382306940796914</v>
      </c>
      <c r="L541" s="13">
        <v>-6.329419832170835E-3</v>
      </c>
      <c r="M541" s="13">
        <v>0.44379678007708223</v>
      </c>
      <c r="N541" s="7">
        <f>'Option source'!C571</f>
        <v>522273</v>
      </c>
      <c r="O541" s="7">
        <f>'Option source'!G571</f>
        <v>2.5</v>
      </c>
      <c r="P541" s="7">
        <f>'Option source'!F571</f>
        <v>4.5</v>
      </c>
      <c r="Q541" s="1" t="s">
        <v>88</v>
      </c>
      <c r="R541" s="1">
        <v>566</v>
      </c>
    </row>
    <row r="542" spans="1:18" ht="21" customHeight="1">
      <c r="A542" s="8">
        <v>46267</v>
      </c>
      <c r="B542" s="1" t="s">
        <v>142</v>
      </c>
      <c r="C542" s="39" t="s">
        <v>87</v>
      </c>
      <c r="D542" s="7">
        <v>9500</v>
      </c>
      <c r="E542" s="7">
        <f>'Option source'!B457</f>
        <v>20.75</v>
      </c>
      <c r="F542" s="7">
        <v>7170</v>
      </c>
      <c r="G542" s="14">
        <v>44</v>
      </c>
      <c r="H542" s="7">
        <f t="shared" si="24"/>
        <v>0</v>
      </c>
      <c r="I542" s="7">
        <f t="shared" si="25"/>
        <v>20.75</v>
      </c>
      <c r="J542" s="9">
        <f t="shared" si="26"/>
        <v>1.3249651324965133</v>
      </c>
      <c r="K542" s="9">
        <v>0.41320883309344769</v>
      </c>
      <c r="L542" s="13">
        <v>5.0759645570190401E-2</v>
      </c>
      <c r="M542" s="13">
        <v>2.5985206500121807</v>
      </c>
      <c r="N542" s="7">
        <f>'Option source'!C457</f>
        <v>7407056.5</v>
      </c>
      <c r="O542" s="7">
        <f>'Option source'!G457</f>
        <v>17.5</v>
      </c>
      <c r="P542" s="7">
        <f>'Option source'!F457</f>
        <v>21</v>
      </c>
      <c r="Q542" s="1" t="s">
        <v>88</v>
      </c>
      <c r="R542" s="1">
        <v>452</v>
      </c>
    </row>
    <row r="543" spans="1:18" ht="21" customHeight="1">
      <c r="A543" s="8">
        <v>46267</v>
      </c>
      <c r="B543" s="1" t="s">
        <v>129</v>
      </c>
      <c r="C543" s="39" t="s">
        <v>87</v>
      </c>
      <c r="D543" s="7">
        <v>4800</v>
      </c>
      <c r="E543" s="7">
        <f>'Option source'!B70</f>
        <v>2375</v>
      </c>
      <c r="F543" s="7">
        <v>7170</v>
      </c>
      <c r="G543" s="14">
        <v>44</v>
      </c>
      <c r="H543" s="7">
        <f t="shared" si="24"/>
        <v>2370</v>
      </c>
      <c r="I543" s="7">
        <f t="shared" si="25"/>
        <v>5</v>
      </c>
      <c r="J543" s="9">
        <f t="shared" si="26"/>
        <v>0.66945606694560666</v>
      </c>
      <c r="K543" s="9"/>
      <c r="L543" s="13"/>
      <c r="M543" s="13"/>
      <c r="N543" s="7">
        <f>'Option source'!C70</f>
        <v>0</v>
      </c>
      <c r="O543" s="7">
        <f>'Option source'!G70</f>
        <v>2375</v>
      </c>
      <c r="P543" s="7">
        <f>'Option source'!F70</f>
        <v>2375</v>
      </c>
      <c r="Q543" s="1" t="s">
        <v>25</v>
      </c>
      <c r="R543" s="1">
        <v>65</v>
      </c>
    </row>
    <row r="544" spans="1:18" ht="21" customHeight="1">
      <c r="A544" s="8">
        <v>46267</v>
      </c>
      <c r="B544" s="1" t="s">
        <v>131</v>
      </c>
      <c r="C544" s="39" t="s">
        <v>90</v>
      </c>
      <c r="D544" s="7">
        <v>4800</v>
      </c>
      <c r="E544" s="7">
        <f>'Option source'!B552</f>
        <v>1.74</v>
      </c>
      <c r="F544" s="7">
        <v>7170</v>
      </c>
      <c r="G544" s="14">
        <v>44</v>
      </c>
      <c r="H544" s="7">
        <f t="shared" si="24"/>
        <v>0</v>
      </c>
      <c r="I544" s="7">
        <f t="shared" si="25"/>
        <v>1.74</v>
      </c>
      <c r="J544" s="9">
        <f t="shared" si="26"/>
        <v>0.66945606694560666</v>
      </c>
      <c r="K544" s="9">
        <v>0.49469212724430012</v>
      </c>
      <c r="L544" s="13">
        <v>-4.2340591207303824E-3</v>
      </c>
      <c r="M544" s="13">
        <v>0.31031995224951542</v>
      </c>
      <c r="N544" s="7">
        <f>'Option source'!C552</f>
        <v>180760.3</v>
      </c>
      <c r="O544" s="7">
        <f>'Option source'!G552</f>
        <v>1.7</v>
      </c>
      <c r="P544" s="7">
        <f>'Option source'!F552</f>
        <v>3.2</v>
      </c>
      <c r="Q544" s="1" t="s">
        <v>88</v>
      </c>
      <c r="R544" s="1">
        <v>547</v>
      </c>
    </row>
    <row r="545" spans="1:18" ht="21" customHeight="1">
      <c r="A545" s="8">
        <v>46267</v>
      </c>
      <c r="B545" s="1" t="s">
        <v>134</v>
      </c>
      <c r="C545" s="39" t="s">
        <v>87</v>
      </c>
      <c r="D545" s="7">
        <v>4600</v>
      </c>
      <c r="E545" s="7">
        <f>'Option source'!B53</f>
        <v>2384.7199999999998</v>
      </c>
      <c r="F545" s="7">
        <v>7170</v>
      </c>
      <c r="G545" s="14">
        <v>44</v>
      </c>
      <c r="H545" s="7">
        <f t="shared" si="24"/>
        <v>2570</v>
      </c>
      <c r="I545" s="7">
        <f t="shared" si="25"/>
        <v>-185.2800000000002</v>
      </c>
      <c r="J545" s="9">
        <f t="shared" si="26"/>
        <v>0.64156206415620642</v>
      </c>
      <c r="K545" s="9"/>
      <c r="L545" s="13"/>
      <c r="M545" s="13"/>
      <c r="N545" s="7">
        <f>'Option source'!C53</f>
        <v>0</v>
      </c>
      <c r="O545" s="7">
        <f>'Option source'!G53</f>
        <v>2384.7199999999998</v>
      </c>
      <c r="P545" s="7">
        <f>'Option source'!F53</f>
        <v>2384.7199999999998</v>
      </c>
      <c r="Q545" s="1" t="s">
        <v>118</v>
      </c>
      <c r="R545" s="1">
        <v>48</v>
      </c>
    </row>
    <row r="546" spans="1:18" ht="21" customHeight="1">
      <c r="A546" s="8">
        <v>46267</v>
      </c>
      <c r="B546" s="1" t="s">
        <v>135</v>
      </c>
      <c r="C546" s="39" t="s">
        <v>90</v>
      </c>
      <c r="D546" s="7">
        <v>4600</v>
      </c>
      <c r="E546" s="7">
        <f>'Option source'!B533</f>
        <v>1.38</v>
      </c>
      <c r="F546" s="7">
        <v>7170</v>
      </c>
      <c r="G546" s="14">
        <v>44</v>
      </c>
      <c r="H546" s="7">
        <f t="shared" si="24"/>
        <v>0</v>
      </c>
      <c r="I546" s="7">
        <f t="shared" si="25"/>
        <v>1.38</v>
      </c>
      <c r="J546" s="9">
        <f t="shared" si="26"/>
        <v>0.64156206415620642</v>
      </c>
      <c r="K546" s="9">
        <v>0.52614262274297374</v>
      </c>
      <c r="L546" s="13">
        <v>-3.2739302129861647E-3</v>
      </c>
      <c r="M546" s="13">
        <v>0.24640076728866853</v>
      </c>
      <c r="N546" s="7">
        <f>'Option source'!C533</f>
        <v>364480.59</v>
      </c>
      <c r="O546" s="7">
        <f>'Option source'!G533</f>
        <v>1.3</v>
      </c>
      <c r="P546" s="7">
        <f>'Option source'!F533</f>
        <v>1.9</v>
      </c>
      <c r="Q546" s="1" t="s">
        <v>88</v>
      </c>
      <c r="R546" s="1">
        <v>528</v>
      </c>
    </row>
    <row r="547" spans="1:18" ht="21" customHeight="1">
      <c r="A547" s="8">
        <v>46267</v>
      </c>
      <c r="B547" s="1" t="s">
        <v>143</v>
      </c>
      <c r="C547" s="39" t="s">
        <v>87</v>
      </c>
      <c r="D547" s="7">
        <v>9900</v>
      </c>
      <c r="E547" s="7">
        <f>'Option source'!B476</f>
        <v>12.28</v>
      </c>
      <c r="F547" s="7">
        <v>7170</v>
      </c>
      <c r="G547" s="14">
        <v>44</v>
      </c>
      <c r="H547" s="7">
        <f t="shared" si="24"/>
        <v>0</v>
      </c>
      <c r="I547" s="7">
        <f t="shared" si="25"/>
        <v>12.28</v>
      </c>
      <c r="J547" s="9">
        <f t="shared" si="26"/>
        <v>1.3807531380753137</v>
      </c>
      <c r="K547" s="9">
        <v>0.42609960460815932</v>
      </c>
      <c r="L547" s="13">
        <v>3.1276017355552355E-2</v>
      </c>
      <c r="M547" s="13">
        <v>1.7533033276145402</v>
      </c>
      <c r="N547" s="7">
        <f>'Option source'!C476</f>
        <v>2429018.75</v>
      </c>
      <c r="O547" s="7">
        <f>'Option source'!G476</f>
        <v>10.5</v>
      </c>
      <c r="P547" s="7">
        <f>'Option source'!F476</f>
        <v>13</v>
      </c>
      <c r="Q547" s="1" t="s">
        <v>88</v>
      </c>
      <c r="R547" s="1">
        <v>471</v>
      </c>
    </row>
    <row r="548" spans="1:18" ht="21" customHeight="1">
      <c r="A548" s="8">
        <v>46267</v>
      </c>
      <c r="B548" s="1" t="s">
        <v>136</v>
      </c>
      <c r="C548" s="39" t="s">
        <v>87</v>
      </c>
      <c r="D548" s="7">
        <v>4400</v>
      </c>
      <c r="E548" s="7">
        <f>'Option source'!B34</f>
        <v>2849.09</v>
      </c>
      <c r="F548" s="7">
        <v>7170</v>
      </c>
      <c r="G548" s="14">
        <v>44</v>
      </c>
      <c r="H548" s="7">
        <f t="shared" si="24"/>
        <v>2770</v>
      </c>
      <c r="I548" s="7">
        <f t="shared" si="25"/>
        <v>79.090000000000146</v>
      </c>
      <c r="J548" s="9">
        <f t="shared" si="26"/>
        <v>0.61366806136680618</v>
      </c>
      <c r="K548" s="9"/>
      <c r="L548" s="13"/>
      <c r="M548" s="13"/>
      <c r="N548" s="7">
        <f>'Option source'!C34</f>
        <v>1133656</v>
      </c>
      <c r="O548" s="7">
        <f>'Option source'!G34</f>
        <v>2819.19</v>
      </c>
      <c r="P548" s="7">
        <f>'Option source'!F34</f>
        <v>2819.19</v>
      </c>
      <c r="Q548" s="1" t="s">
        <v>109</v>
      </c>
      <c r="R548" s="1">
        <v>29</v>
      </c>
    </row>
    <row r="549" spans="1:18" ht="21" customHeight="1">
      <c r="A549" s="8">
        <v>46267</v>
      </c>
      <c r="B549" s="1" t="s">
        <v>137</v>
      </c>
      <c r="C549" s="39" t="s">
        <v>90</v>
      </c>
      <c r="D549" s="7">
        <v>4400</v>
      </c>
      <c r="E549" s="7">
        <f>'Option source'!B514</f>
        <v>1.28</v>
      </c>
      <c r="F549" s="7">
        <v>7170</v>
      </c>
      <c r="G549" s="14">
        <v>44</v>
      </c>
      <c r="H549" s="7">
        <f t="shared" si="24"/>
        <v>0</v>
      </c>
      <c r="I549" s="7">
        <f t="shared" si="25"/>
        <v>1.28</v>
      </c>
      <c r="J549" s="9">
        <f t="shared" si="26"/>
        <v>0.61366806136680618</v>
      </c>
      <c r="K549" s="9">
        <v>0.56600045528205745</v>
      </c>
      <c r="L549" s="13">
        <v>-2.8280126530879635E-3</v>
      </c>
      <c r="M549" s="13">
        <v>0.21595668922380654</v>
      </c>
      <c r="N549" s="7">
        <f>'Option source'!C514</f>
        <v>108466.7</v>
      </c>
      <c r="O549" s="7">
        <f>'Option source'!G514</f>
        <v>1</v>
      </c>
      <c r="P549" s="7">
        <f>'Option source'!F514</f>
        <v>1.8</v>
      </c>
      <c r="Q549" s="1" t="s">
        <v>88</v>
      </c>
      <c r="R549" s="1">
        <v>509</v>
      </c>
    </row>
    <row r="550" spans="1:18" ht="21" customHeight="1">
      <c r="A550" s="8">
        <v>46267</v>
      </c>
      <c r="B550" s="1" t="s">
        <v>140</v>
      </c>
      <c r="C550" s="39" t="s">
        <v>87</v>
      </c>
      <c r="D550" s="7">
        <v>4200</v>
      </c>
      <c r="E550" s="7">
        <f>'Option source'!B15</f>
        <v>3017.35</v>
      </c>
      <c r="F550" s="7">
        <v>7170</v>
      </c>
      <c r="G550" s="14">
        <v>44</v>
      </c>
      <c r="H550" s="7">
        <f t="shared" si="24"/>
        <v>2970</v>
      </c>
      <c r="I550" s="7">
        <f t="shared" si="25"/>
        <v>47.349999999999909</v>
      </c>
      <c r="J550" s="9">
        <f t="shared" si="26"/>
        <v>0.58577405857740583</v>
      </c>
      <c r="K550" s="9"/>
      <c r="L550" s="13"/>
      <c r="M550" s="13"/>
      <c r="N550" s="7">
        <f>'Option source'!C15</f>
        <v>0</v>
      </c>
      <c r="O550" s="7">
        <f>'Option source'!G15</f>
        <v>2946.11</v>
      </c>
      <c r="P550" s="7">
        <f>'Option source'!F15</f>
        <v>2946.11</v>
      </c>
      <c r="Q550" s="1" t="s">
        <v>130</v>
      </c>
      <c r="R550" s="1">
        <v>10</v>
      </c>
    </row>
    <row r="551" spans="1:18" ht="21" customHeight="1">
      <c r="A551" s="8">
        <v>46267</v>
      </c>
      <c r="B551" s="1" t="s">
        <v>141</v>
      </c>
      <c r="C551" s="39" t="s">
        <v>90</v>
      </c>
      <c r="D551" s="7">
        <v>4200</v>
      </c>
      <c r="E551" s="7">
        <f>'Option source'!B495</f>
        <v>0.9</v>
      </c>
      <c r="F551" s="7">
        <v>7170</v>
      </c>
      <c r="G551" s="14">
        <v>44</v>
      </c>
      <c r="H551" s="7">
        <f t="shared" si="24"/>
        <v>0</v>
      </c>
      <c r="I551" s="7">
        <f t="shared" si="25"/>
        <v>0.9</v>
      </c>
      <c r="J551" s="9">
        <f t="shared" si="26"/>
        <v>0.58577405857740583</v>
      </c>
      <c r="K551" s="9">
        <v>0.59156120974339998</v>
      </c>
      <c r="L551" s="13">
        <v>-1.9714165911208781E-3</v>
      </c>
      <c r="M551" s="13">
        <v>0.15578475799278579</v>
      </c>
      <c r="N551" s="7">
        <f>'Option source'!C495</f>
        <v>84805.8</v>
      </c>
      <c r="O551" s="7">
        <f>'Option source'!G495</f>
        <v>0.88</v>
      </c>
      <c r="P551" s="7">
        <f>'Option source'!F495</f>
        <v>1.3</v>
      </c>
      <c r="Q551" s="1" t="s">
        <v>88</v>
      </c>
      <c r="R551" s="1">
        <v>490</v>
      </c>
    </row>
    <row r="552" spans="1:18" ht="21" customHeight="1">
      <c r="A552" s="8">
        <v>46266</v>
      </c>
      <c r="B552" s="1" t="s">
        <v>93</v>
      </c>
      <c r="C552" s="39" t="s">
        <v>87</v>
      </c>
      <c r="D552" s="7">
        <v>7000</v>
      </c>
      <c r="E552" s="7">
        <f>'Option source'!B266</f>
        <v>562.73</v>
      </c>
      <c r="F552" s="7">
        <v>7060</v>
      </c>
      <c r="G552" s="14">
        <v>45</v>
      </c>
      <c r="H552" s="7">
        <f t="shared" si="24"/>
        <v>60</v>
      </c>
      <c r="I552" s="7">
        <f t="shared" si="25"/>
        <v>502.73</v>
      </c>
      <c r="J552" s="9">
        <f t="shared" si="26"/>
        <v>0.99150141643059486</v>
      </c>
      <c r="K552" s="9">
        <v>0.39901259711553155</v>
      </c>
      <c r="L552" s="13">
        <v>0.65356545703384983</v>
      </c>
      <c r="M552" s="13">
        <v>9.1474550180612084</v>
      </c>
      <c r="N552" s="7">
        <f>'Option source'!C266</f>
        <v>401417760</v>
      </c>
      <c r="O552" s="7">
        <f>'Option source'!G266</f>
        <v>508.33</v>
      </c>
      <c r="P552" s="7">
        <f>'Option source'!F266</f>
        <v>645</v>
      </c>
      <c r="Q552" s="1" t="s">
        <v>88</v>
      </c>
      <c r="R552" s="1">
        <v>261</v>
      </c>
    </row>
    <row r="553" spans="1:18" ht="21" customHeight="1">
      <c r="A553" s="8">
        <v>46266</v>
      </c>
      <c r="B553" s="1" t="s">
        <v>94</v>
      </c>
      <c r="C553" s="39" t="s">
        <v>90</v>
      </c>
      <c r="D553" s="7">
        <v>7000</v>
      </c>
      <c r="E553" s="7">
        <f>'Option source'!B760</f>
        <v>334.82</v>
      </c>
      <c r="F553" s="7">
        <v>7060</v>
      </c>
      <c r="G553" s="14">
        <v>45</v>
      </c>
      <c r="H553" s="7">
        <f t="shared" si="24"/>
        <v>0</v>
      </c>
      <c r="I553" s="7">
        <f t="shared" si="25"/>
        <v>334.82</v>
      </c>
      <c r="J553" s="9">
        <f t="shared" si="26"/>
        <v>0.99150141643059486</v>
      </c>
      <c r="K553" s="9">
        <v>0.46678672146654721</v>
      </c>
      <c r="L553" s="13">
        <v>-0.35954025036213744</v>
      </c>
      <c r="M553" s="13">
        <v>9.2700286203763351</v>
      </c>
      <c r="N553" s="7">
        <f>'Option source'!C760</f>
        <v>161734720</v>
      </c>
      <c r="O553" s="7">
        <f>'Option source'!G760</f>
        <v>285</v>
      </c>
      <c r="P553" s="7">
        <f>'Option source'!F760</f>
        <v>400</v>
      </c>
      <c r="Q553" s="1" t="s">
        <v>88</v>
      </c>
      <c r="R553" s="1">
        <v>755</v>
      </c>
    </row>
    <row r="554" spans="1:18" ht="21" customHeight="1">
      <c r="A554" s="8">
        <v>46266</v>
      </c>
      <c r="B554" s="1" t="s">
        <v>97</v>
      </c>
      <c r="C554" s="39" t="s">
        <v>87</v>
      </c>
      <c r="D554" s="7">
        <v>7200</v>
      </c>
      <c r="E554" s="7">
        <f>'Option source'!B285</f>
        <v>464.15</v>
      </c>
      <c r="F554" s="7">
        <v>7060</v>
      </c>
      <c r="G554" s="14">
        <v>45</v>
      </c>
      <c r="H554" s="7">
        <f t="shared" si="24"/>
        <v>0</v>
      </c>
      <c r="I554" s="7">
        <f t="shared" si="25"/>
        <v>464.15</v>
      </c>
      <c r="J554" s="9">
        <f t="shared" si="26"/>
        <v>1.0198300283286119</v>
      </c>
      <c r="K554" s="9">
        <v>0.4088541051698612</v>
      </c>
      <c r="L554" s="13">
        <v>0.5763788616685559</v>
      </c>
      <c r="M554" s="13">
        <v>9.7077004288753201</v>
      </c>
      <c r="N554" s="7">
        <f>'Option source'!C285</f>
        <v>667446912</v>
      </c>
      <c r="O554" s="7">
        <f>'Option source'!G285</f>
        <v>403</v>
      </c>
      <c r="P554" s="7">
        <f>'Option source'!F285</f>
        <v>531</v>
      </c>
      <c r="Q554" s="1" t="s">
        <v>88</v>
      </c>
      <c r="R554" s="1">
        <v>280</v>
      </c>
    </row>
    <row r="555" spans="1:18" ht="21" customHeight="1">
      <c r="A555" s="8">
        <v>46266</v>
      </c>
      <c r="B555" s="1" t="s">
        <v>98</v>
      </c>
      <c r="C555" s="39" t="s">
        <v>90</v>
      </c>
      <c r="D555" s="7">
        <v>7200</v>
      </c>
      <c r="E555" s="7">
        <f>'Option source'!B779</f>
        <v>431.34</v>
      </c>
      <c r="F555" s="7">
        <v>7060</v>
      </c>
      <c r="G555" s="14">
        <v>45</v>
      </c>
      <c r="H555" s="7">
        <f t="shared" si="24"/>
        <v>140</v>
      </c>
      <c r="I555" s="7">
        <f t="shared" si="25"/>
        <v>291.33999999999997</v>
      </c>
      <c r="J555" s="9">
        <f t="shared" si="26"/>
        <v>1.0198300283286119</v>
      </c>
      <c r="K555" s="9">
        <v>0.46608487252608932</v>
      </c>
      <c r="L555" s="13">
        <v>-0.42549890350827257</v>
      </c>
      <c r="M555" s="13">
        <v>9.7165558873103723</v>
      </c>
      <c r="N555" s="7">
        <f>'Option source'!C779</f>
        <v>63324888</v>
      </c>
      <c r="O555" s="7">
        <f>'Option source'!G779</f>
        <v>372.05</v>
      </c>
      <c r="P555" s="7">
        <f>'Option source'!F779</f>
        <v>490</v>
      </c>
      <c r="Q555" s="1" t="s">
        <v>88</v>
      </c>
      <c r="R555" s="1">
        <v>774</v>
      </c>
    </row>
    <row r="556" spans="1:18" ht="21" customHeight="1">
      <c r="A556" s="8">
        <v>46266</v>
      </c>
      <c r="B556" s="1" t="s">
        <v>86</v>
      </c>
      <c r="C556" s="39" t="s">
        <v>87</v>
      </c>
      <c r="D556" s="7">
        <v>6800</v>
      </c>
      <c r="E556" s="7">
        <f>'Option source'!B247</f>
        <v>688.81</v>
      </c>
      <c r="F556" s="7">
        <v>7060</v>
      </c>
      <c r="G556" s="14">
        <v>45</v>
      </c>
      <c r="H556" s="7">
        <f t="shared" si="24"/>
        <v>260</v>
      </c>
      <c r="I556" s="7">
        <f t="shared" si="25"/>
        <v>428.80999999999995</v>
      </c>
      <c r="J556" s="9">
        <f t="shared" si="26"/>
        <v>0.96317280453257792</v>
      </c>
      <c r="K556" s="9">
        <v>0.40242664449422882</v>
      </c>
      <c r="L556" s="13">
        <v>0.72506476495257188</v>
      </c>
      <c r="M556" s="13">
        <v>8.2705378715270648</v>
      </c>
      <c r="N556" s="7">
        <f>'Option source'!C247</f>
        <v>310467520</v>
      </c>
      <c r="O556" s="7">
        <f>'Option source'!G247</f>
        <v>630</v>
      </c>
      <c r="P556" s="7">
        <f>'Option source'!F247</f>
        <v>760</v>
      </c>
      <c r="Q556" s="1" t="s">
        <v>88</v>
      </c>
      <c r="R556" s="1">
        <v>242</v>
      </c>
    </row>
    <row r="557" spans="1:18" ht="21" customHeight="1">
      <c r="A557" s="8">
        <v>46266</v>
      </c>
      <c r="B557" s="1" t="s">
        <v>89</v>
      </c>
      <c r="C557" s="39" t="s">
        <v>90</v>
      </c>
      <c r="D557" s="7">
        <v>6800</v>
      </c>
      <c r="E557" s="7">
        <f>'Option source'!B741</f>
        <v>251.94</v>
      </c>
      <c r="F557" s="7">
        <v>7060</v>
      </c>
      <c r="G557" s="14">
        <v>45</v>
      </c>
      <c r="H557" s="7">
        <f t="shared" si="24"/>
        <v>0</v>
      </c>
      <c r="I557" s="7">
        <f t="shared" si="25"/>
        <v>251.94</v>
      </c>
      <c r="J557" s="9">
        <f t="shared" si="26"/>
        <v>0.96317280453257792</v>
      </c>
      <c r="K557" s="9">
        <v>0.46582200813750119</v>
      </c>
      <c r="L557" s="13">
        <v>-0.29552280113555762</v>
      </c>
      <c r="M557" s="13">
        <v>8.5601440441740113</v>
      </c>
      <c r="N557" s="7">
        <f>'Option source'!C741</f>
        <v>67521120</v>
      </c>
      <c r="O557" s="7">
        <f>'Option source'!G741</f>
        <v>215</v>
      </c>
      <c r="P557" s="7">
        <f>'Option source'!F741</f>
        <v>315</v>
      </c>
      <c r="Q557" s="1" t="s">
        <v>88</v>
      </c>
      <c r="R557" s="1">
        <v>736</v>
      </c>
    </row>
    <row r="558" spans="1:18" ht="21" customHeight="1">
      <c r="A558" s="8">
        <v>46266</v>
      </c>
      <c r="B558" s="1" t="s">
        <v>102</v>
      </c>
      <c r="C558" s="39" t="s">
        <v>87</v>
      </c>
      <c r="D558" s="7">
        <v>7400</v>
      </c>
      <c r="E558" s="7">
        <f>'Option source'!B304</f>
        <v>372.77</v>
      </c>
      <c r="F558" s="7">
        <v>7060</v>
      </c>
      <c r="G558" s="14">
        <v>45</v>
      </c>
      <c r="H558" s="7">
        <f t="shared" si="24"/>
        <v>0</v>
      </c>
      <c r="I558" s="7">
        <f t="shared" si="25"/>
        <v>372.77</v>
      </c>
      <c r="J558" s="9">
        <f t="shared" si="26"/>
        <v>1.048158640226629</v>
      </c>
      <c r="K558" s="9">
        <v>0.4102681346153475</v>
      </c>
      <c r="L558" s="13">
        <v>0.50090624959382024</v>
      </c>
      <c r="M558" s="13">
        <v>9.8894803297180278</v>
      </c>
      <c r="N558" s="7">
        <f>'Option source'!C304</f>
        <v>632641600</v>
      </c>
      <c r="O558" s="7">
        <f>'Option source'!G304</f>
        <v>331.01</v>
      </c>
      <c r="P558" s="7">
        <f>'Option source'!F304</f>
        <v>430</v>
      </c>
      <c r="Q558" s="1" t="s">
        <v>88</v>
      </c>
      <c r="R558" s="1">
        <v>299</v>
      </c>
    </row>
    <row r="559" spans="1:18" ht="21" customHeight="1">
      <c r="A559" s="8">
        <v>46266</v>
      </c>
      <c r="B559" s="1" t="s">
        <v>103</v>
      </c>
      <c r="C559" s="39" t="s">
        <v>90</v>
      </c>
      <c r="D559" s="7">
        <v>7400</v>
      </c>
      <c r="E559" s="7">
        <f>'Option source'!B798</f>
        <v>538.73</v>
      </c>
      <c r="F559" s="7">
        <v>7060</v>
      </c>
      <c r="G559" s="14">
        <v>45</v>
      </c>
      <c r="H559" s="7">
        <f t="shared" si="24"/>
        <v>340</v>
      </c>
      <c r="I559" s="7">
        <f t="shared" si="25"/>
        <v>198.73000000000002</v>
      </c>
      <c r="J559" s="9">
        <f t="shared" si="26"/>
        <v>1.048158640226629</v>
      </c>
      <c r="K559" s="9">
        <v>0.4598050667399749</v>
      </c>
      <c r="L559" s="13">
        <v>-0.49262655746072059</v>
      </c>
      <c r="M559" s="13">
        <v>9.8878166603457256</v>
      </c>
      <c r="N559" s="7">
        <f>'Option source'!C798</f>
        <v>17777200</v>
      </c>
      <c r="O559" s="7">
        <f>'Option source'!G798</f>
        <v>499.99</v>
      </c>
      <c r="P559" s="7">
        <f>'Option source'!F798</f>
        <v>566.48</v>
      </c>
      <c r="Q559" s="1" t="s">
        <v>88</v>
      </c>
      <c r="R559" s="1">
        <v>793</v>
      </c>
    </row>
    <row r="560" spans="1:18" ht="21" customHeight="1">
      <c r="A560" s="8">
        <v>46266</v>
      </c>
      <c r="B560" s="1" t="s">
        <v>91</v>
      </c>
      <c r="C560" s="39" t="s">
        <v>87</v>
      </c>
      <c r="D560" s="7">
        <v>6600</v>
      </c>
      <c r="E560" s="7">
        <f>'Option source'!B228</f>
        <v>808.51</v>
      </c>
      <c r="F560" s="7">
        <v>7060</v>
      </c>
      <c r="G560" s="14">
        <v>45</v>
      </c>
      <c r="H560" s="7">
        <f t="shared" si="24"/>
        <v>460</v>
      </c>
      <c r="I560" s="7">
        <f t="shared" si="25"/>
        <v>348.51</v>
      </c>
      <c r="J560" s="9">
        <f t="shared" si="26"/>
        <v>0.93484419263456087</v>
      </c>
      <c r="K560" s="9">
        <v>0.37724919819425562</v>
      </c>
      <c r="L560" s="13">
        <v>0.80347457111544762</v>
      </c>
      <c r="M560" s="13">
        <v>6.8670371403792823</v>
      </c>
      <c r="N560" s="7">
        <f>'Option source'!C228</f>
        <v>30988906</v>
      </c>
      <c r="O560" s="7">
        <f>'Option source'!G228</f>
        <v>763.57</v>
      </c>
      <c r="P560" s="7">
        <f>'Option source'!F228</f>
        <v>890</v>
      </c>
      <c r="Q560" s="1" t="s">
        <v>88</v>
      </c>
      <c r="R560" s="1">
        <v>223</v>
      </c>
    </row>
    <row r="561" spans="1:18" ht="21" customHeight="1">
      <c r="A561" s="8">
        <v>46266</v>
      </c>
      <c r="B561" s="1" t="s">
        <v>92</v>
      </c>
      <c r="C561" s="39" t="s">
        <v>90</v>
      </c>
      <c r="D561" s="7">
        <v>6600</v>
      </c>
      <c r="E561" s="7">
        <f>'Option source'!B722</f>
        <v>178.65</v>
      </c>
      <c r="F561" s="7">
        <v>7060</v>
      </c>
      <c r="G561" s="14">
        <v>45</v>
      </c>
      <c r="H561" s="7">
        <f t="shared" si="24"/>
        <v>0</v>
      </c>
      <c r="I561" s="7">
        <f t="shared" si="25"/>
        <v>178.65</v>
      </c>
      <c r="J561" s="9">
        <f t="shared" si="26"/>
        <v>0.93484419263456087</v>
      </c>
      <c r="K561" s="9">
        <v>0.45881739334528965</v>
      </c>
      <c r="L561" s="13">
        <v>-0.2331992081315738</v>
      </c>
      <c r="M561" s="13">
        <v>7.5854064112709105</v>
      </c>
      <c r="N561" s="7">
        <f>'Option source'!C722</f>
        <v>218682928</v>
      </c>
      <c r="O561" s="7">
        <f>'Option source'!G722</f>
        <v>158.05000000000001</v>
      </c>
      <c r="P561" s="7">
        <f>'Option source'!F722</f>
        <v>240</v>
      </c>
      <c r="Q561" s="1" t="s">
        <v>88</v>
      </c>
      <c r="R561" s="1">
        <v>717</v>
      </c>
    </row>
    <row r="562" spans="1:18" ht="21" customHeight="1">
      <c r="A562" s="8">
        <v>46266</v>
      </c>
      <c r="B562" s="1" t="s">
        <v>106</v>
      </c>
      <c r="C562" s="39" t="s">
        <v>87</v>
      </c>
      <c r="D562" s="7">
        <v>7600</v>
      </c>
      <c r="E562" s="7">
        <f>'Option source'!B323</f>
        <v>295.41000000000003</v>
      </c>
      <c r="F562" s="7">
        <v>7060</v>
      </c>
      <c r="G562" s="14">
        <v>45</v>
      </c>
      <c r="H562" s="7">
        <f t="shared" si="24"/>
        <v>0</v>
      </c>
      <c r="I562" s="7">
        <f t="shared" si="25"/>
        <v>295.41000000000003</v>
      </c>
      <c r="J562" s="9">
        <f t="shared" si="26"/>
        <v>1.0764872521246458</v>
      </c>
      <c r="K562" s="9">
        <v>0.41144802532747438</v>
      </c>
      <c r="L562" s="13">
        <v>0.42782429513682591</v>
      </c>
      <c r="M562" s="13">
        <v>9.7272132826913875</v>
      </c>
      <c r="N562" s="7">
        <f>'Option source'!C323</f>
        <v>604005568</v>
      </c>
      <c r="O562" s="7">
        <f>'Option source'!G323</f>
        <v>250</v>
      </c>
      <c r="P562" s="7">
        <f>'Option source'!F323</f>
        <v>350</v>
      </c>
      <c r="Q562" s="1" t="s">
        <v>88</v>
      </c>
      <c r="R562" s="1">
        <v>318</v>
      </c>
    </row>
    <row r="563" spans="1:18" ht="21" customHeight="1">
      <c r="A563" s="8">
        <v>46266</v>
      </c>
      <c r="B563" s="1" t="s">
        <v>107</v>
      </c>
      <c r="C563" s="39" t="s">
        <v>90</v>
      </c>
      <c r="D563" s="7">
        <v>7600</v>
      </c>
      <c r="E563" s="7">
        <f>'Option source'!B817</f>
        <v>660.35</v>
      </c>
      <c r="F563" s="7">
        <v>7060</v>
      </c>
      <c r="G563" s="14">
        <v>45</v>
      </c>
      <c r="H563" s="7">
        <f t="shared" si="24"/>
        <v>540</v>
      </c>
      <c r="I563" s="7">
        <f t="shared" si="25"/>
        <v>120.35000000000002</v>
      </c>
      <c r="J563" s="9">
        <f t="shared" si="26"/>
        <v>1.0764872521246458</v>
      </c>
      <c r="K563" s="9">
        <v>0.45010226761196176</v>
      </c>
      <c r="L563" s="13">
        <v>-0.56092061637942359</v>
      </c>
      <c r="M563" s="13">
        <v>9.7739742481054126</v>
      </c>
      <c r="N563" s="7">
        <f>'Option source'!C817</f>
        <v>2586524.5</v>
      </c>
      <c r="O563" s="7">
        <f>'Option source'!G817</f>
        <v>625</v>
      </c>
      <c r="P563" s="7">
        <f>'Option source'!F817</f>
        <v>698.9</v>
      </c>
      <c r="Q563" s="1" t="s">
        <v>88</v>
      </c>
      <c r="R563" s="1">
        <v>812</v>
      </c>
    </row>
    <row r="564" spans="1:18" ht="21" customHeight="1">
      <c r="A564" s="8">
        <v>46266</v>
      </c>
      <c r="B564" s="1" t="s">
        <v>95</v>
      </c>
      <c r="C564" s="39" t="s">
        <v>87</v>
      </c>
      <c r="D564" s="7">
        <v>6400</v>
      </c>
      <c r="E564" s="7">
        <f>'Option source'!B209</f>
        <v>909.97</v>
      </c>
      <c r="F564" s="7">
        <v>7060</v>
      </c>
      <c r="G564" s="14">
        <v>45</v>
      </c>
      <c r="H564" s="7">
        <f t="shared" si="24"/>
        <v>660</v>
      </c>
      <c r="I564" s="7">
        <f t="shared" si="25"/>
        <v>249.97000000000003</v>
      </c>
      <c r="J564" s="9">
        <f t="shared" si="26"/>
        <v>0.90651558073654392</v>
      </c>
      <c r="K564" s="9">
        <v>0.25714705699571649</v>
      </c>
      <c r="L564" s="13">
        <v>0.93843871121462841</v>
      </c>
      <c r="M564" s="13">
        <v>3.0128996110836668</v>
      </c>
      <c r="N564" s="7">
        <f>'Option source'!C209</f>
        <v>14920983</v>
      </c>
      <c r="O564" s="7">
        <f>'Option source'!G209</f>
        <v>890</v>
      </c>
      <c r="P564" s="7">
        <f>'Option source'!F209</f>
        <v>1050</v>
      </c>
      <c r="Q564" s="1" t="s">
        <v>88</v>
      </c>
      <c r="R564" s="1">
        <v>204</v>
      </c>
    </row>
    <row r="565" spans="1:18" ht="21" customHeight="1">
      <c r="A565" s="8">
        <v>46266</v>
      </c>
      <c r="B565" s="1" t="s">
        <v>96</v>
      </c>
      <c r="C565" s="39" t="s">
        <v>90</v>
      </c>
      <c r="D565" s="7">
        <v>6400</v>
      </c>
      <c r="E565" s="7">
        <f>'Option source'!B703</f>
        <v>127.45</v>
      </c>
      <c r="F565" s="7">
        <v>7060</v>
      </c>
      <c r="G565" s="14">
        <v>45</v>
      </c>
      <c r="H565" s="7">
        <f t="shared" si="24"/>
        <v>0</v>
      </c>
      <c r="I565" s="7">
        <f t="shared" si="25"/>
        <v>127.45</v>
      </c>
      <c r="J565" s="9">
        <f t="shared" si="26"/>
        <v>0.90651558073654392</v>
      </c>
      <c r="K565" s="9">
        <v>0.46077566655000513</v>
      </c>
      <c r="L565" s="13">
        <v>-0.1797971819372407</v>
      </c>
      <c r="M565" s="13">
        <v>6.5001125398807105</v>
      </c>
      <c r="N565" s="7">
        <f>'Option source'!C703</f>
        <v>108462736</v>
      </c>
      <c r="O565" s="7">
        <f>'Option source'!G703</f>
        <v>110</v>
      </c>
      <c r="P565" s="7">
        <f>'Option source'!F703</f>
        <v>165</v>
      </c>
      <c r="Q565" s="1" t="s">
        <v>88</v>
      </c>
      <c r="R565" s="1">
        <v>698</v>
      </c>
    </row>
    <row r="566" spans="1:18" ht="21" customHeight="1">
      <c r="A566" s="8">
        <v>46266</v>
      </c>
      <c r="B566" s="1" t="s">
        <v>111</v>
      </c>
      <c r="C566" s="39" t="s">
        <v>87</v>
      </c>
      <c r="D566" s="7">
        <v>7800</v>
      </c>
      <c r="E566" s="7">
        <f>'Option source'!B342</f>
        <v>232.85</v>
      </c>
      <c r="F566" s="7">
        <v>7060</v>
      </c>
      <c r="G566" s="14">
        <v>45</v>
      </c>
      <c r="H566" s="7">
        <f t="shared" si="24"/>
        <v>0</v>
      </c>
      <c r="I566" s="7">
        <f t="shared" si="25"/>
        <v>232.85</v>
      </c>
      <c r="J566" s="9">
        <f t="shared" si="26"/>
        <v>1.1048158640226629</v>
      </c>
      <c r="K566" s="9">
        <v>0.41437517796468121</v>
      </c>
      <c r="L566" s="13">
        <v>0.36012061531738349</v>
      </c>
      <c r="M566" s="13">
        <v>9.2751922349731863</v>
      </c>
      <c r="N566" s="7">
        <f>'Option source'!C342</f>
        <v>234654592</v>
      </c>
      <c r="O566" s="7">
        <f>'Option source'!G342</f>
        <v>190</v>
      </c>
      <c r="P566" s="7">
        <f>'Option source'!F342</f>
        <v>280</v>
      </c>
      <c r="Q566" s="1" t="s">
        <v>88</v>
      </c>
      <c r="R566" s="1">
        <v>337</v>
      </c>
    </row>
    <row r="567" spans="1:18" ht="21" customHeight="1">
      <c r="A567" s="8">
        <v>46266</v>
      </c>
      <c r="B567" s="1" t="s">
        <v>112</v>
      </c>
      <c r="C567" s="39" t="s">
        <v>90</v>
      </c>
      <c r="D567" s="7">
        <v>7800</v>
      </c>
      <c r="E567" s="7">
        <f>'Option source'!B836</f>
        <v>798.65</v>
      </c>
      <c r="F567" s="7">
        <v>7060</v>
      </c>
      <c r="G567" s="14">
        <v>45</v>
      </c>
      <c r="H567" s="7">
        <f t="shared" si="24"/>
        <v>740</v>
      </c>
      <c r="I567" s="7">
        <f t="shared" si="25"/>
        <v>58.649999999999977</v>
      </c>
      <c r="J567" s="9">
        <f t="shared" si="26"/>
        <v>1.1048158640226629</v>
      </c>
      <c r="K567" s="9">
        <v>0.43834801591199718</v>
      </c>
      <c r="L567" s="13">
        <v>-0.62943715853107041</v>
      </c>
      <c r="M567" s="13">
        <v>9.3642974848345535</v>
      </c>
      <c r="N567" s="7">
        <f>'Option source'!C836</f>
        <v>2430883.25</v>
      </c>
      <c r="O567" s="7">
        <f>'Option source'!G836</f>
        <v>750.05</v>
      </c>
      <c r="P567" s="7">
        <f>'Option source'!F836</f>
        <v>940.81</v>
      </c>
      <c r="Q567" s="1" t="s">
        <v>88</v>
      </c>
      <c r="R567" s="1">
        <v>831</v>
      </c>
    </row>
    <row r="568" spans="1:18" ht="21" customHeight="1">
      <c r="A568" s="8">
        <v>46266</v>
      </c>
      <c r="B568" s="1" t="s">
        <v>99</v>
      </c>
      <c r="C568" s="39" t="s">
        <v>87</v>
      </c>
      <c r="D568" s="7">
        <v>6200</v>
      </c>
      <c r="E568" s="7">
        <f>'Option source'!B190</f>
        <v>1069</v>
      </c>
      <c r="F568" s="7">
        <v>7060</v>
      </c>
      <c r="G568" s="14">
        <v>45</v>
      </c>
      <c r="H568" s="7">
        <f t="shared" si="24"/>
        <v>860</v>
      </c>
      <c r="I568" s="7">
        <f t="shared" si="25"/>
        <v>209</v>
      </c>
      <c r="J568" s="9">
        <f t="shared" si="26"/>
        <v>0.87818696883852687</v>
      </c>
      <c r="K568" s="9"/>
      <c r="L568" s="13"/>
      <c r="M568" s="13"/>
      <c r="N568" s="7">
        <f>'Option source'!C190</f>
        <v>0</v>
      </c>
      <c r="O568" s="7">
        <f>'Option source'!G190</f>
        <v>971.66</v>
      </c>
      <c r="P568" s="7">
        <f>'Option source'!F190</f>
        <v>1080</v>
      </c>
      <c r="Q568" s="1" t="s">
        <v>25</v>
      </c>
      <c r="R568" s="1">
        <v>185</v>
      </c>
    </row>
    <row r="569" spans="1:18" ht="21" customHeight="1">
      <c r="A569" s="8">
        <v>46266</v>
      </c>
      <c r="B569" s="1" t="s">
        <v>101</v>
      </c>
      <c r="C569" s="39" t="s">
        <v>90</v>
      </c>
      <c r="D569" s="7">
        <v>6200</v>
      </c>
      <c r="E569" s="7">
        <f>'Option source'!B684</f>
        <v>85.04</v>
      </c>
      <c r="F569" s="7">
        <v>7060</v>
      </c>
      <c r="G569" s="14">
        <v>45</v>
      </c>
      <c r="H569" s="7">
        <f t="shared" si="24"/>
        <v>0</v>
      </c>
      <c r="I569" s="7">
        <f t="shared" si="25"/>
        <v>85.04</v>
      </c>
      <c r="J569" s="9">
        <f t="shared" si="26"/>
        <v>0.87818696883852687</v>
      </c>
      <c r="K569" s="9">
        <v>0.45764389127840127</v>
      </c>
      <c r="L569" s="13">
        <v>-0.13159520009967873</v>
      </c>
      <c r="M569" s="13">
        <v>5.2884515866717177</v>
      </c>
      <c r="N569" s="7">
        <f>'Option source'!C684</f>
        <v>47338000</v>
      </c>
      <c r="O569" s="7">
        <f>'Option source'!G684</f>
        <v>74</v>
      </c>
      <c r="P569" s="7">
        <f>'Option source'!F684</f>
        <v>105.98</v>
      </c>
      <c r="Q569" s="1" t="s">
        <v>88</v>
      </c>
      <c r="R569" s="1">
        <v>679</v>
      </c>
    </row>
    <row r="570" spans="1:18" ht="21" customHeight="1">
      <c r="A570" s="8">
        <v>46266</v>
      </c>
      <c r="B570" s="1" t="s">
        <v>116</v>
      </c>
      <c r="C570" s="39" t="s">
        <v>87</v>
      </c>
      <c r="D570" s="7">
        <v>8000</v>
      </c>
      <c r="E570" s="7">
        <f>'Option source'!B361</f>
        <v>181.31</v>
      </c>
      <c r="F570" s="7">
        <v>7060</v>
      </c>
      <c r="G570" s="14">
        <v>45</v>
      </c>
      <c r="H570" s="7">
        <f t="shared" si="24"/>
        <v>0</v>
      </c>
      <c r="I570" s="7">
        <f t="shared" si="25"/>
        <v>181.31</v>
      </c>
      <c r="J570" s="9">
        <f t="shared" si="26"/>
        <v>1.1331444759206799</v>
      </c>
      <c r="K570" s="9">
        <v>0.41664035722297782</v>
      </c>
      <c r="L570" s="13">
        <v>0.29859026126637933</v>
      </c>
      <c r="M570" s="13">
        <v>8.6006648915276784</v>
      </c>
      <c r="N570" s="7">
        <f>'Option source'!C361</f>
        <v>510256160</v>
      </c>
      <c r="O570" s="7">
        <f>'Option source'!G361</f>
        <v>150</v>
      </c>
      <c r="P570" s="7">
        <f>'Option source'!F361</f>
        <v>218</v>
      </c>
      <c r="Q570" s="1" t="s">
        <v>88</v>
      </c>
      <c r="R570" s="1">
        <v>356</v>
      </c>
    </row>
    <row r="571" spans="1:18" ht="21" customHeight="1">
      <c r="A571" s="8">
        <v>46266</v>
      </c>
      <c r="B571" s="1" t="s">
        <v>117</v>
      </c>
      <c r="C571" s="39" t="s">
        <v>90</v>
      </c>
      <c r="D571" s="7">
        <v>8000</v>
      </c>
      <c r="E571" s="7">
        <f>'Option source'!B855</f>
        <v>960</v>
      </c>
      <c r="F571" s="7">
        <v>7060</v>
      </c>
      <c r="G571" s="14">
        <v>45</v>
      </c>
      <c r="H571" s="7">
        <f t="shared" si="24"/>
        <v>940</v>
      </c>
      <c r="I571" s="7">
        <f t="shared" si="25"/>
        <v>20</v>
      </c>
      <c r="J571" s="9">
        <f t="shared" si="26"/>
        <v>1.1331444759206799</v>
      </c>
      <c r="K571" s="9">
        <v>0.43170717262552732</v>
      </c>
      <c r="L571" s="13">
        <v>-0.69315662175141057</v>
      </c>
      <c r="M571" s="13">
        <v>8.7063586108688522</v>
      </c>
      <c r="N571" s="7">
        <f>'Option source'!C855</f>
        <v>562751.31000000006</v>
      </c>
      <c r="O571" s="7">
        <f>'Option source'!G855</f>
        <v>877.66</v>
      </c>
      <c r="P571" s="7">
        <f>'Option source'!F855</f>
        <v>961.15</v>
      </c>
      <c r="Q571" s="1" t="s">
        <v>88</v>
      </c>
      <c r="R571" s="1">
        <v>850</v>
      </c>
    </row>
    <row r="572" spans="1:18" ht="21" customHeight="1">
      <c r="A572" s="8">
        <v>46266</v>
      </c>
      <c r="B572" s="1" t="s">
        <v>104</v>
      </c>
      <c r="C572" s="39" t="s">
        <v>87</v>
      </c>
      <c r="D572" s="7">
        <v>6000</v>
      </c>
      <c r="E572" s="7">
        <f>'Option source'!B171</f>
        <v>1200</v>
      </c>
      <c r="F572" s="7">
        <v>7060</v>
      </c>
      <c r="G572" s="14">
        <v>45</v>
      </c>
      <c r="H572" s="7">
        <f t="shared" si="24"/>
        <v>1060</v>
      </c>
      <c r="I572" s="7">
        <f t="shared" si="25"/>
        <v>140</v>
      </c>
      <c r="J572" s="9">
        <f t="shared" si="26"/>
        <v>0.84985835694050993</v>
      </c>
      <c r="K572" s="9"/>
      <c r="L572" s="13"/>
      <c r="M572" s="13"/>
      <c r="N572" s="7">
        <f>'Option source'!C171</f>
        <v>0</v>
      </c>
      <c r="O572" s="7">
        <f>'Option source'!G171</f>
        <v>1300</v>
      </c>
      <c r="P572" s="7">
        <f>'Option source'!F171</f>
        <v>1440</v>
      </c>
      <c r="Q572" s="1" t="s">
        <v>130</v>
      </c>
      <c r="R572" s="1">
        <v>166</v>
      </c>
    </row>
    <row r="573" spans="1:18" ht="21" customHeight="1">
      <c r="A573" s="8">
        <v>46266</v>
      </c>
      <c r="B573" s="1" t="s">
        <v>105</v>
      </c>
      <c r="C573" s="39" t="s">
        <v>90</v>
      </c>
      <c r="D573" s="7">
        <v>6000</v>
      </c>
      <c r="E573" s="7">
        <f>'Option source'!B665</f>
        <v>56.43</v>
      </c>
      <c r="F573" s="7">
        <v>7060</v>
      </c>
      <c r="G573" s="14">
        <v>45</v>
      </c>
      <c r="H573" s="7">
        <f t="shared" si="24"/>
        <v>0</v>
      </c>
      <c r="I573" s="7">
        <f t="shared" si="25"/>
        <v>56.43</v>
      </c>
      <c r="J573" s="9">
        <f t="shared" si="26"/>
        <v>0.84985835694050993</v>
      </c>
      <c r="K573" s="9">
        <v>0.46083092321668323</v>
      </c>
      <c r="L573" s="13">
        <v>-9.4270887554651739E-2</v>
      </c>
      <c r="M573" s="13">
        <v>4.1661251232371539</v>
      </c>
      <c r="N573" s="7">
        <f>'Option source'!C665</f>
        <v>33882444</v>
      </c>
      <c r="O573" s="7">
        <f>'Option source'!G665</f>
        <v>45.51</v>
      </c>
      <c r="P573" s="7">
        <f>'Option source'!F665</f>
        <v>74.989999999999995</v>
      </c>
      <c r="Q573" s="1" t="s">
        <v>88</v>
      </c>
      <c r="R573" s="1">
        <v>660</v>
      </c>
    </row>
    <row r="574" spans="1:18" ht="21" customHeight="1">
      <c r="A574" s="8">
        <v>46266</v>
      </c>
      <c r="B574" s="1" t="s">
        <v>121</v>
      </c>
      <c r="C574" s="39" t="s">
        <v>87</v>
      </c>
      <c r="D574" s="7">
        <v>8300</v>
      </c>
      <c r="E574" s="7">
        <f>'Option source'!B380</f>
        <v>117.76</v>
      </c>
      <c r="F574" s="7">
        <v>7060</v>
      </c>
      <c r="G574" s="14">
        <v>45</v>
      </c>
      <c r="H574" s="7">
        <f t="shared" si="24"/>
        <v>0</v>
      </c>
      <c r="I574" s="7">
        <f t="shared" si="25"/>
        <v>117.76</v>
      </c>
      <c r="J574" s="9">
        <f t="shared" si="26"/>
        <v>1.1756373937677054</v>
      </c>
      <c r="K574" s="9">
        <v>0.41356510332802671</v>
      </c>
      <c r="L574" s="13">
        <v>0.21564359305949085</v>
      </c>
      <c r="M574" s="13">
        <v>7.2557686727506692</v>
      </c>
      <c r="N574" s="7">
        <f>'Option source'!C380</f>
        <v>88963832</v>
      </c>
      <c r="O574" s="7">
        <f>'Option source'!G380</f>
        <v>94</v>
      </c>
      <c r="P574" s="7">
        <f>'Option source'!F380</f>
        <v>147.41</v>
      </c>
      <c r="Q574" s="1" t="s">
        <v>88</v>
      </c>
      <c r="R574" s="1">
        <v>375</v>
      </c>
    </row>
    <row r="575" spans="1:18" ht="21" customHeight="1">
      <c r="A575" s="8">
        <v>46266</v>
      </c>
      <c r="B575" s="1" t="s">
        <v>122</v>
      </c>
      <c r="C575" s="39" t="s">
        <v>90</v>
      </c>
      <c r="D575" s="7">
        <v>8300</v>
      </c>
      <c r="E575" s="7">
        <f>'Option source'!B874</f>
        <v>1260</v>
      </c>
      <c r="F575" s="7">
        <v>7060</v>
      </c>
      <c r="G575" s="14">
        <v>45</v>
      </c>
      <c r="H575" s="7">
        <f t="shared" si="24"/>
        <v>1240</v>
      </c>
      <c r="I575" s="7">
        <f t="shared" si="25"/>
        <v>20</v>
      </c>
      <c r="J575" s="9">
        <f t="shared" si="26"/>
        <v>1.1756373937677054</v>
      </c>
      <c r="K575" s="9"/>
      <c r="L575" s="13"/>
      <c r="M575" s="13"/>
      <c r="N575" s="7">
        <f>'Option source'!C874</f>
        <v>0</v>
      </c>
      <c r="O575" s="7">
        <f>'Option source'!G874</f>
        <v>1260</v>
      </c>
      <c r="P575" s="7">
        <f>'Option source'!F874</f>
        <v>1260</v>
      </c>
      <c r="Q575" s="1" t="s">
        <v>25</v>
      </c>
      <c r="R575" s="1">
        <v>869</v>
      </c>
    </row>
    <row r="576" spans="1:18" ht="21" customHeight="1">
      <c r="A576" s="8">
        <v>46266</v>
      </c>
      <c r="B576" s="1" t="s">
        <v>110</v>
      </c>
      <c r="C576" s="39" t="s">
        <v>90</v>
      </c>
      <c r="D576" s="7">
        <v>5800</v>
      </c>
      <c r="E576" s="7">
        <f>'Option source'!B646</f>
        <v>33.950000000000003</v>
      </c>
      <c r="F576" s="7">
        <v>7060</v>
      </c>
      <c r="G576" s="14">
        <v>45</v>
      </c>
      <c r="H576" s="7">
        <f t="shared" si="24"/>
        <v>0</v>
      </c>
      <c r="I576" s="7">
        <f t="shared" si="25"/>
        <v>33.950000000000003</v>
      </c>
      <c r="J576" s="9">
        <f t="shared" si="26"/>
        <v>0.82152974504249288</v>
      </c>
      <c r="K576" s="9">
        <v>0.45651731367130088</v>
      </c>
      <c r="L576" s="13">
        <v>-6.210943577590422E-2</v>
      </c>
      <c r="M576" s="13">
        <v>3.0338192883059851</v>
      </c>
      <c r="N576" s="7">
        <f>'Option source'!C646</f>
        <v>7760197.5</v>
      </c>
      <c r="O576" s="7">
        <f>'Option source'!G646</f>
        <v>28</v>
      </c>
      <c r="P576" s="7">
        <f>'Option source'!F646</f>
        <v>49</v>
      </c>
      <c r="Q576" s="1" t="s">
        <v>88</v>
      </c>
      <c r="R576" s="1">
        <v>641</v>
      </c>
    </row>
    <row r="577" spans="1:18" ht="21" customHeight="1">
      <c r="A577" s="8">
        <v>46266</v>
      </c>
      <c r="B577" s="1" t="s">
        <v>114</v>
      </c>
      <c r="C577" s="39" t="s">
        <v>87</v>
      </c>
      <c r="D577" s="7">
        <v>5600</v>
      </c>
      <c r="E577" s="7">
        <f>'Option source'!B142</f>
        <v>1600</v>
      </c>
      <c r="F577" s="7">
        <v>7060</v>
      </c>
      <c r="G577" s="14">
        <v>45</v>
      </c>
      <c r="H577" s="7">
        <f t="shared" si="24"/>
        <v>1460</v>
      </c>
      <c r="I577" s="7">
        <f t="shared" si="25"/>
        <v>140</v>
      </c>
      <c r="J577" s="9">
        <f t="shared" si="26"/>
        <v>0.79320113314447593</v>
      </c>
      <c r="K577" s="9"/>
      <c r="L577" s="13"/>
      <c r="M577" s="13"/>
      <c r="N577" s="7">
        <f>'Option source'!C142</f>
        <v>5124500</v>
      </c>
      <c r="O577" s="7">
        <f>'Option source'!G142</f>
        <v>1563</v>
      </c>
      <c r="P577" s="7">
        <f>'Option source'!F142</f>
        <v>1640</v>
      </c>
      <c r="Q577" s="1" t="s">
        <v>100</v>
      </c>
      <c r="R577" s="1">
        <v>137</v>
      </c>
    </row>
    <row r="578" spans="1:18" ht="21" customHeight="1">
      <c r="A578" s="8">
        <v>46266</v>
      </c>
      <c r="B578" s="1" t="s">
        <v>115</v>
      </c>
      <c r="C578" s="39" t="s">
        <v>90</v>
      </c>
      <c r="D578" s="7">
        <v>5600</v>
      </c>
      <c r="E578" s="7">
        <f>'Option source'!B627</f>
        <v>20.3</v>
      </c>
      <c r="F578" s="7">
        <v>7060</v>
      </c>
      <c r="G578" s="14">
        <v>45</v>
      </c>
      <c r="H578" s="7">
        <f t="shared" si="24"/>
        <v>0</v>
      </c>
      <c r="I578" s="7">
        <f t="shared" si="25"/>
        <v>20.3</v>
      </c>
      <c r="J578" s="9">
        <f t="shared" si="26"/>
        <v>0.79320113314447593</v>
      </c>
      <c r="K578" s="9">
        <v>0.45860858600877141</v>
      </c>
      <c r="L578" s="13">
        <v>-4.0150107460464213E-2</v>
      </c>
      <c r="M578" s="13">
        <v>2.1426999992828293</v>
      </c>
      <c r="N578" s="7">
        <f>'Option source'!C627</f>
        <v>10112513</v>
      </c>
      <c r="O578" s="7">
        <f>'Option source'!G627</f>
        <v>12.6</v>
      </c>
      <c r="P578" s="7">
        <f>'Option source'!F627</f>
        <v>26.99</v>
      </c>
      <c r="Q578" s="1" t="s">
        <v>88</v>
      </c>
      <c r="R578" s="1">
        <v>622</v>
      </c>
    </row>
    <row r="579" spans="1:18" ht="21" customHeight="1">
      <c r="A579" s="8">
        <v>46266</v>
      </c>
      <c r="B579" s="1" t="s">
        <v>127</v>
      </c>
      <c r="C579" s="39" t="s">
        <v>87</v>
      </c>
      <c r="D579" s="7">
        <v>8600</v>
      </c>
      <c r="E579" s="7">
        <f>'Option source'!B399</f>
        <v>73.38</v>
      </c>
      <c r="F579" s="7">
        <v>7060</v>
      </c>
      <c r="G579" s="14">
        <v>45</v>
      </c>
      <c r="H579" s="7">
        <f t="shared" si="24"/>
        <v>0</v>
      </c>
      <c r="I579" s="7">
        <f t="shared" si="25"/>
        <v>73.38</v>
      </c>
      <c r="J579" s="9">
        <f t="shared" si="26"/>
        <v>1.2181303116147308</v>
      </c>
      <c r="K579" s="9">
        <v>0.40994436886188623</v>
      </c>
      <c r="L579" s="13">
        <v>0.14873043193797084</v>
      </c>
      <c r="M579" s="13">
        <v>5.7471421302467869</v>
      </c>
      <c r="N579" s="7">
        <f>'Option source'!C399</f>
        <v>73585792</v>
      </c>
      <c r="O579" s="7">
        <f>'Option source'!G399</f>
        <v>60</v>
      </c>
      <c r="P579" s="7">
        <f>'Option source'!F399</f>
        <v>96</v>
      </c>
      <c r="Q579" s="1" t="s">
        <v>88</v>
      </c>
      <c r="R579" s="1">
        <v>394</v>
      </c>
    </row>
    <row r="580" spans="1:18" ht="21" customHeight="1">
      <c r="A580" s="8">
        <v>46266</v>
      </c>
      <c r="B580" s="1" t="s">
        <v>128</v>
      </c>
      <c r="C580" s="39" t="s">
        <v>90</v>
      </c>
      <c r="D580" s="7">
        <v>8600</v>
      </c>
      <c r="E580" s="7">
        <f>'Option source'!B893</f>
        <v>1650</v>
      </c>
      <c r="F580" s="7">
        <v>7060</v>
      </c>
      <c r="G580" s="14">
        <v>45</v>
      </c>
      <c r="H580" s="7">
        <f t="shared" si="24"/>
        <v>1540</v>
      </c>
      <c r="I580" s="7">
        <f t="shared" si="25"/>
        <v>110</v>
      </c>
      <c r="J580" s="9">
        <f t="shared" si="26"/>
        <v>1.2181303116147308</v>
      </c>
      <c r="K580" s="9"/>
      <c r="L580" s="13"/>
      <c r="M580" s="13"/>
      <c r="N580" s="7">
        <f>'Option source'!C893</f>
        <v>0</v>
      </c>
      <c r="O580" s="7">
        <f>'Option source'!G893</f>
        <v>1500</v>
      </c>
      <c r="P580" s="7">
        <f>'Option source'!F893</f>
        <v>1500</v>
      </c>
      <c r="Q580" s="1" t="s">
        <v>130</v>
      </c>
      <c r="R580" s="1">
        <v>888</v>
      </c>
    </row>
    <row r="581" spans="1:18" ht="21" customHeight="1">
      <c r="A581" s="8">
        <v>46266</v>
      </c>
      <c r="B581" s="1" t="s">
        <v>119</v>
      </c>
      <c r="C581" s="39" t="s">
        <v>87</v>
      </c>
      <c r="D581" s="7">
        <v>5400</v>
      </c>
      <c r="E581" s="7">
        <f>'Option source'!B124</f>
        <v>1790</v>
      </c>
      <c r="F581" s="7">
        <v>7060</v>
      </c>
      <c r="G581" s="14">
        <v>45</v>
      </c>
      <c r="H581" s="7">
        <f t="shared" si="24"/>
        <v>1660</v>
      </c>
      <c r="I581" s="7">
        <f t="shared" si="25"/>
        <v>130</v>
      </c>
      <c r="J581" s="9">
        <f t="shared" si="26"/>
        <v>0.76487252124645888</v>
      </c>
      <c r="K581" s="9"/>
      <c r="L581" s="13"/>
      <c r="M581" s="13"/>
      <c r="N581" s="7">
        <f>'Option source'!C124</f>
        <v>2144391.25</v>
      </c>
      <c r="O581" s="7">
        <f>'Option source'!G124</f>
        <v>1700</v>
      </c>
      <c r="P581" s="7">
        <f>'Option source'!F124</f>
        <v>1822.64</v>
      </c>
      <c r="Q581" s="1" t="s">
        <v>100</v>
      </c>
      <c r="R581" s="1">
        <v>119</v>
      </c>
    </row>
    <row r="582" spans="1:18" ht="21" customHeight="1">
      <c r="A582" s="8">
        <v>46266</v>
      </c>
      <c r="B582" s="1" t="s">
        <v>120</v>
      </c>
      <c r="C582" s="39" t="s">
        <v>90</v>
      </c>
      <c r="D582" s="7">
        <v>5400</v>
      </c>
      <c r="E582" s="7">
        <f>'Option source'!B608</f>
        <v>11.07</v>
      </c>
      <c r="F582" s="7">
        <v>7060</v>
      </c>
      <c r="G582" s="14">
        <v>45</v>
      </c>
      <c r="H582" s="7">
        <f t="shared" si="24"/>
        <v>0</v>
      </c>
      <c r="I582" s="7">
        <f t="shared" si="25"/>
        <v>11.07</v>
      </c>
      <c r="J582" s="9">
        <f t="shared" si="26"/>
        <v>0.76487252124645888</v>
      </c>
      <c r="K582" s="9">
        <v>0.4570374349476346</v>
      </c>
      <c r="L582" s="13">
        <v>-2.3793993782784129E-2</v>
      </c>
      <c r="M582" s="13">
        <v>1.3899053209246364</v>
      </c>
      <c r="N582" s="7">
        <f>'Option source'!C608</f>
        <v>2846356.75</v>
      </c>
      <c r="O582" s="7">
        <f>'Option source'!G608</f>
        <v>7</v>
      </c>
      <c r="P582" s="7">
        <f>'Option source'!F608</f>
        <v>16.399999999999999</v>
      </c>
      <c r="Q582" s="1" t="s">
        <v>88</v>
      </c>
      <c r="R582" s="1">
        <v>603</v>
      </c>
    </row>
    <row r="583" spans="1:18" ht="21" customHeight="1">
      <c r="A583" s="8">
        <v>46266</v>
      </c>
      <c r="B583" s="1" t="s">
        <v>132</v>
      </c>
      <c r="C583" s="39" t="s">
        <v>87</v>
      </c>
      <c r="D583" s="7">
        <v>8900</v>
      </c>
      <c r="E583" s="7">
        <f>'Option source'!B418</f>
        <v>45.91</v>
      </c>
      <c r="F583" s="7">
        <v>7060</v>
      </c>
      <c r="G583" s="14">
        <v>45</v>
      </c>
      <c r="H583" s="7">
        <f t="shared" ref="H583:H646" si="27">MAX(IF(C583="call",F583-D583,D583-F583),0)</f>
        <v>0</v>
      </c>
      <c r="I583" s="7">
        <f t="shared" ref="I583:I646" si="28">E583-H583</f>
        <v>45.91</v>
      </c>
      <c r="J583" s="9">
        <f t="shared" ref="J583:J646" si="29">D583/F583</f>
        <v>1.2606232294617563</v>
      </c>
      <c r="K583" s="9">
        <v>0.41083689142966967</v>
      </c>
      <c r="L583" s="13">
        <v>0.10079831013355063</v>
      </c>
      <c r="M583" s="13">
        <v>4.3757998489553769</v>
      </c>
      <c r="N583" s="7">
        <f>'Option source'!C418</f>
        <v>23777724</v>
      </c>
      <c r="O583" s="7">
        <f>'Option source'!G418</f>
        <v>41.71</v>
      </c>
      <c r="P583" s="7">
        <f>'Option source'!F418</f>
        <v>62</v>
      </c>
      <c r="Q583" s="1" t="s">
        <v>88</v>
      </c>
      <c r="R583" s="1">
        <v>413</v>
      </c>
    </row>
    <row r="584" spans="1:18" ht="21" customHeight="1">
      <c r="A584" s="8">
        <v>46266</v>
      </c>
      <c r="B584" s="1" t="s">
        <v>133</v>
      </c>
      <c r="C584" s="39" t="s">
        <v>90</v>
      </c>
      <c r="D584" s="7">
        <v>8900</v>
      </c>
      <c r="E584" s="7">
        <f>'Option source'!B908</f>
        <v>2022.5</v>
      </c>
      <c r="F584" s="7">
        <v>7060</v>
      </c>
      <c r="G584" s="14">
        <v>45</v>
      </c>
      <c r="H584" s="7">
        <f t="shared" si="27"/>
        <v>1840</v>
      </c>
      <c r="I584" s="7">
        <f t="shared" si="28"/>
        <v>182.5</v>
      </c>
      <c r="J584" s="9">
        <f t="shared" si="29"/>
        <v>1.2606232294617563</v>
      </c>
      <c r="K584" s="9"/>
      <c r="L584" s="13"/>
      <c r="M584" s="13"/>
      <c r="N584" s="7">
        <f>'Option source'!C908</f>
        <v>0</v>
      </c>
      <c r="O584" s="7">
        <f>'Option source'!G908</f>
        <v>2022.5</v>
      </c>
      <c r="P584" s="7">
        <f>'Option source'!F908</f>
        <v>2037.67</v>
      </c>
      <c r="Q584" s="1" t="s">
        <v>25</v>
      </c>
      <c r="R584" s="1">
        <v>903</v>
      </c>
    </row>
    <row r="585" spans="1:18" ht="21" customHeight="1">
      <c r="A585" s="8">
        <v>46266</v>
      </c>
      <c r="B585" s="1" t="s">
        <v>123</v>
      </c>
      <c r="C585" s="39" t="s">
        <v>87</v>
      </c>
      <c r="D585" s="7">
        <v>5200</v>
      </c>
      <c r="E585" s="7">
        <f>'Option source'!B105</f>
        <v>1991.75</v>
      </c>
      <c r="F585" s="7">
        <v>7060</v>
      </c>
      <c r="G585" s="14">
        <v>45</v>
      </c>
      <c r="H585" s="7">
        <f t="shared" si="27"/>
        <v>1860</v>
      </c>
      <c r="I585" s="7">
        <f t="shared" si="28"/>
        <v>131.75</v>
      </c>
      <c r="J585" s="9">
        <f t="shared" si="29"/>
        <v>0.73654390934844194</v>
      </c>
      <c r="K585" s="9"/>
      <c r="L585" s="13"/>
      <c r="M585" s="13"/>
      <c r="N585" s="7">
        <f>'Option source'!C105</f>
        <v>11462760</v>
      </c>
      <c r="O585" s="7">
        <f>'Option source'!G105</f>
        <v>1988</v>
      </c>
      <c r="P585" s="7">
        <f>'Option source'!F105</f>
        <v>2044.31</v>
      </c>
      <c r="Q585" s="1" t="s">
        <v>100</v>
      </c>
      <c r="R585" s="1">
        <v>100</v>
      </c>
    </row>
    <row r="586" spans="1:18" ht="21" customHeight="1">
      <c r="A586" s="8">
        <v>46266</v>
      </c>
      <c r="B586" s="1" t="s">
        <v>124</v>
      </c>
      <c r="C586" s="39" t="s">
        <v>90</v>
      </c>
      <c r="D586" s="7">
        <v>5200</v>
      </c>
      <c r="E586" s="7">
        <f>'Option source'!B589</f>
        <v>6.67</v>
      </c>
      <c r="F586" s="7">
        <v>7060</v>
      </c>
      <c r="G586" s="14">
        <v>45</v>
      </c>
      <c r="H586" s="7">
        <f t="shared" si="27"/>
        <v>0</v>
      </c>
      <c r="I586" s="7">
        <f t="shared" si="28"/>
        <v>6.67</v>
      </c>
      <c r="J586" s="9">
        <f t="shared" si="29"/>
        <v>0.73654390934844194</v>
      </c>
      <c r="K586" s="9">
        <v>0.46748517614861773</v>
      </c>
      <c r="L586" s="13">
        <v>-1.4991921169122513E-2</v>
      </c>
      <c r="M586" s="13">
        <v>0.93834741931345311</v>
      </c>
      <c r="N586" s="7">
        <f>'Option source'!C589</f>
        <v>1065283.3799999999</v>
      </c>
      <c r="O586" s="7">
        <f>'Option source'!G589</f>
        <v>6</v>
      </c>
      <c r="P586" s="7">
        <f>'Option source'!F589</f>
        <v>10.4</v>
      </c>
      <c r="Q586" s="1" t="s">
        <v>88</v>
      </c>
      <c r="R586" s="1">
        <v>584</v>
      </c>
    </row>
    <row r="587" spans="1:18" ht="21" customHeight="1">
      <c r="A587" s="8">
        <v>46266</v>
      </c>
      <c r="B587" s="1" t="s">
        <v>125</v>
      </c>
      <c r="C587" s="39" t="s">
        <v>87</v>
      </c>
      <c r="D587" s="7">
        <v>5000</v>
      </c>
      <c r="E587" s="7">
        <f>'Option source'!B86</f>
        <v>2180</v>
      </c>
      <c r="F587" s="7">
        <v>7060</v>
      </c>
      <c r="G587" s="14">
        <v>45</v>
      </c>
      <c r="H587" s="7">
        <f t="shared" si="27"/>
        <v>2060</v>
      </c>
      <c r="I587" s="7">
        <f t="shared" si="28"/>
        <v>120</v>
      </c>
      <c r="J587" s="9">
        <f t="shared" si="29"/>
        <v>0.70821529745042489</v>
      </c>
      <c r="K587" s="9"/>
      <c r="L587" s="13"/>
      <c r="M587" s="13"/>
      <c r="N587" s="7">
        <f>'Option source'!C86</f>
        <v>6172276.5</v>
      </c>
      <c r="O587" s="7">
        <f>'Option source'!G86</f>
        <v>2203.6</v>
      </c>
      <c r="P587" s="7">
        <f>'Option source'!F86</f>
        <v>2300</v>
      </c>
      <c r="Q587" s="1" t="s">
        <v>109</v>
      </c>
      <c r="R587" s="1">
        <v>81</v>
      </c>
    </row>
    <row r="588" spans="1:18" ht="21" customHeight="1">
      <c r="A588" s="8">
        <v>46266</v>
      </c>
      <c r="B588" s="1" t="s">
        <v>126</v>
      </c>
      <c r="C588" s="39" t="s">
        <v>90</v>
      </c>
      <c r="D588" s="7">
        <v>5000</v>
      </c>
      <c r="E588" s="7">
        <f>'Option source'!B570</f>
        <v>3.51</v>
      </c>
      <c r="F588" s="7">
        <v>7060</v>
      </c>
      <c r="G588" s="14">
        <v>45</v>
      </c>
      <c r="H588" s="7">
        <f t="shared" si="27"/>
        <v>0</v>
      </c>
      <c r="I588" s="7">
        <f t="shared" si="28"/>
        <v>3.51</v>
      </c>
      <c r="J588" s="9">
        <f t="shared" si="29"/>
        <v>0.70821529745042489</v>
      </c>
      <c r="K588" s="9">
        <v>0.47106092041728442</v>
      </c>
      <c r="L588" s="13">
        <v>-8.3737247145991844E-3</v>
      </c>
      <c r="M588" s="13">
        <v>0.56561022982167275</v>
      </c>
      <c r="N588" s="7">
        <f>'Option source'!C570</f>
        <v>266406.90999999997</v>
      </c>
      <c r="O588" s="7">
        <f>'Option source'!G570</f>
        <v>3.01</v>
      </c>
      <c r="P588" s="7">
        <f>'Option source'!F570</f>
        <v>5</v>
      </c>
      <c r="Q588" s="1" t="s">
        <v>88</v>
      </c>
      <c r="R588" s="1">
        <v>565</v>
      </c>
    </row>
    <row r="589" spans="1:18" ht="21" customHeight="1">
      <c r="A589" s="8">
        <v>46266</v>
      </c>
      <c r="B589" s="1" t="s">
        <v>138</v>
      </c>
      <c r="C589" s="39" t="s">
        <v>87</v>
      </c>
      <c r="D589" s="7">
        <v>9200</v>
      </c>
      <c r="E589" s="7">
        <f>'Option source'!B437</f>
        <v>29.8</v>
      </c>
      <c r="F589" s="7">
        <v>7060</v>
      </c>
      <c r="G589" s="14">
        <v>45</v>
      </c>
      <c r="H589" s="7">
        <f t="shared" si="27"/>
        <v>0</v>
      </c>
      <c r="I589" s="7">
        <f t="shared" si="28"/>
        <v>29.8</v>
      </c>
      <c r="J589" s="9">
        <f t="shared" si="29"/>
        <v>1.3031161473087818</v>
      </c>
      <c r="K589" s="9">
        <v>0.41696461584135558</v>
      </c>
      <c r="L589" s="13">
        <v>6.9096574116936649E-2</v>
      </c>
      <c r="M589" s="13">
        <v>3.2952832350220955</v>
      </c>
      <c r="N589" s="7">
        <f>'Option source'!C437</f>
        <v>10516781</v>
      </c>
      <c r="O589" s="7">
        <f>'Option source'!G437</f>
        <v>25.11</v>
      </c>
      <c r="P589" s="7">
        <f>'Option source'!F437</f>
        <v>38</v>
      </c>
      <c r="Q589" s="1" t="s">
        <v>88</v>
      </c>
      <c r="R589" s="1">
        <v>432</v>
      </c>
    </row>
    <row r="590" spans="1:18" ht="21" customHeight="1">
      <c r="A590" s="8">
        <v>46266</v>
      </c>
      <c r="B590" s="1" t="s">
        <v>129</v>
      </c>
      <c r="C590" s="39" t="s">
        <v>87</v>
      </c>
      <c r="D590" s="7">
        <v>4800</v>
      </c>
      <c r="E590" s="7">
        <f>'Option source'!B69</f>
        <v>2375</v>
      </c>
      <c r="F590" s="7">
        <v>7060</v>
      </c>
      <c r="G590" s="14">
        <v>45</v>
      </c>
      <c r="H590" s="7">
        <f t="shared" si="27"/>
        <v>2260</v>
      </c>
      <c r="I590" s="7">
        <f t="shared" si="28"/>
        <v>115</v>
      </c>
      <c r="J590" s="9">
        <f t="shared" si="29"/>
        <v>0.67988668555240794</v>
      </c>
      <c r="K590" s="9"/>
      <c r="L590" s="13"/>
      <c r="M590" s="13"/>
      <c r="N590" s="7">
        <f>'Option source'!C69</f>
        <v>475000</v>
      </c>
      <c r="O590" s="7">
        <f>'Option source'!G69</f>
        <v>0</v>
      </c>
      <c r="P590" s="7">
        <f>'Option source'!F69</f>
        <v>0</v>
      </c>
      <c r="Q590" s="1" t="s">
        <v>109</v>
      </c>
      <c r="R590" s="1">
        <v>64</v>
      </c>
    </row>
    <row r="591" spans="1:18" ht="21" customHeight="1">
      <c r="A591" s="8">
        <v>46266</v>
      </c>
      <c r="B591" s="1" t="s">
        <v>131</v>
      </c>
      <c r="C591" s="39" t="s">
        <v>90</v>
      </c>
      <c r="D591" s="7">
        <v>4800</v>
      </c>
      <c r="E591" s="7">
        <f>'Option source'!B551</f>
        <v>2.89</v>
      </c>
      <c r="F591" s="7">
        <v>7060</v>
      </c>
      <c r="G591" s="14">
        <v>45</v>
      </c>
      <c r="H591" s="7">
        <f t="shared" si="27"/>
        <v>0</v>
      </c>
      <c r="I591" s="7">
        <f t="shared" si="28"/>
        <v>2.89</v>
      </c>
      <c r="J591" s="9">
        <f t="shared" si="29"/>
        <v>0.67988668555240794</v>
      </c>
      <c r="K591" s="9">
        <v>0.5039221307657531</v>
      </c>
      <c r="L591" s="13">
        <v>-6.604530678993692E-3</v>
      </c>
      <c r="M591" s="13">
        <v>0.45887742142920451</v>
      </c>
      <c r="N591" s="7">
        <f>'Option source'!C551</f>
        <v>86461.4</v>
      </c>
      <c r="O591" s="7">
        <f>'Option source'!G551</f>
        <v>1.91</v>
      </c>
      <c r="P591" s="7">
        <f>'Option source'!F551</f>
        <v>3.7</v>
      </c>
      <c r="Q591" s="1" t="s">
        <v>88</v>
      </c>
      <c r="R591" s="1">
        <v>546</v>
      </c>
    </row>
    <row r="592" spans="1:18" ht="21" customHeight="1">
      <c r="A592" s="8">
        <v>46266</v>
      </c>
      <c r="B592" s="1" t="s">
        <v>142</v>
      </c>
      <c r="C592" s="39" t="s">
        <v>87</v>
      </c>
      <c r="D592" s="7">
        <v>9500</v>
      </c>
      <c r="E592" s="7">
        <f>'Option source'!B456</f>
        <v>19.03</v>
      </c>
      <c r="F592" s="7">
        <v>7060</v>
      </c>
      <c r="G592" s="14">
        <v>45</v>
      </c>
      <c r="H592" s="7">
        <f t="shared" si="27"/>
        <v>0</v>
      </c>
      <c r="I592" s="7">
        <f t="shared" si="28"/>
        <v>19.03</v>
      </c>
      <c r="J592" s="9">
        <f t="shared" si="29"/>
        <v>1.3456090651558075</v>
      </c>
      <c r="K592" s="9">
        <v>0.4219204283729594</v>
      </c>
      <c r="L592" s="13">
        <v>4.6477825499187365E-2</v>
      </c>
      <c r="M592" s="13">
        <v>2.4115261512689568</v>
      </c>
      <c r="N592" s="7">
        <f>'Option source'!C456</f>
        <v>5774791</v>
      </c>
      <c r="O592" s="7">
        <f>'Option source'!G456</f>
        <v>17.5</v>
      </c>
      <c r="P592" s="7">
        <f>'Option source'!F456</f>
        <v>25.45</v>
      </c>
      <c r="Q592" s="1" t="s">
        <v>88</v>
      </c>
      <c r="R592" s="1">
        <v>451</v>
      </c>
    </row>
    <row r="593" spans="1:18" ht="21" customHeight="1">
      <c r="A593" s="8">
        <v>46266</v>
      </c>
      <c r="B593" s="1" t="s">
        <v>134</v>
      </c>
      <c r="C593" s="39" t="s">
        <v>87</v>
      </c>
      <c r="D593" s="7">
        <v>4600</v>
      </c>
      <c r="E593" s="7">
        <f>'Option source'!B52</f>
        <v>2384.7199999999998</v>
      </c>
      <c r="F593" s="7">
        <v>7060</v>
      </c>
      <c r="G593" s="14">
        <v>45</v>
      </c>
      <c r="H593" s="7">
        <f t="shared" si="27"/>
        <v>2460</v>
      </c>
      <c r="I593" s="7">
        <f t="shared" si="28"/>
        <v>-75.2800000000002</v>
      </c>
      <c r="J593" s="9">
        <f t="shared" si="29"/>
        <v>0.65155807365439089</v>
      </c>
      <c r="K593" s="9"/>
      <c r="L593" s="13"/>
      <c r="M593" s="13"/>
      <c r="N593" s="7">
        <f>'Option source'!C52</f>
        <v>0</v>
      </c>
      <c r="O593" s="7">
        <f>'Option source'!G52</f>
        <v>2384.7199999999998</v>
      </c>
      <c r="P593" s="7">
        <f>'Option source'!F52</f>
        <v>2384.7199999999998</v>
      </c>
      <c r="Q593" s="1" t="s">
        <v>118</v>
      </c>
      <c r="R593" s="1">
        <v>47</v>
      </c>
    </row>
    <row r="594" spans="1:18" ht="21" customHeight="1">
      <c r="A594" s="8">
        <v>46266</v>
      </c>
      <c r="B594" s="1" t="s">
        <v>135</v>
      </c>
      <c r="C594" s="39" t="s">
        <v>90</v>
      </c>
      <c r="D594" s="7">
        <v>4600</v>
      </c>
      <c r="E594" s="7">
        <f>'Option source'!B532</f>
        <v>1.53</v>
      </c>
      <c r="F594" s="7">
        <v>7060</v>
      </c>
      <c r="G594" s="14">
        <v>45</v>
      </c>
      <c r="H594" s="7">
        <f t="shared" si="27"/>
        <v>0</v>
      </c>
      <c r="I594" s="7">
        <f t="shared" si="28"/>
        <v>1.53</v>
      </c>
      <c r="J594" s="9">
        <f t="shared" si="29"/>
        <v>0.65155807365439089</v>
      </c>
      <c r="K594" s="9">
        <v>0.51188615826432349</v>
      </c>
      <c r="L594" s="13">
        <v>-3.691092502818849E-3</v>
      </c>
      <c r="M594" s="13">
        <v>0.27326973708013275</v>
      </c>
      <c r="N594" s="7">
        <f>'Option source'!C532</f>
        <v>206873.5</v>
      </c>
      <c r="O594" s="7">
        <f>'Option source'!G532</f>
        <v>1.33</v>
      </c>
      <c r="P594" s="7">
        <f>'Option source'!F532</f>
        <v>2.4500000000000002</v>
      </c>
      <c r="Q594" s="1" t="s">
        <v>88</v>
      </c>
      <c r="R594" s="1">
        <v>527</v>
      </c>
    </row>
    <row r="595" spans="1:18" ht="21" customHeight="1">
      <c r="A595" s="8">
        <v>46266</v>
      </c>
      <c r="B595" s="1" t="s">
        <v>136</v>
      </c>
      <c r="C595" s="39" t="s">
        <v>87</v>
      </c>
      <c r="D595" s="7">
        <v>4400</v>
      </c>
      <c r="E595" s="7">
        <f>'Option source'!B33</f>
        <v>2746.82</v>
      </c>
      <c r="F595" s="7">
        <v>7060</v>
      </c>
      <c r="G595" s="14">
        <v>45</v>
      </c>
      <c r="H595" s="7">
        <f t="shared" si="27"/>
        <v>2660</v>
      </c>
      <c r="I595" s="7">
        <f t="shared" si="28"/>
        <v>86.820000000000164</v>
      </c>
      <c r="J595" s="9">
        <f t="shared" si="29"/>
        <v>0.62322946175637395</v>
      </c>
      <c r="K595" s="9"/>
      <c r="L595" s="13"/>
      <c r="M595" s="13"/>
      <c r="N595" s="7">
        <f>'Option source'!C33</f>
        <v>2197454</v>
      </c>
      <c r="O595" s="7">
        <f>'Option source'!G33</f>
        <v>2731.87</v>
      </c>
      <c r="P595" s="7">
        <f>'Option source'!F33</f>
        <v>2751.8</v>
      </c>
      <c r="Q595" s="1" t="s">
        <v>100</v>
      </c>
      <c r="R595" s="1">
        <v>28</v>
      </c>
    </row>
    <row r="596" spans="1:18" ht="21" customHeight="1">
      <c r="A596" s="8">
        <v>46266</v>
      </c>
      <c r="B596" s="1" t="s">
        <v>137</v>
      </c>
      <c r="C596" s="39" t="s">
        <v>90</v>
      </c>
      <c r="D596" s="7">
        <v>4400</v>
      </c>
      <c r="E596" s="7">
        <f>'Option source'!B513</f>
        <v>1.22</v>
      </c>
      <c r="F596" s="7">
        <v>7060</v>
      </c>
      <c r="G596" s="14">
        <v>45</v>
      </c>
      <c r="H596" s="7">
        <f t="shared" si="27"/>
        <v>0</v>
      </c>
      <c r="I596" s="7">
        <f t="shared" si="28"/>
        <v>1.22</v>
      </c>
      <c r="J596" s="9">
        <f t="shared" si="29"/>
        <v>0.62322946175637395</v>
      </c>
      <c r="K596" s="9">
        <v>0.54330068919142072</v>
      </c>
      <c r="L596" s="13">
        <v>-2.8208272851634186E-3</v>
      </c>
      <c r="M596" s="13">
        <v>0.2145534266401169</v>
      </c>
      <c r="N596" s="7">
        <f>'Option source'!C513</f>
        <v>289874.59000000003</v>
      </c>
      <c r="O596" s="7">
        <f>'Option source'!G513</f>
        <v>1.1000000000000001</v>
      </c>
      <c r="P596" s="7">
        <f>'Option source'!F513</f>
        <v>1.7</v>
      </c>
      <c r="Q596" s="1" t="s">
        <v>88</v>
      </c>
      <c r="R596" s="1">
        <v>508</v>
      </c>
    </row>
    <row r="597" spans="1:18" ht="21" customHeight="1">
      <c r="A597" s="8">
        <v>46266</v>
      </c>
      <c r="B597" s="1" t="s">
        <v>143</v>
      </c>
      <c r="C597" s="39" t="s">
        <v>87</v>
      </c>
      <c r="D597" s="7">
        <v>9900</v>
      </c>
      <c r="E597" s="7">
        <f>'Option source'!B475</f>
        <v>11.44</v>
      </c>
      <c r="F597" s="7">
        <v>7060</v>
      </c>
      <c r="G597" s="14">
        <v>45</v>
      </c>
      <c r="H597" s="7">
        <f t="shared" si="27"/>
        <v>0</v>
      </c>
      <c r="I597" s="7">
        <f t="shared" si="28"/>
        <v>11.44</v>
      </c>
      <c r="J597" s="9">
        <f t="shared" si="29"/>
        <v>1.4022662889518414</v>
      </c>
      <c r="K597" s="9">
        <v>0.43486487445160737</v>
      </c>
      <c r="L597" s="13">
        <v>2.9004503090857781E-2</v>
      </c>
      <c r="M597" s="13">
        <v>1.6401175228706664</v>
      </c>
      <c r="N597" s="7">
        <f>'Option source'!C475</f>
        <v>2408503.25</v>
      </c>
      <c r="O597" s="7">
        <f>'Option source'!G475</f>
        <v>10.84</v>
      </c>
      <c r="P597" s="7">
        <f>'Option source'!F475</f>
        <v>15.2</v>
      </c>
      <c r="Q597" s="1" t="s">
        <v>88</v>
      </c>
      <c r="R597" s="1">
        <v>470</v>
      </c>
    </row>
    <row r="598" spans="1:18" ht="21" customHeight="1">
      <c r="A598" s="8">
        <v>46266</v>
      </c>
      <c r="B598" s="1" t="s">
        <v>140</v>
      </c>
      <c r="C598" s="39" t="s">
        <v>87</v>
      </c>
      <c r="D598" s="7">
        <v>4200</v>
      </c>
      <c r="E598" s="7">
        <f>'Option source'!B14</f>
        <v>3017.35</v>
      </c>
      <c r="F598" s="7">
        <v>7060</v>
      </c>
      <c r="G598" s="14">
        <v>45</v>
      </c>
      <c r="H598" s="7">
        <f t="shared" si="27"/>
        <v>2860</v>
      </c>
      <c r="I598" s="7">
        <f t="shared" si="28"/>
        <v>157.34999999999991</v>
      </c>
      <c r="J598" s="9">
        <f t="shared" si="29"/>
        <v>0.59490084985835689</v>
      </c>
      <c r="K598" s="9"/>
      <c r="L598" s="13"/>
      <c r="M598" s="13"/>
      <c r="N598" s="7">
        <f>'Option source'!C14</f>
        <v>890957</v>
      </c>
      <c r="O598" s="7">
        <f>'Option source'!G14</f>
        <v>2946.11</v>
      </c>
      <c r="P598" s="7">
        <f>'Option source'!F14</f>
        <v>2946.11</v>
      </c>
      <c r="Q598" s="1" t="s">
        <v>109</v>
      </c>
      <c r="R598" s="1">
        <v>9</v>
      </c>
    </row>
    <row r="599" spans="1:18" ht="21" customHeight="1">
      <c r="A599" s="8">
        <v>46266</v>
      </c>
      <c r="B599" s="1" t="s">
        <v>141</v>
      </c>
      <c r="C599" s="39" t="s">
        <v>90</v>
      </c>
      <c r="D599" s="7">
        <v>4200</v>
      </c>
      <c r="E599" s="7">
        <f>'Option source'!B494</f>
        <v>0.97</v>
      </c>
      <c r="F599" s="7">
        <v>7060</v>
      </c>
      <c r="G599" s="14">
        <v>45</v>
      </c>
      <c r="H599" s="7">
        <f t="shared" si="27"/>
        <v>0</v>
      </c>
      <c r="I599" s="7">
        <f t="shared" si="28"/>
        <v>0.97</v>
      </c>
      <c r="J599" s="9">
        <f t="shared" si="29"/>
        <v>0.59490084985835689</v>
      </c>
      <c r="K599" s="9">
        <v>0.57667482312857454</v>
      </c>
      <c r="L599" s="13">
        <v>-2.1938767128693026E-3</v>
      </c>
      <c r="M599" s="13">
        <v>0.17093027478075101</v>
      </c>
      <c r="N599" s="7">
        <f>'Option source'!C494</f>
        <v>129405</v>
      </c>
      <c r="O599" s="7">
        <f>'Option source'!G494</f>
        <v>0.81</v>
      </c>
      <c r="P599" s="7">
        <f>'Option source'!F494</f>
        <v>1.5</v>
      </c>
      <c r="Q599" s="1" t="s">
        <v>88</v>
      </c>
      <c r="R599" s="1">
        <v>489</v>
      </c>
    </row>
    <row r="600" spans="1:18" ht="21" customHeight="1">
      <c r="A600" s="8">
        <v>46265</v>
      </c>
      <c r="B600" s="1" t="s">
        <v>93</v>
      </c>
      <c r="C600" s="39" t="s">
        <v>87</v>
      </c>
      <c r="D600" s="7">
        <v>7000</v>
      </c>
      <c r="E600" s="7">
        <f>'Option source'!B265</f>
        <v>552.70000000000005</v>
      </c>
      <c r="F600" s="7">
        <v>7015</v>
      </c>
      <c r="G600" s="14">
        <v>46</v>
      </c>
      <c r="H600" s="7">
        <f t="shared" si="27"/>
        <v>15</v>
      </c>
      <c r="I600" s="7">
        <f t="shared" si="28"/>
        <v>537.70000000000005</v>
      </c>
      <c r="J600" s="9">
        <f t="shared" si="29"/>
        <v>0.99786172487526725</v>
      </c>
      <c r="K600" s="9">
        <v>0.41152442554611501</v>
      </c>
      <c r="L600" s="13">
        <v>0.63551452662741625</v>
      </c>
      <c r="M600" s="13">
        <v>9.3562072222560104</v>
      </c>
      <c r="N600" s="7">
        <f>'Option source'!C265</f>
        <v>264683120</v>
      </c>
      <c r="O600" s="7">
        <f>'Option source'!G265</f>
        <v>440</v>
      </c>
      <c r="P600" s="7">
        <f>'Option source'!F265</f>
        <v>609.99</v>
      </c>
      <c r="Q600" s="1" t="s">
        <v>88</v>
      </c>
      <c r="R600" s="1">
        <v>260</v>
      </c>
    </row>
    <row r="601" spans="1:18" ht="21" customHeight="1">
      <c r="A601" s="8">
        <v>46265</v>
      </c>
      <c r="B601" s="1" t="s">
        <v>94</v>
      </c>
      <c r="C601" s="39" t="s">
        <v>90</v>
      </c>
      <c r="D601" s="7">
        <v>7000</v>
      </c>
      <c r="E601" s="7">
        <f>'Option source'!B759</f>
        <v>346.09</v>
      </c>
      <c r="F601" s="7">
        <v>7015</v>
      </c>
      <c r="G601" s="14">
        <v>46</v>
      </c>
      <c r="H601" s="7">
        <f t="shared" si="27"/>
        <v>0</v>
      </c>
      <c r="I601" s="7">
        <f t="shared" si="28"/>
        <v>346.09</v>
      </c>
      <c r="J601" s="9">
        <f t="shared" si="29"/>
        <v>0.99786172487526725</v>
      </c>
      <c r="K601" s="9">
        <v>0.45661493481980087</v>
      </c>
      <c r="L601" s="13">
        <v>-0.37164658698133524</v>
      </c>
      <c r="M601" s="13">
        <v>9.4163040070953681</v>
      </c>
      <c r="N601" s="7">
        <f>'Option source'!C759</f>
        <v>147815968</v>
      </c>
      <c r="O601" s="7">
        <f>'Option source'!G759</f>
        <v>310</v>
      </c>
      <c r="P601" s="7">
        <f>'Option source'!F759</f>
        <v>429.48</v>
      </c>
      <c r="Q601" s="1" t="s">
        <v>88</v>
      </c>
      <c r="R601" s="1">
        <v>754</v>
      </c>
    </row>
    <row r="602" spans="1:18" ht="21" customHeight="1">
      <c r="A602" s="8">
        <v>46265</v>
      </c>
      <c r="B602" s="1" t="s">
        <v>97</v>
      </c>
      <c r="C602" s="39" t="s">
        <v>87</v>
      </c>
      <c r="D602" s="7">
        <v>7200</v>
      </c>
      <c r="E602" s="7">
        <f>'Option source'!B284</f>
        <v>453.57</v>
      </c>
      <c r="F602" s="7">
        <v>7015</v>
      </c>
      <c r="G602" s="14">
        <v>46</v>
      </c>
      <c r="H602" s="7">
        <f t="shared" si="27"/>
        <v>0</v>
      </c>
      <c r="I602" s="7">
        <f t="shared" si="28"/>
        <v>453.57</v>
      </c>
      <c r="J602" s="9">
        <f t="shared" si="29"/>
        <v>1.0263720598717034</v>
      </c>
      <c r="K602" s="9">
        <v>0.41670617297712087</v>
      </c>
      <c r="L602" s="13">
        <v>0.56103073999218855</v>
      </c>
      <c r="M602" s="13">
        <v>9.8185693225548558</v>
      </c>
      <c r="N602" s="7">
        <f>'Option source'!C284</f>
        <v>375388416</v>
      </c>
      <c r="O602" s="7">
        <f>'Option source'!G284</f>
        <v>359.99</v>
      </c>
      <c r="P602" s="7">
        <f>'Option source'!F284</f>
        <v>500</v>
      </c>
      <c r="Q602" s="1" t="s">
        <v>88</v>
      </c>
      <c r="R602" s="1">
        <v>279</v>
      </c>
    </row>
    <row r="603" spans="1:18" ht="21" customHeight="1">
      <c r="A603" s="8">
        <v>46265</v>
      </c>
      <c r="B603" s="1" t="s">
        <v>98</v>
      </c>
      <c r="C603" s="39" t="s">
        <v>90</v>
      </c>
      <c r="D603" s="7">
        <v>7200</v>
      </c>
      <c r="E603" s="7">
        <f>'Option source'!B778</f>
        <v>447.89</v>
      </c>
      <c r="F603" s="7">
        <v>7015</v>
      </c>
      <c r="G603" s="14">
        <v>46</v>
      </c>
      <c r="H603" s="7">
        <f t="shared" si="27"/>
        <v>185</v>
      </c>
      <c r="I603" s="7">
        <f t="shared" si="28"/>
        <v>262.89</v>
      </c>
      <c r="J603" s="9">
        <f t="shared" si="29"/>
        <v>1.0263720598717034</v>
      </c>
      <c r="K603" s="9">
        <v>0.45739566646022123</v>
      </c>
      <c r="L603" s="13">
        <v>-0.43891414184320465</v>
      </c>
      <c r="M603" s="13">
        <v>9.8183584132464503</v>
      </c>
      <c r="N603" s="7">
        <f>'Option source'!C778</f>
        <v>12358046</v>
      </c>
      <c r="O603" s="7">
        <f>'Option source'!G778</f>
        <v>414.11</v>
      </c>
      <c r="P603" s="7">
        <f>'Option source'!F778</f>
        <v>529.99</v>
      </c>
      <c r="Q603" s="1" t="s">
        <v>88</v>
      </c>
      <c r="R603" s="1">
        <v>773</v>
      </c>
    </row>
    <row r="604" spans="1:18" ht="21" customHeight="1">
      <c r="A604" s="8">
        <v>46265</v>
      </c>
      <c r="B604" s="1" t="s">
        <v>86</v>
      </c>
      <c r="C604" s="39" t="s">
        <v>87</v>
      </c>
      <c r="D604" s="7">
        <v>6800</v>
      </c>
      <c r="E604" s="7">
        <f>'Option source'!B246</f>
        <v>661.02</v>
      </c>
      <c r="F604" s="7">
        <v>7015</v>
      </c>
      <c r="G604" s="14">
        <v>46</v>
      </c>
      <c r="H604" s="7">
        <f t="shared" si="27"/>
        <v>215</v>
      </c>
      <c r="I604" s="7">
        <f t="shared" si="28"/>
        <v>446.02</v>
      </c>
      <c r="J604" s="9">
        <f t="shared" si="29"/>
        <v>0.96935138987883107</v>
      </c>
      <c r="K604" s="9">
        <v>0.39913219267692046</v>
      </c>
      <c r="L604" s="13">
        <v>0.71136081853388744</v>
      </c>
      <c r="M604" s="13">
        <v>8.5057436534830888</v>
      </c>
      <c r="N604" s="7">
        <f>'Option source'!C246</f>
        <v>177637984</v>
      </c>
      <c r="O604" s="7">
        <f>'Option source'!G246</f>
        <v>534</v>
      </c>
      <c r="P604" s="7">
        <f>'Option source'!F246</f>
        <v>720</v>
      </c>
      <c r="Q604" s="1" t="s">
        <v>88</v>
      </c>
      <c r="R604" s="1">
        <v>241</v>
      </c>
    </row>
    <row r="605" spans="1:18" ht="21" customHeight="1">
      <c r="A605" s="8">
        <v>46265</v>
      </c>
      <c r="B605" s="1" t="s">
        <v>89</v>
      </c>
      <c r="C605" s="39" t="s">
        <v>90</v>
      </c>
      <c r="D605" s="7">
        <v>6800</v>
      </c>
      <c r="E605" s="7">
        <f>'Option source'!B740</f>
        <v>262.94</v>
      </c>
      <c r="F605" s="7">
        <v>7015</v>
      </c>
      <c r="G605" s="14">
        <v>46</v>
      </c>
      <c r="H605" s="7">
        <f t="shared" si="27"/>
        <v>0</v>
      </c>
      <c r="I605" s="7">
        <f t="shared" si="28"/>
        <v>262.94</v>
      </c>
      <c r="J605" s="9">
        <f t="shared" si="29"/>
        <v>0.96935138987883107</v>
      </c>
      <c r="K605" s="9">
        <v>0.45819238339894774</v>
      </c>
      <c r="L605" s="13">
        <v>-0.30673146393399131</v>
      </c>
      <c r="M605" s="13">
        <v>8.7450499920750282</v>
      </c>
      <c r="N605" s="7">
        <f>'Option source'!C740</f>
        <v>172245376</v>
      </c>
      <c r="O605" s="7">
        <f>'Option source'!G740</f>
        <v>235</v>
      </c>
      <c r="P605" s="7">
        <f>'Option source'!F740</f>
        <v>338.98</v>
      </c>
      <c r="Q605" s="1" t="s">
        <v>88</v>
      </c>
      <c r="R605" s="1">
        <v>735</v>
      </c>
    </row>
    <row r="606" spans="1:18" ht="21" customHeight="1">
      <c r="A606" s="8">
        <v>46265</v>
      </c>
      <c r="B606" s="1" t="s">
        <v>102</v>
      </c>
      <c r="C606" s="39" t="s">
        <v>87</v>
      </c>
      <c r="D606" s="7">
        <v>7400</v>
      </c>
      <c r="E606" s="7">
        <f>'Option source'!B303</f>
        <v>370.64</v>
      </c>
      <c r="F606" s="7">
        <v>7015</v>
      </c>
      <c r="G606" s="14">
        <v>46</v>
      </c>
      <c r="H606" s="7">
        <f t="shared" si="27"/>
        <v>0</v>
      </c>
      <c r="I606" s="7">
        <f t="shared" si="28"/>
        <v>370.64</v>
      </c>
      <c r="J606" s="9">
        <f t="shared" si="29"/>
        <v>1.0548823948681396</v>
      </c>
      <c r="K606" s="9">
        <v>0.42341749678501683</v>
      </c>
      <c r="L606" s="13">
        <v>0.48852595144346961</v>
      </c>
      <c r="M606" s="13">
        <v>9.9309443886402047</v>
      </c>
      <c r="N606" s="7">
        <f>'Option source'!C303</f>
        <v>459135296</v>
      </c>
      <c r="O606" s="7">
        <f>'Option source'!G303</f>
        <v>270</v>
      </c>
      <c r="P606" s="7">
        <f>'Option source'!F303</f>
        <v>410</v>
      </c>
      <c r="Q606" s="1" t="s">
        <v>88</v>
      </c>
      <c r="R606" s="1">
        <v>298</v>
      </c>
    </row>
    <row r="607" spans="1:18" ht="21" customHeight="1">
      <c r="A607" s="8">
        <v>46265</v>
      </c>
      <c r="B607" s="1" t="s">
        <v>103</v>
      </c>
      <c r="C607" s="39" t="s">
        <v>90</v>
      </c>
      <c r="D607" s="7">
        <v>7400</v>
      </c>
      <c r="E607" s="7">
        <f>'Option source'!B797</f>
        <v>560.79</v>
      </c>
      <c r="F607" s="7">
        <v>7015</v>
      </c>
      <c r="G607" s="14">
        <v>46</v>
      </c>
      <c r="H607" s="7">
        <f t="shared" si="27"/>
        <v>385</v>
      </c>
      <c r="I607" s="7">
        <f t="shared" si="28"/>
        <v>175.78999999999996</v>
      </c>
      <c r="J607" s="9">
        <f t="shared" si="29"/>
        <v>1.0548823948681396</v>
      </c>
      <c r="K607" s="9">
        <v>0.45259063829604351</v>
      </c>
      <c r="L607" s="13">
        <v>-0.50673710179393949</v>
      </c>
      <c r="M607" s="13">
        <v>9.93363713995452</v>
      </c>
      <c r="N607" s="7">
        <f>'Option source'!C797</f>
        <v>29710064</v>
      </c>
      <c r="O607" s="7">
        <f>'Option source'!G797</f>
        <v>511</v>
      </c>
      <c r="P607" s="7">
        <f>'Option source'!F797</f>
        <v>606.79</v>
      </c>
      <c r="Q607" s="1" t="s">
        <v>88</v>
      </c>
      <c r="R607" s="1">
        <v>792</v>
      </c>
    </row>
    <row r="608" spans="1:18" ht="21" customHeight="1">
      <c r="A608" s="8">
        <v>46265</v>
      </c>
      <c r="B608" s="1" t="s">
        <v>91</v>
      </c>
      <c r="C608" s="39" t="s">
        <v>87</v>
      </c>
      <c r="D608" s="7">
        <v>6600</v>
      </c>
      <c r="E608" s="7">
        <f>'Option source'!B227</f>
        <v>785.86</v>
      </c>
      <c r="F608" s="7">
        <v>7015</v>
      </c>
      <c r="G608" s="14">
        <v>46</v>
      </c>
      <c r="H608" s="7">
        <f t="shared" si="27"/>
        <v>415</v>
      </c>
      <c r="I608" s="7">
        <f t="shared" si="28"/>
        <v>370.86</v>
      </c>
      <c r="J608" s="9">
        <f t="shared" si="29"/>
        <v>0.94084105488239489</v>
      </c>
      <c r="K608" s="9">
        <v>0.38599465806058431</v>
      </c>
      <c r="L608" s="13">
        <v>0.78507536717922644</v>
      </c>
      <c r="M608" s="13">
        <v>7.275073713006833</v>
      </c>
      <c r="N608" s="7">
        <f>'Option source'!C227</f>
        <v>21813032</v>
      </c>
      <c r="O608" s="7">
        <f>'Option source'!G227</f>
        <v>670</v>
      </c>
      <c r="P608" s="7">
        <f>'Option source'!F227</f>
        <v>885</v>
      </c>
      <c r="Q608" s="1" t="s">
        <v>88</v>
      </c>
      <c r="R608" s="1">
        <v>222</v>
      </c>
    </row>
    <row r="609" spans="1:18" ht="21" customHeight="1">
      <c r="A609" s="8">
        <v>46265</v>
      </c>
      <c r="B609" s="1" t="s">
        <v>92</v>
      </c>
      <c r="C609" s="39" t="s">
        <v>90</v>
      </c>
      <c r="D609" s="7">
        <v>6600</v>
      </c>
      <c r="E609" s="7">
        <f>'Option source'!B721</f>
        <v>193.67</v>
      </c>
      <c r="F609" s="7">
        <v>7015</v>
      </c>
      <c r="G609" s="14">
        <v>46</v>
      </c>
      <c r="H609" s="7">
        <f t="shared" si="27"/>
        <v>0</v>
      </c>
      <c r="I609" s="7">
        <f t="shared" si="28"/>
        <v>193.67</v>
      </c>
      <c r="J609" s="9">
        <f t="shared" si="29"/>
        <v>0.94084105488239489</v>
      </c>
      <c r="K609" s="9">
        <v>0.45892937167506842</v>
      </c>
      <c r="L609" s="13">
        <v>-0.24578241760041752</v>
      </c>
      <c r="M609" s="13">
        <v>7.8422022468285704</v>
      </c>
      <c r="N609" s="7">
        <f>'Option source'!C721</f>
        <v>162617312</v>
      </c>
      <c r="O609" s="7">
        <f>'Option source'!G721</f>
        <v>168</v>
      </c>
      <c r="P609" s="7">
        <f>'Option source'!F721</f>
        <v>248.1</v>
      </c>
      <c r="Q609" s="1" t="s">
        <v>88</v>
      </c>
      <c r="R609" s="1">
        <v>716</v>
      </c>
    </row>
    <row r="610" spans="1:18" ht="21" customHeight="1">
      <c r="A610" s="8">
        <v>46265</v>
      </c>
      <c r="B610" s="1" t="s">
        <v>106</v>
      </c>
      <c r="C610" s="39" t="s">
        <v>87</v>
      </c>
      <c r="D610" s="7">
        <v>7600</v>
      </c>
      <c r="E610" s="7">
        <f>'Option source'!B322</f>
        <v>290.89999999999998</v>
      </c>
      <c r="F610" s="7">
        <v>7015</v>
      </c>
      <c r="G610" s="14">
        <v>46</v>
      </c>
      <c r="H610" s="7">
        <f t="shared" si="27"/>
        <v>0</v>
      </c>
      <c r="I610" s="7">
        <f t="shared" si="28"/>
        <v>290.89999999999998</v>
      </c>
      <c r="J610" s="9">
        <f t="shared" si="29"/>
        <v>1.0833927298645758</v>
      </c>
      <c r="K610" s="9">
        <v>0.41952580663347849</v>
      </c>
      <c r="L610" s="13">
        <v>0.41703603286790486</v>
      </c>
      <c r="M610" s="13">
        <v>9.7194395966369722</v>
      </c>
      <c r="N610" s="7">
        <f>'Option source'!C322</f>
        <v>436639936</v>
      </c>
      <c r="O610" s="7">
        <f>'Option source'!G322</f>
        <v>215.03</v>
      </c>
      <c r="P610" s="7">
        <f>'Option source'!F322</f>
        <v>329</v>
      </c>
      <c r="Q610" s="1" t="s">
        <v>88</v>
      </c>
      <c r="R610" s="1">
        <v>317</v>
      </c>
    </row>
    <row r="611" spans="1:18" ht="21" customHeight="1">
      <c r="A611" s="8">
        <v>46265</v>
      </c>
      <c r="B611" s="1" t="s">
        <v>107</v>
      </c>
      <c r="C611" s="39" t="s">
        <v>90</v>
      </c>
      <c r="D611" s="7">
        <v>7600</v>
      </c>
      <c r="E611" s="7">
        <f>'Option source'!B816</f>
        <v>677.61</v>
      </c>
      <c r="F611" s="7">
        <v>7015</v>
      </c>
      <c r="G611" s="14">
        <v>46</v>
      </c>
      <c r="H611" s="7">
        <f t="shared" si="27"/>
        <v>585</v>
      </c>
      <c r="I611" s="7">
        <f t="shared" si="28"/>
        <v>92.610000000000014</v>
      </c>
      <c r="J611" s="9">
        <f t="shared" si="29"/>
        <v>1.0833927298645758</v>
      </c>
      <c r="K611" s="9">
        <v>0.43222309925306901</v>
      </c>
      <c r="L611" s="13">
        <v>-0.57882428803797925</v>
      </c>
      <c r="M611" s="13">
        <v>9.7404892547535074</v>
      </c>
      <c r="N611" s="7">
        <f>'Option source'!C816</f>
        <v>1608724.62</v>
      </c>
      <c r="O611" s="7">
        <f>'Option source'!G816</f>
        <v>626</v>
      </c>
      <c r="P611" s="7">
        <f>'Option source'!F816</f>
        <v>700.5</v>
      </c>
      <c r="Q611" s="1" t="s">
        <v>88</v>
      </c>
      <c r="R611" s="1">
        <v>811</v>
      </c>
    </row>
    <row r="612" spans="1:18" ht="21" customHeight="1">
      <c r="A612" s="8">
        <v>46265</v>
      </c>
      <c r="B612" s="1" t="s">
        <v>95</v>
      </c>
      <c r="C612" s="39" t="s">
        <v>87</v>
      </c>
      <c r="D612" s="7">
        <v>6400</v>
      </c>
      <c r="E612" s="7">
        <f>'Option source'!B208</f>
        <v>925</v>
      </c>
      <c r="F612" s="7">
        <v>7015</v>
      </c>
      <c r="G612" s="14">
        <v>46</v>
      </c>
      <c r="H612" s="7">
        <f t="shared" si="27"/>
        <v>615</v>
      </c>
      <c r="I612" s="7">
        <f t="shared" si="28"/>
        <v>310</v>
      </c>
      <c r="J612" s="9">
        <f t="shared" si="29"/>
        <v>0.91233071988595871</v>
      </c>
      <c r="K612" s="9">
        <v>0.36790103002644459</v>
      </c>
      <c r="L612" s="13">
        <v>0.85481279701878776</v>
      </c>
      <c r="M612" s="13">
        <v>5.6809983547895015</v>
      </c>
      <c r="N612" s="7">
        <f>'Option source'!C208</f>
        <v>37233648</v>
      </c>
      <c r="O612" s="7">
        <f>'Option source'!G208</f>
        <v>798</v>
      </c>
      <c r="P612" s="7">
        <f>'Option source'!F208</f>
        <v>1000</v>
      </c>
      <c r="Q612" s="1" t="s">
        <v>88</v>
      </c>
      <c r="R612" s="1">
        <v>203</v>
      </c>
    </row>
    <row r="613" spans="1:18" ht="21" customHeight="1">
      <c r="A613" s="8">
        <v>46265</v>
      </c>
      <c r="B613" s="1" t="s">
        <v>96</v>
      </c>
      <c r="C613" s="39" t="s">
        <v>90</v>
      </c>
      <c r="D613" s="7">
        <v>6400</v>
      </c>
      <c r="E613" s="7">
        <f>'Option source'!B702</f>
        <v>137.66999999999999</v>
      </c>
      <c r="F613" s="7">
        <v>7015</v>
      </c>
      <c r="G613" s="14">
        <v>46</v>
      </c>
      <c r="H613" s="7">
        <f t="shared" si="27"/>
        <v>0</v>
      </c>
      <c r="I613" s="7">
        <f t="shared" si="28"/>
        <v>137.66999999999999</v>
      </c>
      <c r="J613" s="9">
        <f t="shared" si="29"/>
        <v>0.91233071988595871</v>
      </c>
      <c r="K613" s="9">
        <v>0.45952999670839634</v>
      </c>
      <c r="L613" s="13">
        <v>-0.19057932255411303</v>
      </c>
      <c r="M613" s="13">
        <v>6.7705917237693543</v>
      </c>
      <c r="N613" s="7">
        <f>'Option source'!C702</f>
        <v>88075136</v>
      </c>
      <c r="O613" s="7">
        <f>'Option source'!G702</f>
        <v>115.4</v>
      </c>
      <c r="P613" s="7">
        <f>'Option source'!F702</f>
        <v>196.11</v>
      </c>
      <c r="Q613" s="1" t="s">
        <v>88</v>
      </c>
      <c r="R613" s="1">
        <v>697</v>
      </c>
    </row>
    <row r="614" spans="1:18" ht="21" customHeight="1">
      <c r="A614" s="8">
        <v>46265</v>
      </c>
      <c r="B614" s="1" t="s">
        <v>111</v>
      </c>
      <c r="C614" s="39" t="s">
        <v>87</v>
      </c>
      <c r="D614" s="7">
        <v>7800</v>
      </c>
      <c r="E614" s="7">
        <f>'Option source'!B341</f>
        <v>228.38</v>
      </c>
      <c r="F614" s="7">
        <v>7015</v>
      </c>
      <c r="G614" s="14">
        <v>46</v>
      </c>
      <c r="H614" s="7">
        <f t="shared" si="27"/>
        <v>0</v>
      </c>
      <c r="I614" s="7">
        <f t="shared" si="28"/>
        <v>228.38</v>
      </c>
      <c r="J614" s="9">
        <f t="shared" si="29"/>
        <v>1.1119030648610122</v>
      </c>
      <c r="K614" s="9">
        <v>0.42022641649949233</v>
      </c>
      <c r="L614" s="13">
        <v>0.35085846905328411</v>
      </c>
      <c r="M614" s="13">
        <v>9.2324396869605501</v>
      </c>
      <c r="N614" s="7">
        <f>'Option source'!C341</f>
        <v>221219120</v>
      </c>
      <c r="O614" s="7">
        <f>'Option source'!G341</f>
        <v>166.34</v>
      </c>
      <c r="P614" s="7">
        <f>'Option source'!F341</f>
        <v>260</v>
      </c>
      <c r="Q614" s="1" t="s">
        <v>88</v>
      </c>
      <c r="R614" s="1">
        <v>336</v>
      </c>
    </row>
    <row r="615" spans="1:18" ht="21" customHeight="1">
      <c r="A615" s="8">
        <v>46265</v>
      </c>
      <c r="B615" s="1" t="s">
        <v>112</v>
      </c>
      <c r="C615" s="39" t="s">
        <v>90</v>
      </c>
      <c r="D615" s="7">
        <v>7800</v>
      </c>
      <c r="E615" s="7">
        <f>'Option source'!B835</f>
        <v>790.81</v>
      </c>
      <c r="F615" s="7">
        <v>7015</v>
      </c>
      <c r="G615" s="14">
        <v>46</v>
      </c>
      <c r="H615" s="7">
        <f t="shared" si="27"/>
        <v>785</v>
      </c>
      <c r="I615" s="7">
        <f t="shared" si="28"/>
        <v>5.8099999999999454</v>
      </c>
      <c r="J615" s="9">
        <f t="shared" si="29"/>
        <v>1.1119030648610122</v>
      </c>
      <c r="K615" s="9">
        <v>0.35349195280715462</v>
      </c>
      <c r="L615" s="13">
        <v>-0.684825944161643</v>
      </c>
      <c r="M615" s="13">
        <v>8.8487375582648173</v>
      </c>
      <c r="N615" s="7">
        <f>'Option source'!C835</f>
        <v>7598978</v>
      </c>
      <c r="O615" s="7">
        <f>'Option source'!G835</f>
        <v>731.89</v>
      </c>
      <c r="P615" s="7">
        <f>'Option source'!F835</f>
        <v>968</v>
      </c>
      <c r="Q615" s="1" t="s">
        <v>88</v>
      </c>
      <c r="R615" s="1">
        <v>830</v>
      </c>
    </row>
    <row r="616" spans="1:18" ht="21" customHeight="1">
      <c r="A616" s="8">
        <v>46265</v>
      </c>
      <c r="B616" s="1" t="s">
        <v>99</v>
      </c>
      <c r="C616" s="39" t="s">
        <v>87</v>
      </c>
      <c r="D616" s="7">
        <v>6200</v>
      </c>
      <c r="E616" s="7">
        <f>'Option source'!B189</f>
        <v>1069</v>
      </c>
      <c r="F616" s="7">
        <v>7015</v>
      </c>
      <c r="G616" s="14">
        <v>46</v>
      </c>
      <c r="H616" s="7">
        <f t="shared" si="27"/>
        <v>815</v>
      </c>
      <c r="I616" s="7">
        <f t="shared" si="28"/>
        <v>254</v>
      </c>
      <c r="J616" s="9">
        <f t="shared" si="29"/>
        <v>0.88382038488952241</v>
      </c>
      <c r="K616" s="9">
        <v>0.31451772181878945</v>
      </c>
      <c r="L616" s="13">
        <v>0.93326325512624875</v>
      </c>
      <c r="M616" s="13">
        <v>3.222807348909289</v>
      </c>
      <c r="N616" s="7">
        <f>'Option source'!C189</f>
        <v>4061122.25</v>
      </c>
      <c r="O616" s="7">
        <f>'Option source'!G189</f>
        <v>971.66</v>
      </c>
      <c r="P616" s="7">
        <f>'Option source'!F189</f>
        <v>1080</v>
      </c>
      <c r="Q616" s="1" t="s">
        <v>88</v>
      </c>
      <c r="R616" s="1">
        <v>184</v>
      </c>
    </row>
    <row r="617" spans="1:18" ht="21" customHeight="1">
      <c r="A617" s="8">
        <v>46265</v>
      </c>
      <c r="B617" s="1" t="s">
        <v>101</v>
      </c>
      <c r="C617" s="39" t="s">
        <v>90</v>
      </c>
      <c r="D617" s="7">
        <v>6200</v>
      </c>
      <c r="E617" s="7">
        <f>'Option source'!B683</f>
        <v>90.19</v>
      </c>
      <c r="F617" s="7">
        <v>7015</v>
      </c>
      <c r="G617" s="14">
        <v>46</v>
      </c>
      <c r="H617" s="7">
        <f t="shared" si="27"/>
        <v>0</v>
      </c>
      <c r="I617" s="7">
        <f t="shared" si="28"/>
        <v>90.19</v>
      </c>
      <c r="J617" s="9">
        <f t="shared" si="29"/>
        <v>0.88382038488952241</v>
      </c>
      <c r="K617" s="9">
        <v>0.45149535243776306</v>
      </c>
      <c r="L617" s="13">
        <v>-0.13861780217758013</v>
      </c>
      <c r="M617" s="13">
        <v>5.5056427944164863</v>
      </c>
      <c r="N617" s="7">
        <f>'Option source'!C683</f>
        <v>65154644</v>
      </c>
      <c r="O617" s="7">
        <f>'Option source'!G683</f>
        <v>80</v>
      </c>
      <c r="P617" s="7">
        <f>'Option source'!F683</f>
        <v>135</v>
      </c>
      <c r="Q617" s="1" t="s">
        <v>88</v>
      </c>
      <c r="R617" s="1">
        <v>678</v>
      </c>
    </row>
    <row r="618" spans="1:18" ht="21" customHeight="1">
      <c r="A618" s="8">
        <v>46265</v>
      </c>
      <c r="B618" s="1" t="s">
        <v>116</v>
      </c>
      <c r="C618" s="39" t="s">
        <v>87</v>
      </c>
      <c r="D618" s="7">
        <v>8000</v>
      </c>
      <c r="E618" s="7">
        <f>'Option source'!B360</f>
        <v>178.25</v>
      </c>
      <c r="F618" s="7">
        <v>7015</v>
      </c>
      <c r="G618" s="14">
        <v>46</v>
      </c>
      <c r="H618" s="7">
        <f t="shared" si="27"/>
        <v>0</v>
      </c>
      <c r="I618" s="7">
        <f t="shared" si="28"/>
        <v>178.25</v>
      </c>
      <c r="J618" s="9">
        <f t="shared" si="29"/>
        <v>1.1404133998574484</v>
      </c>
      <c r="K618" s="9">
        <v>0.42212660257893642</v>
      </c>
      <c r="L618" s="13">
        <v>0.29131271311493656</v>
      </c>
      <c r="M618" s="13">
        <v>8.5425929243038112</v>
      </c>
      <c r="N618" s="7">
        <f>'Option source'!C360</f>
        <v>547044864</v>
      </c>
      <c r="O618" s="7">
        <f>'Option source'!G360</f>
        <v>121</v>
      </c>
      <c r="P618" s="7">
        <f>'Option source'!F360</f>
        <v>200</v>
      </c>
      <c r="Q618" s="1" t="s">
        <v>88</v>
      </c>
      <c r="R618" s="1">
        <v>355</v>
      </c>
    </row>
    <row r="619" spans="1:18" ht="21" customHeight="1">
      <c r="A619" s="8">
        <v>46265</v>
      </c>
      <c r="B619" s="1" t="s">
        <v>117</v>
      </c>
      <c r="C619" s="39" t="s">
        <v>90</v>
      </c>
      <c r="D619" s="7">
        <v>8000</v>
      </c>
      <c r="E619" s="7">
        <f>'Option source'!B854</f>
        <v>950</v>
      </c>
      <c r="F619" s="7">
        <v>7015</v>
      </c>
      <c r="G619" s="14">
        <v>46</v>
      </c>
      <c r="H619" s="7">
        <f t="shared" si="27"/>
        <v>985</v>
      </c>
      <c r="I619" s="7">
        <f t="shared" si="28"/>
        <v>-35</v>
      </c>
      <c r="J619" s="9">
        <f t="shared" si="29"/>
        <v>1.1404133998574484</v>
      </c>
      <c r="K619" s="9"/>
      <c r="L619" s="13"/>
      <c r="M619" s="13"/>
      <c r="N619" s="7">
        <f>'Option source'!C854</f>
        <v>2310116.5</v>
      </c>
      <c r="O619" s="7">
        <f>'Option source'!G854</f>
        <v>880.45</v>
      </c>
      <c r="P619" s="7">
        <f>'Option source'!F854</f>
        <v>1107.95</v>
      </c>
      <c r="Q619" s="1" t="s">
        <v>144</v>
      </c>
      <c r="R619" s="1">
        <v>849</v>
      </c>
    </row>
    <row r="620" spans="1:18" ht="21" customHeight="1">
      <c r="A620" s="8">
        <v>46265</v>
      </c>
      <c r="B620" s="1" t="s">
        <v>104</v>
      </c>
      <c r="C620" s="39" t="s">
        <v>87</v>
      </c>
      <c r="D620" s="7">
        <v>6000</v>
      </c>
      <c r="E620" s="7">
        <f>'Option source'!B170</f>
        <v>1200</v>
      </c>
      <c r="F620" s="7">
        <v>7015</v>
      </c>
      <c r="G620" s="14">
        <v>46</v>
      </c>
      <c r="H620" s="7">
        <f t="shared" si="27"/>
        <v>1015</v>
      </c>
      <c r="I620" s="7">
        <f t="shared" si="28"/>
        <v>185</v>
      </c>
      <c r="J620" s="9">
        <f t="shared" si="29"/>
        <v>0.85531004989308623</v>
      </c>
      <c r="K620" s="9"/>
      <c r="L620" s="13"/>
      <c r="M620" s="13"/>
      <c r="N620" s="7">
        <f>'Option source'!C170</f>
        <v>682000</v>
      </c>
      <c r="O620" s="7">
        <f>'Option source'!G170</f>
        <v>1300</v>
      </c>
      <c r="P620" s="7">
        <f>'Option source'!F170</f>
        <v>1440</v>
      </c>
      <c r="Q620" s="1" t="s">
        <v>109</v>
      </c>
      <c r="R620" s="1">
        <v>165</v>
      </c>
    </row>
    <row r="621" spans="1:18" ht="21" customHeight="1">
      <c r="A621" s="8">
        <v>46265</v>
      </c>
      <c r="B621" s="1" t="s">
        <v>105</v>
      </c>
      <c r="C621" s="39" t="s">
        <v>90</v>
      </c>
      <c r="D621" s="7">
        <v>6000</v>
      </c>
      <c r="E621" s="7">
        <f>'Option source'!B664</f>
        <v>61.12</v>
      </c>
      <c r="F621" s="7">
        <v>7015</v>
      </c>
      <c r="G621" s="14">
        <v>46</v>
      </c>
      <c r="H621" s="7">
        <f t="shared" si="27"/>
        <v>0</v>
      </c>
      <c r="I621" s="7">
        <f t="shared" si="28"/>
        <v>61.12</v>
      </c>
      <c r="J621" s="9">
        <f t="shared" si="29"/>
        <v>0.85531004989308623</v>
      </c>
      <c r="K621" s="9">
        <v>0.4567758386107198</v>
      </c>
      <c r="L621" s="13">
        <v>-0.10061351220582926</v>
      </c>
      <c r="M621" s="13">
        <v>4.3900740414082069</v>
      </c>
      <c r="N621" s="7">
        <f>'Option source'!C664</f>
        <v>42206504</v>
      </c>
      <c r="O621" s="7">
        <f>'Option source'!G664</f>
        <v>52</v>
      </c>
      <c r="P621" s="7">
        <f>'Option source'!F664</f>
        <v>80</v>
      </c>
      <c r="Q621" s="1" t="s">
        <v>88</v>
      </c>
      <c r="R621" s="1">
        <v>659</v>
      </c>
    </row>
    <row r="622" spans="1:18" ht="21" customHeight="1">
      <c r="A622" s="8">
        <v>46265</v>
      </c>
      <c r="B622" s="1" t="s">
        <v>110</v>
      </c>
      <c r="C622" s="39" t="s">
        <v>90</v>
      </c>
      <c r="D622" s="7">
        <v>5800</v>
      </c>
      <c r="E622" s="7">
        <f>'Option source'!B645</f>
        <v>36.96</v>
      </c>
      <c r="F622" s="7">
        <v>7015</v>
      </c>
      <c r="G622" s="14">
        <v>46</v>
      </c>
      <c r="H622" s="7">
        <f t="shared" si="27"/>
        <v>0</v>
      </c>
      <c r="I622" s="7">
        <f t="shared" si="28"/>
        <v>36.96</v>
      </c>
      <c r="J622" s="9">
        <f t="shared" si="29"/>
        <v>0.82679971489665005</v>
      </c>
      <c r="K622" s="9">
        <v>0.45253982755145694</v>
      </c>
      <c r="L622" s="13">
        <v>-6.6866892277150924E-2</v>
      </c>
      <c r="M622" s="13">
        <v>3.2276691700423883</v>
      </c>
      <c r="N622" s="7">
        <f>'Option source'!C645</f>
        <v>9169526</v>
      </c>
      <c r="O622" s="7">
        <f>'Option source'!G645</f>
        <v>32.5</v>
      </c>
      <c r="P622" s="7">
        <f>'Option source'!F645</f>
        <v>65</v>
      </c>
      <c r="Q622" s="1" t="s">
        <v>88</v>
      </c>
      <c r="R622" s="1">
        <v>640</v>
      </c>
    </row>
    <row r="623" spans="1:18" ht="21" customHeight="1">
      <c r="A623" s="8">
        <v>46265</v>
      </c>
      <c r="B623" s="1" t="s">
        <v>121</v>
      </c>
      <c r="C623" s="39" t="s">
        <v>87</v>
      </c>
      <c r="D623" s="7">
        <v>8300</v>
      </c>
      <c r="E623" s="7">
        <f>'Option source'!B379</f>
        <v>114.25</v>
      </c>
      <c r="F623" s="7">
        <v>7015</v>
      </c>
      <c r="G623" s="14">
        <v>46</v>
      </c>
      <c r="H623" s="7">
        <f t="shared" si="27"/>
        <v>0</v>
      </c>
      <c r="I623" s="7">
        <f t="shared" si="28"/>
        <v>114.25</v>
      </c>
      <c r="J623" s="9">
        <f t="shared" si="29"/>
        <v>1.1831789023521027</v>
      </c>
      <c r="K623" s="9">
        <v>0.41582406162632646</v>
      </c>
      <c r="L623" s="13">
        <v>0.20910724079715717</v>
      </c>
      <c r="M623" s="13">
        <v>7.1592533585579767</v>
      </c>
      <c r="N623" s="7">
        <f>'Option source'!C379</f>
        <v>86548000</v>
      </c>
      <c r="O623" s="7">
        <f>'Option source'!G379</f>
        <v>83</v>
      </c>
      <c r="P623" s="7">
        <f>'Option source'!F379</f>
        <v>138.85</v>
      </c>
      <c r="Q623" s="1" t="s">
        <v>88</v>
      </c>
      <c r="R623" s="1">
        <v>374</v>
      </c>
    </row>
    <row r="624" spans="1:18" ht="21" customHeight="1">
      <c r="A624" s="8">
        <v>46265</v>
      </c>
      <c r="B624" s="1" t="s">
        <v>122</v>
      </c>
      <c r="C624" s="39" t="s">
        <v>90</v>
      </c>
      <c r="D624" s="7">
        <v>8300</v>
      </c>
      <c r="E624" s="7">
        <f>'Option source'!B873</f>
        <v>1260</v>
      </c>
      <c r="F624" s="7">
        <v>7015</v>
      </c>
      <c r="G624" s="14">
        <v>46</v>
      </c>
      <c r="H624" s="7">
        <f t="shared" si="27"/>
        <v>1285</v>
      </c>
      <c r="I624" s="7">
        <f t="shared" si="28"/>
        <v>-25</v>
      </c>
      <c r="J624" s="9">
        <f t="shared" si="29"/>
        <v>1.1831789023521027</v>
      </c>
      <c r="K624" s="9"/>
      <c r="L624" s="13"/>
      <c r="M624" s="13"/>
      <c r="N624" s="7">
        <f>'Option source'!C873</f>
        <v>252000</v>
      </c>
      <c r="O624" s="7">
        <f>'Option source'!G873</f>
        <v>0</v>
      </c>
      <c r="P624" s="7">
        <f>'Option source'!F873</f>
        <v>0</v>
      </c>
      <c r="Q624" s="1" t="s">
        <v>113</v>
      </c>
      <c r="R624" s="1">
        <v>868</v>
      </c>
    </row>
    <row r="625" spans="1:18" ht="21" customHeight="1">
      <c r="A625" s="8">
        <v>46265</v>
      </c>
      <c r="B625" s="1" t="s">
        <v>114</v>
      </c>
      <c r="C625" s="39" t="s">
        <v>87</v>
      </c>
      <c r="D625" s="7">
        <v>5600</v>
      </c>
      <c r="E625" s="7">
        <f>'Option source'!B141</f>
        <v>1311.48</v>
      </c>
      <c r="F625" s="7">
        <v>7015</v>
      </c>
      <c r="G625" s="14">
        <v>46</v>
      </c>
      <c r="H625" s="7">
        <f t="shared" si="27"/>
        <v>1415</v>
      </c>
      <c r="I625" s="7">
        <f t="shared" si="28"/>
        <v>-103.51999999999998</v>
      </c>
      <c r="J625" s="9">
        <f t="shared" si="29"/>
        <v>0.79828937990021387</v>
      </c>
      <c r="K625" s="9"/>
      <c r="L625" s="13"/>
      <c r="M625" s="13"/>
      <c r="N625" s="7">
        <f>'Option source'!C141</f>
        <v>0</v>
      </c>
      <c r="O625" s="7">
        <f>'Option source'!G141</f>
        <v>1311.48</v>
      </c>
      <c r="P625" s="7">
        <f>'Option source'!F141</f>
        <v>1311.48</v>
      </c>
      <c r="Q625" s="1" t="s">
        <v>118</v>
      </c>
      <c r="R625" s="1">
        <v>136</v>
      </c>
    </row>
    <row r="626" spans="1:18" ht="21" customHeight="1">
      <c r="A626" s="8">
        <v>46265</v>
      </c>
      <c r="B626" s="1" t="s">
        <v>115</v>
      </c>
      <c r="C626" s="39" t="s">
        <v>90</v>
      </c>
      <c r="D626" s="7">
        <v>5600</v>
      </c>
      <c r="E626" s="7">
        <f>'Option source'!B626</f>
        <v>22.98</v>
      </c>
      <c r="F626" s="7">
        <v>7015</v>
      </c>
      <c r="G626" s="14">
        <v>46</v>
      </c>
      <c r="H626" s="7">
        <f t="shared" si="27"/>
        <v>0</v>
      </c>
      <c r="I626" s="7">
        <f t="shared" si="28"/>
        <v>22.98</v>
      </c>
      <c r="J626" s="9">
        <f t="shared" si="29"/>
        <v>0.79828937990021387</v>
      </c>
      <c r="K626" s="9">
        <v>0.45738448884034699</v>
      </c>
      <c r="L626" s="13">
        <v>-4.4426236992447077E-2</v>
      </c>
      <c r="M626" s="13">
        <v>2.3362531417138315</v>
      </c>
      <c r="N626" s="7">
        <f>'Option source'!C626</f>
        <v>7310410.5</v>
      </c>
      <c r="O626" s="7">
        <f>'Option source'!G626</f>
        <v>20</v>
      </c>
      <c r="P626" s="7">
        <f>'Option source'!F626</f>
        <v>34</v>
      </c>
      <c r="Q626" s="1" t="s">
        <v>88</v>
      </c>
      <c r="R626" s="1">
        <v>621</v>
      </c>
    </row>
    <row r="627" spans="1:18" ht="21" customHeight="1">
      <c r="A627" s="8">
        <v>46265</v>
      </c>
      <c r="B627" s="1" t="s">
        <v>127</v>
      </c>
      <c r="C627" s="39" t="s">
        <v>87</v>
      </c>
      <c r="D627" s="7">
        <v>8600</v>
      </c>
      <c r="E627" s="7">
        <f>'Option source'!B398</f>
        <v>73.69</v>
      </c>
      <c r="F627" s="7">
        <v>7015</v>
      </c>
      <c r="G627" s="14">
        <v>46</v>
      </c>
      <c r="H627" s="7">
        <f t="shared" si="27"/>
        <v>0</v>
      </c>
      <c r="I627" s="7">
        <f t="shared" si="28"/>
        <v>73.69</v>
      </c>
      <c r="J627" s="9">
        <f t="shared" si="29"/>
        <v>1.2259444048467569</v>
      </c>
      <c r="K627" s="9">
        <v>0.41615696313537764</v>
      </c>
      <c r="L627" s="13">
        <v>0.14706741677492124</v>
      </c>
      <c r="M627" s="13">
        <v>5.7303128633864073</v>
      </c>
      <c r="N627" s="7">
        <f>'Option source'!C398</f>
        <v>147705424</v>
      </c>
      <c r="O627" s="7">
        <f>'Option source'!G398</f>
        <v>52</v>
      </c>
      <c r="P627" s="7">
        <f>'Option source'!F398</f>
        <v>90</v>
      </c>
      <c r="Q627" s="1" t="s">
        <v>88</v>
      </c>
      <c r="R627" s="1">
        <v>393</v>
      </c>
    </row>
    <row r="628" spans="1:18" ht="21" customHeight="1">
      <c r="A628" s="8">
        <v>46265</v>
      </c>
      <c r="B628" s="1" t="s">
        <v>128</v>
      </c>
      <c r="C628" s="39" t="s">
        <v>90</v>
      </c>
      <c r="D628" s="7">
        <v>8600</v>
      </c>
      <c r="E628" s="7">
        <f>'Option source'!B892</f>
        <v>1650</v>
      </c>
      <c r="F628" s="7">
        <v>7015</v>
      </c>
      <c r="G628" s="14">
        <v>46</v>
      </c>
      <c r="H628" s="7">
        <f t="shared" si="27"/>
        <v>1585</v>
      </c>
      <c r="I628" s="7">
        <f t="shared" si="28"/>
        <v>65</v>
      </c>
      <c r="J628" s="9">
        <f t="shared" si="29"/>
        <v>1.2259444048467569</v>
      </c>
      <c r="K628" s="9"/>
      <c r="L628" s="13"/>
      <c r="M628" s="13"/>
      <c r="N628" s="7">
        <f>'Option source'!C892</f>
        <v>315000</v>
      </c>
      <c r="O628" s="7">
        <f>'Option source'!G892</f>
        <v>1500</v>
      </c>
      <c r="P628" s="7">
        <f>'Option source'!F892</f>
        <v>1500</v>
      </c>
      <c r="Q628" s="1" t="s">
        <v>109</v>
      </c>
      <c r="R628" s="1">
        <v>887</v>
      </c>
    </row>
    <row r="629" spans="1:18" ht="21" customHeight="1">
      <c r="A629" s="8">
        <v>46265</v>
      </c>
      <c r="B629" s="1" t="s">
        <v>119</v>
      </c>
      <c r="C629" s="39" t="s">
        <v>87</v>
      </c>
      <c r="D629" s="7">
        <v>5400</v>
      </c>
      <c r="E629" s="7">
        <f>'Option source'!B123</f>
        <v>1812</v>
      </c>
      <c r="F629" s="7">
        <v>7015</v>
      </c>
      <c r="G629" s="14">
        <v>46</v>
      </c>
      <c r="H629" s="7">
        <f t="shared" si="27"/>
        <v>1615</v>
      </c>
      <c r="I629" s="7">
        <f t="shared" si="28"/>
        <v>197</v>
      </c>
      <c r="J629" s="9">
        <f t="shared" si="29"/>
        <v>0.76977904490377758</v>
      </c>
      <c r="K629" s="9"/>
      <c r="L629" s="13"/>
      <c r="M629" s="13"/>
      <c r="N629" s="7">
        <f>'Option source'!C123</f>
        <v>2818746.75</v>
      </c>
      <c r="O629" s="7">
        <f>'Option source'!G123</f>
        <v>1616.01</v>
      </c>
      <c r="P629" s="7">
        <f>'Option source'!F123</f>
        <v>1812</v>
      </c>
      <c r="Q629" s="1" t="s">
        <v>100</v>
      </c>
      <c r="R629" s="1">
        <v>118</v>
      </c>
    </row>
    <row r="630" spans="1:18" ht="21" customHeight="1">
      <c r="A630" s="8">
        <v>46265</v>
      </c>
      <c r="B630" s="1" t="s">
        <v>120</v>
      </c>
      <c r="C630" s="39" t="s">
        <v>90</v>
      </c>
      <c r="D630" s="7">
        <v>5400</v>
      </c>
      <c r="E630" s="7">
        <f>'Option source'!B607</f>
        <v>12.73</v>
      </c>
      <c r="F630" s="7">
        <v>7015</v>
      </c>
      <c r="G630" s="14">
        <v>46</v>
      </c>
      <c r="H630" s="7">
        <f t="shared" si="27"/>
        <v>0</v>
      </c>
      <c r="I630" s="7">
        <f t="shared" si="28"/>
        <v>12.73</v>
      </c>
      <c r="J630" s="9">
        <f t="shared" si="29"/>
        <v>0.76977904490377758</v>
      </c>
      <c r="K630" s="9">
        <v>0.45586917741261423</v>
      </c>
      <c r="L630" s="13">
        <v>-2.6721776855927359E-2</v>
      </c>
      <c r="M630" s="13">
        <v>1.5389060315157548</v>
      </c>
      <c r="N630" s="7">
        <f>'Option source'!C607</f>
        <v>2412650.5</v>
      </c>
      <c r="O630" s="7">
        <f>'Option source'!G607</f>
        <v>10.01</v>
      </c>
      <c r="P630" s="7">
        <f>'Option source'!F607</f>
        <v>18</v>
      </c>
      <c r="Q630" s="1" t="s">
        <v>88</v>
      </c>
      <c r="R630" s="1">
        <v>602</v>
      </c>
    </row>
    <row r="631" spans="1:18" ht="21" customHeight="1">
      <c r="A631" s="8">
        <v>46265</v>
      </c>
      <c r="B631" s="1" t="s">
        <v>123</v>
      </c>
      <c r="C631" s="39" t="s">
        <v>87</v>
      </c>
      <c r="D631" s="7">
        <v>5200</v>
      </c>
      <c r="E631" s="7">
        <f>'Option source'!B104</f>
        <v>1677.12</v>
      </c>
      <c r="F631" s="7">
        <v>7015</v>
      </c>
      <c r="G631" s="14">
        <v>46</v>
      </c>
      <c r="H631" s="7">
        <f t="shared" si="27"/>
        <v>1815</v>
      </c>
      <c r="I631" s="7">
        <f t="shared" si="28"/>
        <v>-137.88000000000011</v>
      </c>
      <c r="J631" s="9">
        <f t="shared" si="29"/>
        <v>0.74126870990734139</v>
      </c>
      <c r="K631" s="9"/>
      <c r="L631" s="13"/>
      <c r="M631" s="13"/>
      <c r="N631" s="7">
        <f>'Option source'!C104</f>
        <v>0</v>
      </c>
      <c r="O631" s="7">
        <f>'Option source'!G104</f>
        <v>1810</v>
      </c>
      <c r="P631" s="7">
        <f>'Option source'!F104</f>
        <v>1810</v>
      </c>
      <c r="Q631" s="1" t="s">
        <v>145</v>
      </c>
      <c r="R631" s="1">
        <v>99</v>
      </c>
    </row>
    <row r="632" spans="1:18" ht="21" customHeight="1">
      <c r="A632" s="8">
        <v>46265</v>
      </c>
      <c r="B632" s="1" t="s">
        <v>124</v>
      </c>
      <c r="C632" s="39" t="s">
        <v>90</v>
      </c>
      <c r="D632" s="7">
        <v>5200</v>
      </c>
      <c r="E632" s="7">
        <f>'Option source'!B588</f>
        <v>7.67</v>
      </c>
      <c r="F632" s="7">
        <v>7015</v>
      </c>
      <c r="G632" s="14">
        <v>46</v>
      </c>
      <c r="H632" s="7">
        <f t="shared" si="27"/>
        <v>0</v>
      </c>
      <c r="I632" s="7">
        <f t="shared" si="28"/>
        <v>7.67</v>
      </c>
      <c r="J632" s="9">
        <f t="shared" si="29"/>
        <v>0.74126870990734139</v>
      </c>
      <c r="K632" s="9">
        <v>0.46556423758728505</v>
      </c>
      <c r="L632" s="13">
        <v>-1.6883081564586622E-2</v>
      </c>
      <c r="M632" s="13">
        <v>1.0437464971894013</v>
      </c>
      <c r="N632" s="7">
        <f>'Option source'!C588</f>
        <v>1655363.75</v>
      </c>
      <c r="O632" s="7">
        <f>'Option source'!G588</f>
        <v>6.75</v>
      </c>
      <c r="P632" s="7">
        <f>'Option source'!F588</f>
        <v>9.98</v>
      </c>
      <c r="Q632" s="1" t="s">
        <v>88</v>
      </c>
      <c r="R632" s="1">
        <v>583</v>
      </c>
    </row>
    <row r="633" spans="1:18" ht="21" customHeight="1">
      <c r="A633" s="8">
        <v>46265</v>
      </c>
      <c r="B633" s="1" t="s">
        <v>132</v>
      </c>
      <c r="C633" s="39" t="s">
        <v>87</v>
      </c>
      <c r="D633" s="7">
        <v>8900</v>
      </c>
      <c r="E633" s="7">
        <f>'Option source'!B417</f>
        <v>46.66</v>
      </c>
      <c r="F633" s="7">
        <v>7015</v>
      </c>
      <c r="G633" s="14">
        <v>46</v>
      </c>
      <c r="H633" s="7">
        <f t="shared" si="27"/>
        <v>0</v>
      </c>
      <c r="I633" s="7">
        <f t="shared" si="28"/>
        <v>46.66</v>
      </c>
      <c r="J633" s="9">
        <f t="shared" si="29"/>
        <v>1.2687099073414112</v>
      </c>
      <c r="K633" s="9">
        <v>0.41709607848769414</v>
      </c>
      <c r="L633" s="13">
        <v>0.10062973116435472</v>
      </c>
      <c r="M633" s="13">
        <v>4.3905902437080782</v>
      </c>
      <c r="N633" s="7">
        <f>'Option source'!C417</f>
        <v>18052144</v>
      </c>
      <c r="O633" s="7">
        <f>'Option source'!G417</f>
        <v>37</v>
      </c>
      <c r="P633" s="7">
        <f>'Option source'!F417</f>
        <v>60</v>
      </c>
      <c r="Q633" s="1" t="s">
        <v>88</v>
      </c>
      <c r="R633" s="1">
        <v>412</v>
      </c>
    </row>
    <row r="634" spans="1:18" ht="21" customHeight="1">
      <c r="A634" s="8">
        <v>46265</v>
      </c>
      <c r="B634" s="1" t="s">
        <v>133</v>
      </c>
      <c r="C634" s="39" t="s">
        <v>90</v>
      </c>
      <c r="D634" s="7">
        <v>8900</v>
      </c>
      <c r="E634" s="7">
        <f>'Option source'!B907</f>
        <v>2022.5</v>
      </c>
      <c r="F634" s="7">
        <v>7015</v>
      </c>
      <c r="G634" s="14">
        <v>46</v>
      </c>
      <c r="H634" s="7">
        <f t="shared" si="27"/>
        <v>1885</v>
      </c>
      <c r="I634" s="7">
        <f t="shared" si="28"/>
        <v>137.5</v>
      </c>
      <c r="J634" s="9">
        <f t="shared" si="29"/>
        <v>1.2687099073414112</v>
      </c>
      <c r="K634" s="9"/>
      <c r="L634" s="13"/>
      <c r="M634" s="13"/>
      <c r="N634" s="7">
        <f>'Option source'!C907</f>
        <v>0</v>
      </c>
      <c r="O634" s="7">
        <f>'Option source'!G907</f>
        <v>2022.5</v>
      </c>
      <c r="P634" s="7">
        <f>'Option source'!F907</f>
        <v>2037.67</v>
      </c>
      <c r="Q634" s="1" t="s">
        <v>25</v>
      </c>
      <c r="R634" s="1">
        <v>902</v>
      </c>
    </row>
    <row r="635" spans="1:18" ht="21" customHeight="1">
      <c r="A635" s="8">
        <v>46265</v>
      </c>
      <c r="B635" s="1" t="s">
        <v>125</v>
      </c>
      <c r="C635" s="39" t="s">
        <v>87</v>
      </c>
      <c r="D635" s="7">
        <v>5000</v>
      </c>
      <c r="E635" s="7">
        <f>'Option source'!B85</f>
        <v>1997.87</v>
      </c>
      <c r="F635" s="7">
        <v>7015</v>
      </c>
      <c r="G635" s="14">
        <v>46</v>
      </c>
      <c r="H635" s="7">
        <f t="shared" si="27"/>
        <v>2015</v>
      </c>
      <c r="I635" s="7">
        <f t="shared" si="28"/>
        <v>-17.130000000000109</v>
      </c>
      <c r="J635" s="9">
        <f t="shared" si="29"/>
        <v>0.71275837491090521</v>
      </c>
      <c r="K635" s="9"/>
      <c r="L635" s="13"/>
      <c r="M635" s="13"/>
      <c r="N635" s="7">
        <f>'Option source'!C85</f>
        <v>399574.59</v>
      </c>
      <c r="O635" s="7">
        <f>'Option source'!G85</f>
        <v>0</v>
      </c>
      <c r="P635" s="7">
        <f>'Option source'!F85</f>
        <v>0</v>
      </c>
      <c r="Q635" s="1" t="s">
        <v>113</v>
      </c>
      <c r="R635" s="1">
        <v>80</v>
      </c>
    </row>
    <row r="636" spans="1:18" ht="21" customHeight="1">
      <c r="A636" s="8">
        <v>46265</v>
      </c>
      <c r="B636" s="1" t="s">
        <v>126</v>
      </c>
      <c r="C636" s="39" t="s">
        <v>90</v>
      </c>
      <c r="D636" s="7">
        <v>5000</v>
      </c>
      <c r="E636" s="7">
        <f>'Option source'!B569</f>
        <v>4.26</v>
      </c>
      <c r="F636" s="7">
        <v>7015</v>
      </c>
      <c r="G636" s="14">
        <v>46</v>
      </c>
      <c r="H636" s="7">
        <f t="shared" si="27"/>
        <v>0</v>
      </c>
      <c r="I636" s="7">
        <f t="shared" si="28"/>
        <v>4.26</v>
      </c>
      <c r="J636" s="9">
        <f t="shared" si="29"/>
        <v>0.71275837491090521</v>
      </c>
      <c r="K636" s="9">
        <v>0.47201685807995419</v>
      </c>
      <c r="L636" s="13">
        <v>-9.8986591529992562E-3</v>
      </c>
      <c r="M636" s="13">
        <v>0.6578553624948893</v>
      </c>
      <c r="N636" s="7">
        <f>'Option source'!C569</f>
        <v>932553.5</v>
      </c>
      <c r="O636" s="7">
        <f>'Option source'!G569</f>
        <v>3.5</v>
      </c>
      <c r="P636" s="7">
        <f>'Option source'!F569</f>
        <v>6.99</v>
      </c>
      <c r="Q636" s="1" t="s">
        <v>88</v>
      </c>
      <c r="R636" s="1">
        <v>564</v>
      </c>
    </row>
    <row r="637" spans="1:18" ht="21" customHeight="1">
      <c r="A637" s="8">
        <v>46265</v>
      </c>
      <c r="B637" s="1" t="s">
        <v>138</v>
      </c>
      <c r="C637" s="39" t="s">
        <v>87</v>
      </c>
      <c r="D637" s="7">
        <v>9200</v>
      </c>
      <c r="E637" s="7">
        <f>'Option source'!B436</f>
        <v>29.82</v>
      </c>
      <c r="F637" s="7">
        <v>7015</v>
      </c>
      <c r="G637" s="14">
        <v>46</v>
      </c>
      <c r="H637" s="7">
        <f t="shared" si="27"/>
        <v>0</v>
      </c>
      <c r="I637" s="7">
        <f t="shared" si="28"/>
        <v>29.82</v>
      </c>
      <c r="J637" s="9">
        <f t="shared" si="29"/>
        <v>1.3114754098360655</v>
      </c>
      <c r="K637" s="9">
        <v>0.42069164540522497</v>
      </c>
      <c r="L637" s="13">
        <v>6.8407213979028533E-2</v>
      </c>
      <c r="M637" s="13">
        <v>3.2849639668895594</v>
      </c>
      <c r="N637" s="7">
        <f>'Option source'!C436</f>
        <v>17902278</v>
      </c>
      <c r="O637" s="7">
        <f>'Option source'!G436</f>
        <v>20.149999999999999</v>
      </c>
      <c r="P637" s="7">
        <f>'Option source'!F436</f>
        <v>35.44</v>
      </c>
      <c r="Q637" s="1" t="s">
        <v>88</v>
      </c>
      <c r="R637" s="1">
        <v>431</v>
      </c>
    </row>
    <row r="638" spans="1:18" ht="21" customHeight="1">
      <c r="A638" s="8">
        <v>46265</v>
      </c>
      <c r="B638" s="1" t="s">
        <v>129</v>
      </c>
      <c r="C638" s="39" t="s">
        <v>87</v>
      </c>
      <c r="D638" s="7">
        <v>4800</v>
      </c>
      <c r="E638" s="7">
        <f>'Option source'!B68</f>
        <v>2050</v>
      </c>
      <c r="F638" s="7">
        <v>7015</v>
      </c>
      <c r="G638" s="14">
        <v>46</v>
      </c>
      <c r="H638" s="7">
        <f t="shared" si="27"/>
        <v>2215</v>
      </c>
      <c r="I638" s="7">
        <f t="shared" si="28"/>
        <v>-165</v>
      </c>
      <c r="J638" s="9">
        <f t="shared" si="29"/>
        <v>0.68424803991446903</v>
      </c>
      <c r="K638" s="9"/>
      <c r="L638" s="13"/>
      <c r="M638" s="13"/>
      <c r="N638" s="7">
        <f>'Option source'!C68</f>
        <v>0</v>
      </c>
      <c r="O638" s="7">
        <f>'Option source'!G68</f>
        <v>2050</v>
      </c>
      <c r="P638" s="7">
        <f>'Option source'!F68</f>
        <v>2104.21</v>
      </c>
      <c r="Q638" s="1" t="s">
        <v>118</v>
      </c>
      <c r="R638" s="1">
        <v>63</v>
      </c>
    </row>
    <row r="639" spans="1:18" ht="21" customHeight="1">
      <c r="A639" s="8">
        <v>46265</v>
      </c>
      <c r="B639" s="1" t="s">
        <v>131</v>
      </c>
      <c r="C639" s="39" t="s">
        <v>90</v>
      </c>
      <c r="D639" s="7">
        <v>4800</v>
      </c>
      <c r="E639" s="7">
        <f>'Option source'!B550</f>
        <v>2.54</v>
      </c>
      <c r="F639" s="7">
        <v>7015</v>
      </c>
      <c r="G639" s="14">
        <v>46</v>
      </c>
      <c r="H639" s="7">
        <f t="shared" si="27"/>
        <v>0</v>
      </c>
      <c r="I639" s="7">
        <f t="shared" si="28"/>
        <v>2.54</v>
      </c>
      <c r="J639" s="9">
        <f t="shared" si="29"/>
        <v>0.68424803991446903</v>
      </c>
      <c r="K639" s="9">
        <v>0.48506283292484109</v>
      </c>
      <c r="L639" s="13">
        <v>-6.0514747597244511E-3</v>
      </c>
      <c r="M639" s="13">
        <v>0.42664914716305058</v>
      </c>
      <c r="N639" s="7">
        <f>'Option source'!C550</f>
        <v>443499.31</v>
      </c>
      <c r="O639" s="7">
        <f>'Option source'!G550</f>
        <v>1</v>
      </c>
      <c r="P639" s="7">
        <f>'Option source'!F550</f>
        <v>5</v>
      </c>
      <c r="Q639" s="1" t="s">
        <v>88</v>
      </c>
      <c r="R639" s="1">
        <v>545</v>
      </c>
    </row>
    <row r="640" spans="1:18" ht="21" customHeight="1">
      <c r="A640" s="8">
        <v>46265</v>
      </c>
      <c r="B640" s="1" t="s">
        <v>134</v>
      </c>
      <c r="C640" s="39" t="s">
        <v>87</v>
      </c>
      <c r="D640" s="7">
        <v>4600</v>
      </c>
      <c r="E640" s="7">
        <f>'Option source'!B51</f>
        <v>2384.7199999999998</v>
      </c>
      <c r="F640" s="7">
        <v>7015</v>
      </c>
      <c r="G640" s="14">
        <v>46</v>
      </c>
      <c r="H640" s="7">
        <f t="shared" si="27"/>
        <v>2415</v>
      </c>
      <c r="I640" s="7">
        <f t="shared" si="28"/>
        <v>-30.2800000000002</v>
      </c>
      <c r="J640" s="9">
        <f t="shared" si="29"/>
        <v>0.65573770491803274</v>
      </c>
      <c r="K640" s="9"/>
      <c r="L640" s="13"/>
      <c r="M640" s="13"/>
      <c r="N640" s="7">
        <f>'Option source'!C51</f>
        <v>476944.41</v>
      </c>
      <c r="O640" s="7">
        <f>'Option source'!G51</f>
        <v>0</v>
      </c>
      <c r="P640" s="7">
        <f>'Option source'!F51</f>
        <v>0</v>
      </c>
      <c r="Q640" s="1" t="s">
        <v>113</v>
      </c>
      <c r="R640" s="1">
        <v>46</v>
      </c>
    </row>
    <row r="641" spans="1:18" ht="21" customHeight="1">
      <c r="A641" s="8">
        <v>46265</v>
      </c>
      <c r="B641" s="1" t="s">
        <v>135</v>
      </c>
      <c r="C641" s="39" t="s">
        <v>90</v>
      </c>
      <c r="D641" s="7">
        <v>4600</v>
      </c>
      <c r="E641" s="7">
        <f>'Option source'!B531</f>
        <v>1.8</v>
      </c>
      <c r="F641" s="7">
        <v>7015</v>
      </c>
      <c r="G641" s="14">
        <v>46</v>
      </c>
      <c r="H641" s="7">
        <f t="shared" si="27"/>
        <v>0</v>
      </c>
      <c r="I641" s="7">
        <f t="shared" si="28"/>
        <v>1.8</v>
      </c>
      <c r="J641" s="9">
        <f t="shared" si="29"/>
        <v>0.65573770491803274</v>
      </c>
      <c r="K641" s="9">
        <v>0.5095381658699849</v>
      </c>
      <c r="L641" s="13">
        <v>-4.2396226416867577E-3</v>
      </c>
      <c r="M641" s="13">
        <v>0.31079983178468229</v>
      </c>
      <c r="N641" s="7">
        <f>'Option source'!C531</f>
        <v>410284.41</v>
      </c>
      <c r="O641" s="7">
        <f>'Option source'!G531</f>
        <v>1</v>
      </c>
      <c r="P641" s="7">
        <f>'Option source'!F531</f>
        <v>2.7</v>
      </c>
      <c r="Q641" s="1" t="s">
        <v>88</v>
      </c>
      <c r="R641" s="1">
        <v>526</v>
      </c>
    </row>
    <row r="642" spans="1:18" ht="21" customHeight="1">
      <c r="A642" s="8">
        <v>46265</v>
      </c>
      <c r="B642" s="1" t="s">
        <v>142</v>
      </c>
      <c r="C642" s="39" t="s">
        <v>87</v>
      </c>
      <c r="D642" s="7">
        <v>9500</v>
      </c>
      <c r="E642" s="7">
        <f>'Option source'!B455</f>
        <v>18.100000000000001</v>
      </c>
      <c r="F642" s="7">
        <v>7015</v>
      </c>
      <c r="G642" s="14">
        <v>46</v>
      </c>
      <c r="H642" s="7">
        <f t="shared" si="27"/>
        <v>0</v>
      </c>
      <c r="I642" s="7">
        <f t="shared" si="28"/>
        <v>18.100000000000001</v>
      </c>
      <c r="J642" s="9">
        <f t="shared" si="29"/>
        <v>1.35424091233072</v>
      </c>
      <c r="K642" s="9">
        <v>0.42094301166381221</v>
      </c>
      <c r="L642" s="13">
        <v>4.4423564273111137E-2</v>
      </c>
      <c r="M642" s="13">
        <v>2.3361398900567014</v>
      </c>
      <c r="N642" s="7">
        <f>'Option source'!C455</f>
        <v>7441443</v>
      </c>
      <c r="O642" s="7">
        <f>'Option source'!G455</f>
        <v>16</v>
      </c>
      <c r="P642" s="7">
        <f>'Option source'!F455</f>
        <v>23</v>
      </c>
      <c r="Q642" s="1" t="s">
        <v>88</v>
      </c>
      <c r="R642" s="1">
        <v>450</v>
      </c>
    </row>
    <row r="643" spans="1:18" ht="21" customHeight="1">
      <c r="A643" s="8">
        <v>46265</v>
      </c>
      <c r="B643" s="1" t="s">
        <v>136</v>
      </c>
      <c r="C643" s="39" t="s">
        <v>87</v>
      </c>
      <c r="D643" s="7">
        <v>4400</v>
      </c>
      <c r="E643" s="7">
        <f>'Option source'!B32</f>
        <v>2429.9699999999998</v>
      </c>
      <c r="F643" s="7">
        <v>7015</v>
      </c>
      <c r="G643" s="14">
        <v>46</v>
      </c>
      <c r="H643" s="7">
        <f t="shared" si="27"/>
        <v>2615</v>
      </c>
      <c r="I643" s="7">
        <f t="shared" si="28"/>
        <v>-185.0300000000002</v>
      </c>
      <c r="J643" s="9">
        <f t="shared" si="29"/>
        <v>0.62722736992159656</v>
      </c>
      <c r="K643" s="9"/>
      <c r="L643" s="13"/>
      <c r="M643" s="13"/>
      <c r="N643" s="7">
        <f>'Option source'!C32</f>
        <v>0</v>
      </c>
      <c r="O643" s="7">
        <f>'Option source'!G32</f>
        <v>2429.9699999999998</v>
      </c>
      <c r="P643" s="7">
        <f>'Option source'!F32</f>
        <v>2429.9699999999998</v>
      </c>
      <c r="Q643" s="1" t="s">
        <v>118</v>
      </c>
      <c r="R643" s="1">
        <v>27</v>
      </c>
    </row>
    <row r="644" spans="1:18" ht="21" customHeight="1">
      <c r="A644" s="8">
        <v>46265</v>
      </c>
      <c r="B644" s="1" t="s">
        <v>137</v>
      </c>
      <c r="C644" s="39" t="s">
        <v>90</v>
      </c>
      <c r="D644" s="7">
        <v>4400</v>
      </c>
      <c r="E644" s="7">
        <f>'Option source'!B512</f>
        <v>1.18</v>
      </c>
      <c r="F644" s="7">
        <v>7015</v>
      </c>
      <c r="G644" s="14">
        <v>46</v>
      </c>
      <c r="H644" s="7">
        <f t="shared" si="27"/>
        <v>0</v>
      </c>
      <c r="I644" s="7">
        <f t="shared" si="28"/>
        <v>1.18</v>
      </c>
      <c r="J644" s="9">
        <f t="shared" si="29"/>
        <v>0.62722736992159656</v>
      </c>
      <c r="K644" s="9">
        <v>0.53040205818950659</v>
      </c>
      <c r="L644" s="13">
        <v>-2.7843163223112422E-3</v>
      </c>
      <c r="M644" s="13">
        <v>0.21302294219367632</v>
      </c>
      <c r="N644" s="7">
        <f>'Option source'!C512</f>
        <v>142381.20000000001</v>
      </c>
      <c r="O644" s="7">
        <f>'Option source'!G512</f>
        <v>1</v>
      </c>
      <c r="P644" s="7">
        <f>'Option source'!F512</f>
        <v>2.6</v>
      </c>
      <c r="Q644" s="1" t="s">
        <v>88</v>
      </c>
      <c r="R644" s="1">
        <v>507</v>
      </c>
    </row>
    <row r="645" spans="1:18" ht="21" customHeight="1">
      <c r="A645" s="8">
        <v>46265</v>
      </c>
      <c r="B645" s="1" t="s">
        <v>140</v>
      </c>
      <c r="C645" s="39" t="s">
        <v>87</v>
      </c>
      <c r="D645" s="7">
        <v>4200</v>
      </c>
      <c r="E645" s="7">
        <f>'Option source'!B13</f>
        <v>2933.39</v>
      </c>
      <c r="F645" s="7">
        <v>7015</v>
      </c>
      <c r="G645" s="14">
        <v>46</v>
      </c>
      <c r="H645" s="7">
        <f t="shared" si="27"/>
        <v>2815</v>
      </c>
      <c r="I645" s="7">
        <f t="shared" si="28"/>
        <v>118.38999999999987</v>
      </c>
      <c r="J645" s="9">
        <f t="shared" si="29"/>
        <v>0.59871703492516037</v>
      </c>
      <c r="K645" s="9"/>
      <c r="L645" s="13"/>
      <c r="M645" s="13"/>
      <c r="N645" s="7">
        <f>'Option source'!C13</f>
        <v>4581830</v>
      </c>
      <c r="O645" s="7">
        <f>'Option source'!G13</f>
        <v>2853.68</v>
      </c>
      <c r="P645" s="7">
        <f>'Option source'!F13</f>
        <v>2853.68</v>
      </c>
      <c r="Q645" s="1" t="s">
        <v>109</v>
      </c>
      <c r="R645" s="1">
        <v>8</v>
      </c>
    </row>
    <row r="646" spans="1:18" ht="21" customHeight="1">
      <c r="A646" s="8">
        <v>46265</v>
      </c>
      <c r="B646" s="1" t="s">
        <v>141</v>
      </c>
      <c r="C646" s="39" t="s">
        <v>90</v>
      </c>
      <c r="D646" s="7">
        <v>4200</v>
      </c>
      <c r="E646" s="7">
        <f>'Option source'!B493</f>
        <v>0.9</v>
      </c>
      <c r="F646" s="7">
        <v>7015</v>
      </c>
      <c r="G646" s="14">
        <v>46</v>
      </c>
      <c r="H646" s="7">
        <f t="shared" si="27"/>
        <v>0</v>
      </c>
      <c r="I646" s="7">
        <f t="shared" si="28"/>
        <v>0.9</v>
      </c>
      <c r="J646" s="9">
        <f t="shared" si="29"/>
        <v>0.59871703492516037</v>
      </c>
      <c r="K646" s="9">
        <v>0.56096934275308952</v>
      </c>
      <c r="L646" s="13">
        <v>-2.0833720545485601E-3</v>
      </c>
      <c r="M646" s="13">
        <v>0.16385523405072802</v>
      </c>
      <c r="N646" s="7">
        <f>'Option source'!C493</f>
        <v>158150.41</v>
      </c>
      <c r="O646" s="7">
        <f>'Option source'!G493</f>
        <v>0.7</v>
      </c>
      <c r="P646" s="7">
        <f>'Option source'!F493</f>
        <v>2.5</v>
      </c>
      <c r="Q646" s="1" t="s">
        <v>88</v>
      </c>
      <c r="R646" s="1">
        <v>488</v>
      </c>
    </row>
    <row r="647" spans="1:18" ht="21" customHeight="1">
      <c r="A647" s="8">
        <v>46265</v>
      </c>
      <c r="B647" s="1" t="s">
        <v>143</v>
      </c>
      <c r="C647" s="39" t="s">
        <v>87</v>
      </c>
      <c r="D647" s="7">
        <v>9900</v>
      </c>
      <c r="E647" s="7">
        <f>'Option source'!B474</f>
        <v>12.79</v>
      </c>
      <c r="F647" s="7">
        <v>7015</v>
      </c>
      <c r="G647" s="14">
        <v>46</v>
      </c>
      <c r="H647" s="7">
        <f t="shared" ref="H647:H710" si="30">MAX(IF(C647="call",F647-D647,D647-F647),0)</f>
        <v>0</v>
      </c>
      <c r="I647" s="7">
        <f t="shared" ref="I647:I710" si="31">E647-H647</f>
        <v>12.79</v>
      </c>
      <c r="J647" s="9">
        <f t="shared" ref="J647:J710" si="32">D647/F647</f>
        <v>1.4112615823235923</v>
      </c>
      <c r="K647" s="9">
        <v>0.44500788790044421</v>
      </c>
      <c r="L647" s="13">
        <v>3.1283868351513373E-2</v>
      </c>
      <c r="M647" s="13">
        <v>1.754317931915512</v>
      </c>
      <c r="N647" s="7">
        <f>'Option source'!C474</f>
        <v>5916067</v>
      </c>
      <c r="O647" s="7">
        <f>'Option source'!G474</f>
        <v>6.07</v>
      </c>
      <c r="P647" s="7">
        <f>'Option source'!F474</f>
        <v>13.8</v>
      </c>
      <c r="Q647" s="1" t="s">
        <v>88</v>
      </c>
      <c r="R647" s="1">
        <v>469</v>
      </c>
    </row>
    <row r="648" spans="1:18" ht="21" customHeight="1">
      <c r="A648" s="8">
        <v>46262</v>
      </c>
      <c r="B648" s="1" t="s">
        <v>86</v>
      </c>
      <c r="C648" s="39" t="s">
        <v>87</v>
      </c>
      <c r="D648" s="7">
        <v>6800</v>
      </c>
      <c r="E648" s="7">
        <f>'Option source'!B245</f>
        <v>532.71</v>
      </c>
      <c r="F648" s="7">
        <v>6810</v>
      </c>
      <c r="G648" s="14">
        <v>49</v>
      </c>
      <c r="H648" s="7">
        <f t="shared" si="30"/>
        <v>10</v>
      </c>
      <c r="I648" s="7">
        <f t="shared" si="31"/>
        <v>522.71</v>
      </c>
      <c r="J648" s="9">
        <f t="shared" si="32"/>
        <v>0.99853157121879588</v>
      </c>
      <c r="K648" s="9">
        <v>0.38728894327852403</v>
      </c>
      <c r="L648" s="13">
        <v>0.64249024952097677</v>
      </c>
      <c r="M648" s="13">
        <v>9.3123614402304877</v>
      </c>
      <c r="N648" s="7">
        <f>'Option source'!C245</f>
        <v>147764528</v>
      </c>
      <c r="O648" s="7">
        <f>'Option source'!G245</f>
        <v>470</v>
      </c>
      <c r="P648" s="7">
        <f>'Option source'!F245</f>
        <v>600.01</v>
      </c>
      <c r="Q648" s="1" t="s">
        <v>88</v>
      </c>
      <c r="R648" s="1">
        <v>240</v>
      </c>
    </row>
    <row r="649" spans="1:18" ht="21" customHeight="1">
      <c r="A649" s="8">
        <v>46262</v>
      </c>
      <c r="B649" s="1" t="s">
        <v>89</v>
      </c>
      <c r="C649" s="39" t="s">
        <v>90</v>
      </c>
      <c r="D649" s="7">
        <v>6800</v>
      </c>
      <c r="E649" s="7">
        <f>'Option source'!B739</f>
        <v>332.14</v>
      </c>
      <c r="F649" s="7">
        <v>6810</v>
      </c>
      <c r="G649" s="14">
        <v>49</v>
      </c>
      <c r="H649" s="7">
        <f t="shared" si="30"/>
        <v>0</v>
      </c>
      <c r="I649" s="7">
        <f t="shared" si="31"/>
        <v>332.14</v>
      </c>
      <c r="J649" s="9">
        <f t="shared" si="32"/>
        <v>0.99853157121879588</v>
      </c>
      <c r="K649" s="9">
        <v>0.44155693116117012</v>
      </c>
      <c r="L649" s="13">
        <v>-0.36733849693428033</v>
      </c>
      <c r="M649" s="13">
        <v>9.3986862283866177</v>
      </c>
      <c r="N649" s="7">
        <f>'Option source'!C739</f>
        <v>117761568</v>
      </c>
      <c r="O649" s="7">
        <f>'Option source'!G739</f>
        <v>324.99</v>
      </c>
      <c r="P649" s="7">
        <f>'Option source'!F739</f>
        <v>399.99</v>
      </c>
      <c r="Q649" s="1" t="s">
        <v>88</v>
      </c>
      <c r="R649" s="1">
        <v>734</v>
      </c>
    </row>
    <row r="650" spans="1:18" ht="21" customHeight="1">
      <c r="A650" s="8">
        <v>46262</v>
      </c>
      <c r="B650" s="1" t="s">
        <v>93</v>
      </c>
      <c r="C650" s="39" t="s">
        <v>87</v>
      </c>
      <c r="D650" s="7">
        <v>7000</v>
      </c>
      <c r="E650" s="7">
        <f>'Option source'!B264</f>
        <v>438.78</v>
      </c>
      <c r="F650" s="7">
        <v>6810</v>
      </c>
      <c r="G650" s="14">
        <v>49</v>
      </c>
      <c r="H650" s="7">
        <f t="shared" si="30"/>
        <v>0</v>
      </c>
      <c r="I650" s="7">
        <f t="shared" si="31"/>
        <v>438.78</v>
      </c>
      <c r="J650" s="9">
        <f t="shared" si="32"/>
        <v>1.0279001468428781</v>
      </c>
      <c r="K650" s="9">
        <v>0.39881475191189764</v>
      </c>
      <c r="L650" s="13">
        <v>0.56370018590248694</v>
      </c>
      <c r="M650" s="13">
        <v>9.827090623732099</v>
      </c>
      <c r="N650" s="7">
        <f>'Option source'!C264</f>
        <v>207209360</v>
      </c>
      <c r="O650" s="7">
        <f>'Option source'!G264</f>
        <v>380</v>
      </c>
      <c r="P650" s="7">
        <f>'Option source'!F264</f>
        <v>485</v>
      </c>
      <c r="Q650" s="1" t="s">
        <v>88</v>
      </c>
      <c r="R650" s="1">
        <v>259</v>
      </c>
    </row>
    <row r="651" spans="1:18" ht="21" customHeight="1">
      <c r="A651" s="8">
        <v>46262</v>
      </c>
      <c r="B651" s="1" t="s">
        <v>94</v>
      </c>
      <c r="C651" s="39" t="s">
        <v>90</v>
      </c>
      <c r="D651" s="7">
        <v>7000</v>
      </c>
      <c r="E651" s="7">
        <f>'Option source'!B758</f>
        <v>436.88</v>
      </c>
      <c r="F651" s="7">
        <v>6810</v>
      </c>
      <c r="G651" s="14">
        <v>49</v>
      </c>
      <c r="H651" s="7">
        <f t="shared" si="30"/>
        <v>190</v>
      </c>
      <c r="I651" s="7">
        <f t="shared" si="31"/>
        <v>246.88</v>
      </c>
      <c r="J651" s="9">
        <f t="shared" si="32"/>
        <v>1.0279001468428781</v>
      </c>
      <c r="K651" s="9">
        <v>0.44514349004253373</v>
      </c>
      <c r="L651" s="13">
        <v>-0.43653533348440066</v>
      </c>
      <c r="M651" s="13">
        <v>9.8280312207431226</v>
      </c>
      <c r="N651" s="7">
        <f>'Option source'!C758</f>
        <v>113558816</v>
      </c>
      <c r="O651" s="7">
        <f>'Option source'!G758</f>
        <v>420</v>
      </c>
      <c r="P651" s="7">
        <f>'Option source'!F758</f>
        <v>494.78</v>
      </c>
      <c r="Q651" s="1" t="s">
        <v>88</v>
      </c>
      <c r="R651" s="1">
        <v>753</v>
      </c>
    </row>
    <row r="652" spans="1:18" ht="21" customHeight="1">
      <c r="A652" s="8">
        <v>46262</v>
      </c>
      <c r="B652" s="1" t="s">
        <v>91</v>
      </c>
      <c r="C652" s="39" t="s">
        <v>87</v>
      </c>
      <c r="D652" s="7">
        <v>6600</v>
      </c>
      <c r="E652" s="7">
        <f>'Option source'!B226</f>
        <v>651.80999999999995</v>
      </c>
      <c r="F652" s="7">
        <v>6810</v>
      </c>
      <c r="G652" s="14">
        <v>49</v>
      </c>
      <c r="H652" s="7">
        <f t="shared" si="30"/>
        <v>210</v>
      </c>
      <c r="I652" s="7">
        <f t="shared" si="31"/>
        <v>441.80999999999995</v>
      </c>
      <c r="J652" s="9">
        <f t="shared" si="32"/>
        <v>0.96916299559471364</v>
      </c>
      <c r="K652" s="9">
        <v>0.38539735762247052</v>
      </c>
      <c r="L652" s="13">
        <v>0.71824342988367385</v>
      </c>
      <c r="M652" s="13">
        <v>8.4247285205402207</v>
      </c>
      <c r="N652" s="7">
        <f>'Option source'!C226</f>
        <v>55706680</v>
      </c>
      <c r="O652" s="7">
        <f>'Option source'!G226</f>
        <v>580</v>
      </c>
      <c r="P652" s="7">
        <f>'Option source'!F226</f>
        <v>690.79</v>
      </c>
      <c r="Q652" s="1" t="s">
        <v>88</v>
      </c>
      <c r="R652" s="1">
        <v>221</v>
      </c>
    </row>
    <row r="653" spans="1:18" ht="21" customHeight="1">
      <c r="A653" s="8">
        <v>46262</v>
      </c>
      <c r="B653" s="1" t="s">
        <v>92</v>
      </c>
      <c r="C653" s="39" t="s">
        <v>90</v>
      </c>
      <c r="D653" s="7">
        <v>6600</v>
      </c>
      <c r="E653" s="7">
        <f>'Option source'!B720</f>
        <v>249.3</v>
      </c>
      <c r="F653" s="7">
        <v>6810</v>
      </c>
      <c r="G653" s="14">
        <v>49</v>
      </c>
      <c r="H653" s="7">
        <f t="shared" si="30"/>
        <v>0</v>
      </c>
      <c r="I653" s="7">
        <f t="shared" si="31"/>
        <v>249.3</v>
      </c>
      <c r="J653" s="9">
        <f t="shared" si="32"/>
        <v>0.96916299559471364</v>
      </c>
      <c r="K653" s="9">
        <v>0.44278600062040085</v>
      </c>
      <c r="L653" s="13">
        <v>-0.30068552000313931</v>
      </c>
      <c r="M653" s="13">
        <v>8.6844463535951704</v>
      </c>
      <c r="N653" s="7">
        <f>'Option source'!C720</f>
        <v>305045952</v>
      </c>
      <c r="O653" s="7">
        <f>'Option source'!G720</f>
        <v>200</v>
      </c>
      <c r="P653" s="7">
        <f>'Option source'!F720</f>
        <v>301.98</v>
      </c>
      <c r="Q653" s="1" t="s">
        <v>88</v>
      </c>
      <c r="R653" s="1">
        <v>715</v>
      </c>
    </row>
    <row r="654" spans="1:18" ht="21" customHeight="1">
      <c r="A654" s="8">
        <v>46262</v>
      </c>
      <c r="B654" s="1" t="s">
        <v>97</v>
      </c>
      <c r="C654" s="39" t="s">
        <v>87</v>
      </c>
      <c r="D654" s="7">
        <v>7200</v>
      </c>
      <c r="E654" s="7">
        <f>'Option source'!B283</f>
        <v>358.14</v>
      </c>
      <c r="F654" s="7">
        <v>6810</v>
      </c>
      <c r="G654" s="14">
        <v>49</v>
      </c>
      <c r="H654" s="7">
        <f t="shared" si="30"/>
        <v>0</v>
      </c>
      <c r="I654" s="7">
        <f t="shared" si="31"/>
        <v>358.14</v>
      </c>
      <c r="J654" s="9">
        <f t="shared" si="32"/>
        <v>1.0572687224669604</v>
      </c>
      <c r="K654" s="9">
        <v>0.40795896880472715</v>
      </c>
      <c r="L654" s="13">
        <v>0.48867560619886591</v>
      </c>
      <c r="M654" s="13">
        <v>9.9502448625751221</v>
      </c>
      <c r="N654" s="7">
        <f>'Option source'!C283</f>
        <v>296442560</v>
      </c>
      <c r="O654" s="7">
        <f>'Option source'!G283</f>
        <v>292</v>
      </c>
      <c r="P654" s="7">
        <f>'Option source'!F283</f>
        <v>388.01</v>
      </c>
      <c r="Q654" s="1" t="s">
        <v>88</v>
      </c>
      <c r="R654" s="1">
        <v>278</v>
      </c>
    </row>
    <row r="655" spans="1:18" ht="21" customHeight="1">
      <c r="A655" s="8">
        <v>46262</v>
      </c>
      <c r="B655" s="1" t="s">
        <v>98</v>
      </c>
      <c r="C655" s="39" t="s">
        <v>90</v>
      </c>
      <c r="D655" s="7">
        <v>7200</v>
      </c>
      <c r="E655" s="7">
        <f>'Option source'!B777</f>
        <v>544.22</v>
      </c>
      <c r="F655" s="7">
        <v>6810</v>
      </c>
      <c r="G655" s="14">
        <v>49</v>
      </c>
      <c r="H655" s="7">
        <f t="shared" si="30"/>
        <v>390</v>
      </c>
      <c r="I655" s="7">
        <f t="shared" si="31"/>
        <v>154.22000000000003</v>
      </c>
      <c r="J655" s="9">
        <f t="shared" si="32"/>
        <v>1.0572687224669604</v>
      </c>
      <c r="K655" s="9">
        <v>0.43335529903315306</v>
      </c>
      <c r="L655" s="13">
        <v>-0.50705836766333379</v>
      </c>
      <c r="M655" s="13">
        <v>9.9526975003863711</v>
      </c>
      <c r="N655" s="7">
        <f>'Option source'!C777</f>
        <v>25656718</v>
      </c>
      <c r="O655" s="7">
        <f>'Option source'!G777</f>
        <v>525</v>
      </c>
      <c r="P655" s="7">
        <f>'Option source'!F777</f>
        <v>615</v>
      </c>
      <c r="Q655" s="1" t="s">
        <v>88</v>
      </c>
      <c r="R655" s="1">
        <v>772</v>
      </c>
    </row>
    <row r="656" spans="1:18" ht="21" customHeight="1">
      <c r="A656" s="8">
        <v>46262</v>
      </c>
      <c r="B656" s="1" t="s">
        <v>95</v>
      </c>
      <c r="C656" s="39" t="s">
        <v>87</v>
      </c>
      <c r="D656" s="7">
        <v>6400</v>
      </c>
      <c r="E656" s="7">
        <f>'Option source'!B207</f>
        <v>775</v>
      </c>
      <c r="F656" s="7">
        <v>6810</v>
      </c>
      <c r="G656" s="14">
        <v>49</v>
      </c>
      <c r="H656" s="7">
        <f t="shared" si="30"/>
        <v>410</v>
      </c>
      <c r="I656" s="7">
        <f t="shared" si="31"/>
        <v>365</v>
      </c>
      <c r="J656" s="9">
        <f t="shared" si="32"/>
        <v>0.9397944199706314</v>
      </c>
      <c r="K656" s="9">
        <v>0.36785395699875079</v>
      </c>
      <c r="L656" s="13">
        <v>0.7958552385558213</v>
      </c>
      <c r="M656" s="13">
        <v>7.0717798166620502</v>
      </c>
      <c r="N656" s="7">
        <f>'Option source'!C207</f>
        <v>25748998</v>
      </c>
      <c r="O656" s="7">
        <f>'Option source'!G207</f>
        <v>700</v>
      </c>
      <c r="P656" s="7">
        <f>'Option source'!F207</f>
        <v>840</v>
      </c>
      <c r="Q656" s="1" t="s">
        <v>88</v>
      </c>
      <c r="R656" s="1">
        <v>202</v>
      </c>
    </row>
    <row r="657" spans="1:18" ht="21" customHeight="1">
      <c r="A657" s="8">
        <v>46262</v>
      </c>
      <c r="B657" s="1" t="s">
        <v>96</v>
      </c>
      <c r="C657" s="39" t="s">
        <v>90</v>
      </c>
      <c r="D657" s="7">
        <v>6400</v>
      </c>
      <c r="E657" s="7">
        <f>'Option source'!B701</f>
        <v>179.89</v>
      </c>
      <c r="F657" s="7">
        <v>6810</v>
      </c>
      <c r="G657" s="14">
        <v>49</v>
      </c>
      <c r="H657" s="7">
        <f t="shared" si="30"/>
        <v>0</v>
      </c>
      <c r="I657" s="7">
        <f t="shared" si="31"/>
        <v>179.89</v>
      </c>
      <c r="J657" s="9">
        <f t="shared" si="32"/>
        <v>0.9397944199706314</v>
      </c>
      <c r="K657" s="9">
        <v>0.44196112852872438</v>
      </c>
      <c r="L657" s="13">
        <v>-0.23788284077698729</v>
      </c>
      <c r="M657" s="13">
        <v>7.7192975876212264</v>
      </c>
      <c r="N657" s="7">
        <f>'Option source'!C701</f>
        <v>177694320</v>
      </c>
      <c r="O657" s="7">
        <f>'Option source'!G701</f>
        <v>170</v>
      </c>
      <c r="P657" s="7">
        <f>'Option source'!F701</f>
        <v>220</v>
      </c>
      <c r="Q657" s="1" t="s">
        <v>88</v>
      </c>
      <c r="R657" s="1">
        <v>696</v>
      </c>
    </row>
    <row r="658" spans="1:18" ht="21" customHeight="1">
      <c r="A658" s="8">
        <v>46262</v>
      </c>
      <c r="B658" s="1" t="s">
        <v>102</v>
      </c>
      <c r="C658" s="39" t="s">
        <v>87</v>
      </c>
      <c r="D658" s="7">
        <v>7400</v>
      </c>
      <c r="E658" s="7">
        <f>'Option source'!B302</f>
        <v>280.61</v>
      </c>
      <c r="F658" s="7">
        <v>6810</v>
      </c>
      <c r="G658" s="14">
        <v>49</v>
      </c>
      <c r="H658" s="7">
        <f t="shared" si="30"/>
        <v>0</v>
      </c>
      <c r="I658" s="7">
        <f t="shared" si="31"/>
        <v>280.61</v>
      </c>
      <c r="J658" s="9">
        <f t="shared" si="32"/>
        <v>1.0866372980910426</v>
      </c>
      <c r="K658" s="9">
        <v>0.4060185090030064</v>
      </c>
      <c r="L658" s="13">
        <v>0.4155013129572811</v>
      </c>
      <c r="M658" s="13">
        <v>9.7301274196575225</v>
      </c>
      <c r="N658" s="7">
        <f>'Option source'!C302</f>
        <v>309063168</v>
      </c>
      <c r="O658" s="7">
        <f>'Option source'!G302</f>
        <v>220.65</v>
      </c>
      <c r="P658" s="7">
        <f>'Option source'!F302</f>
        <v>330</v>
      </c>
      <c r="Q658" s="1" t="s">
        <v>88</v>
      </c>
      <c r="R658" s="1">
        <v>297</v>
      </c>
    </row>
    <row r="659" spans="1:18" ht="21" customHeight="1">
      <c r="A659" s="8">
        <v>46262</v>
      </c>
      <c r="B659" s="1" t="s">
        <v>103</v>
      </c>
      <c r="C659" s="39" t="s">
        <v>90</v>
      </c>
      <c r="D659" s="7">
        <v>7400</v>
      </c>
      <c r="E659" s="7">
        <f>'Option source'!B796</f>
        <v>657.34</v>
      </c>
      <c r="F659" s="7">
        <v>6810</v>
      </c>
      <c r="G659" s="14">
        <v>49</v>
      </c>
      <c r="H659" s="7">
        <f t="shared" si="30"/>
        <v>590</v>
      </c>
      <c r="I659" s="7">
        <f t="shared" si="31"/>
        <v>67.340000000000032</v>
      </c>
      <c r="J659" s="9">
        <f t="shared" si="32"/>
        <v>1.0866372980910426</v>
      </c>
      <c r="K659" s="9"/>
      <c r="L659" s="13"/>
      <c r="M659" s="13"/>
      <c r="N659" s="7">
        <f>'Option source'!C796</f>
        <v>29957128</v>
      </c>
      <c r="O659" s="7">
        <f>'Option source'!G796</f>
        <v>661.58</v>
      </c>
      <c r="P659" s="7">
        <f>'Option source'!F796</f>
        <v>741</v>
      </c>
      <c r="Q659" s="1" t="s">
        <v>109</v>
      </c>
      <c r="R659" s="1">
        <v>791</v>
      </c>
    </row>
    <row r="660" spans="1:18" ht="21" customHeight="1">
      <c r="A660" s="8">
        <v>46262</v>
      </c>
      <c r="B660" s="1" t="s">
        <v>99</v>
      </c>
      <c r="C660" s="39" t="s">
        <v>87</v>
      </c>
      <c r="D660" s="7">
        <v>6200</v>
      </c>
      <c r="E660" s="7">
        <f>'Option source'!B188</f>
        <v>870</v>
      </c>
      <c r="F660" s="7">
        <v>6810</v>
      </c>
      <c r="G660" s="14">
        <v>49</v>
      </c>
      <c r="H660" s="7">
        <f t="shared" si="30"/>
        <v>610</v>
      </c>
      <c r="I660" s="7">
        <f t="shared" si="31"/>
        <v>260</v>
      </c>
      <c r="J660" s="9">
        <f t="shared" si="32"/>
        <v>0.91042584434654916</v>
      </c>
      <c r="K660" s="9">
        <v>0.23924394876136465</v>
      </c>
      <c r="L660" s="13">
        <v>0.94223618577698209</v>
      </c>
      <c r="M660" s="13">
        <v>2.8850310208795067</v>
      </c>
      <c r="N660" s="7">
        <f>'Option source'!C188</f>
        <v>3803161.5</v>
      </c>
      <c r="O660" s="7">
        <f>'Option source'!G188</f>
        <v>833.09</v>
      </c>
      <c r="P660" s="7">
        <f>'Option source'!F188</f>
        <v>983.31</v>
      </c>
      <c r="Q660" s="1" t="s">
        <v>88</v>
      </c>
      <c r="R660" s="1">
        <v>183</v>
      </c>
    </row>
    <row r="661" spans="1:18" ht="21" customHeight="1">
      <c r="A661" s="8">
        <v>46262</v>
      </c>
      <c r="B661" s="1" t="s">
        <v>101</v>
      </c>
      <c r="C661" s="39" t="s">
        <v>90</v>
      </c>
      <c r="D661" s="7">
        <v>6200</v>
      </c>
      <c r="E661" s="7">
        <f>'Option source'!B682</f>
        <v>125.54</v>
      </c>
      <c r="F661" s="7">
        <v>6810</v>
      </c>
      <c r="G661" s="14">
        <v>49</v>
      </c>
      <c r="H661" s="7">
        <f t="shared" si="30"/>
        <v>0</v>
      </c>
      <c r="I661" s="7">
        <f t="shared" si="31"/>
        <v>125.54</v>
      </c>
      <c r="J661" s="9">
        <f t="shared" si="32"/>
        <v>0.91042584434654916</v>
      </c>
      <c r="K661" s="9">
        <v>0.44219815325723622</v>
      </c>
      <c r="L661" s="13">
        <v>-0.18173063688799862</v>
      </c>
      <c r="M661" s="13">
        <v>6.5866904553352041</v>
      </c>
      <c r="N661" s="7">
        <f>'Option source'!C682</f>
        <v>84735464</v>
      </c>
      <c r="O661" s="7">
        <f>'Option source'!G682</f>
        <v>124</v>
      </c>
      <c r="P661" s="7">
        <f>'Option source'!F682</f>
        <v>159</v>
      </c>
      <c r="Q661" s="1" t="s">
        <v>88</v>
      </c>
      <c r="R661" s="1">
        <v>677</v>
      </c>
    </row>
    <row r="662" spans="1:18" ht="21" customHeight="1">
      <c r="A662" s="8">
        <v>46262</v>
      </c>
      <c r="B662" s="1" t="s">
        <v>106</v>
      </c>
      <c r="C662" s="39" t="s">
        <v>87</v>
      </c>
      <c r="D662" s="7">
        <v>7600</v>
      </c>
      <c r="E662" s="7">
        <f>'Option source'!B321</f>
        <v>220.2</v>
      </c>
      <c r="F662" s="7">
        <v>6810</v>
      </c>
      <c r="G662" s="14">
        <v>49</v>
      </c>
      <c r="H662" s="7">
        <f t="shared" si="30"/>
        <v>0</v>
      </c>
      <c r="I662" s="7">
        <f t="shared" si="31"/>
        <v>220.2</v>
      </c>
      <c r="J662" s="9">
        <f t="shared" si="32"/>
        <v>1.1160058737151248</v>
      </c>
      <c r="K662" s="9">
        <v>0.40837537540996427</v>
      </c>
      <c r="L662" s="13">
        <v>0.34843314115742119</v>
      </c>
      <c r="M662" s="13">
        <v>9.2269075141376113</v>
      </c>
      <c r="N662" s="7">
        <f>'Option source'!C321</f>
        <v>148961920</v>
      </c>
      <c r="O662" s="7">
        <f>'Option source'!G321</f>
        <v>180.9</v>
      </c>
      <c r="P662" s="7">
        <f>'Option source'!F321</f>
        <v>245.9</v>
      </c>
      <c r="Q662" s="1" t="s">
        <v>88</v>
      </c>
      <c r="R662" s="1">
        <v>316</v>
      </c>
    </row>
    <row r="663" spans="1:18" ht="21" customHeight="1">
      <c r="A663" s="8">
        <v>46262</v>
      </c>
      <c r="B663" s="1" t="s">
        <v>107</v>
      </c>
      <c r="C663" s="39" t="s">
        <v>90</v>
      </c>
      <c r="D663" s="7">
        <v>7600</v>
      </c>
      <c r="E663" s="7">
        <f>'Option source'!B815</f>
        <v>811.29</v>
      </c>
      <c r="F663" s="7">
        <v>6810</v>
      </c>
      <c r="G663" s="14">
        <v>49</v>
      </c>
      <c r="H663" s="7">
        <f t="shared" si="30"/>
        <v>790</v>
      </c>
      <c r="I663" s="7">
        <f t="shared" si="31"/>
        <v>21.289999999999964</v>
      </c>
      <c r="J663" s="9">
        <f t="shared" si="32"/>
        <v>1.1160058737151248</v>
      </c>
      <c r="K663" s="9">
        <v>0.39497844763397194</v>
      </c>
      <c r="L663" s="13">
        <v>-0.65827465582723343</v>
      </c>
      <c r="M663" s="13">
        <v>9.1601860606505312</v>
      </c>
      <c r="N663" s="7">
        <f>'Option source'!C815</f>
        <v>913518</v>
      </c>
      <c r="O663" s="7">
        <f>'Option source'!G815</f>
        <v>802.59</v>
      </c>
      <c r="P663" s="7">
        <f>'Option source'!F815</f>
        <v>850</v>
      </c>
      <c r="Q663" s="1" t="s">
        <v>88</v>
      </c>
      <c r="R663" s="1">
        <v>810</v>
      </c>
    </row>
    <row r="664" spans="1:18" ht="21" customHeight="1">
      <c r="A664" s="8">
        <v>46262</v>
      </c>
      <c r="B664" s="1" t="s">
        <v>104</v>
      </c>
      <c r="C664" s="39" t="s">
        <v>87</v>
      </c>
      <c r="D664" s="7">
        <v>6000</v>
      </c>
      <c r="E664" s="7">
        <f>'Option source'!B169</f>
        <v>1178.78</v>
      </c>
      <c r="F664" s="7">
        <v>6810</v>
      </c>
      <c r="G664" s="14">
        <v>49</v>
      </c>
      <c r="H664" s="7">
        <f t="shared" si="30"/>
        <v>810</v>
      </c>
      <c r="I664" s="7">
        <f t="shared" si="31"/>
        <v>368.78</v>
      </c>
      <c r="J664" s="9">
        <f t="shared" si="32"/>
        <v>0.88105726872246692</v>
      </c>
      <c r="K664" s="9"/>
      <c r="L664" s="13"/>
      <c r="M664" s="13"/>
      <c r="N664" s="7">
        <f>'Option source'!C169</f>
        <v>0</v>
      </c>
      <c r="O664" s="7">
        <f>'Option source'!G169</f>
        <v>1165</v>
      </c>
      <c r="P664" s="7">
        <f>'Option source'!F169</f>
        <v>1200</v>
      </c>
      <c r="Q664" s="1" t="s">
        <v>25</v>
      </c>
      <c r="R664" s="1">
        <v>164</v>
      </c>
    </row>
    <row r="665" spans="1:18" ht="21" customHeight="1">
      <c r="A665" s="8">
        <v>46262</v>
      </c>
      <c r="B665" s="1" t="s">
        <v>105</v>
      </c>
      <c r="C665" s="39" t="s">
        <v>90</v>
      </c>
      <c r="D665" s="7">
        <v>6000</v>
      </c>
      <c r="E665" s="7">
        <f>'Option source'!B663</f>
        <v>83.64</v>
      </c>
      <c r="F665" s="7">
        <v>6810</v>
      </c>
      <c r="G665" s="14">
        <v>49</v>
      </c>
      <c r="H665" s="7">
        <f t="shared" si="30"/>
        <v>0</v>
      </c>
      <c r="I665" s="7">
        <f t="shared" si="31"/>
        <v>83.64</v>
      </c>
      <c r="J665" s="9">
        <f t="shared" si="32"/>
        <v>0.88105726872246692</v>
      </c>
      <c r="K665" s="9">
        <v>0.44035858471892675</v>
      </c>
      <c r="L665" s="13">
        <v>-0.13239580548202701</v>
      </c>
      <c r="M665" s="13">
        <v>5.3453905434415345</v>
      </c>
      <c r="N665" s="7">
        <f>'Option source'!C663</f>
        <v>94850992</v>
      </c>
      <c r="O665" s="7">
        <f>'Option source'!G663</f>
        <v>81</v>
      </c>
      <c r="P665" s="7">
        <f>'Option source'!F663</f>
        <v>108.2</v>
      </c>
      <c r="Q665" s="1" t="s">
        <v>88</v>
      </c>
      <c r="R665" s="1">
        <v>658</v>
      </c>
    </row>
    <row r="666" spans="1:18" ht="21" customHeight="1">
      <c r="A666" s="8">
        <v>46262</v>
      </c>
      <c r="B666" s="1" t="s">
        <v>111</v>
      </c>
      <c r="C666" s="39" t="s">
        <v>87</v>
      </c>
      <c r="D666" s="7">
        <v>7800</v>
      </c>
      <c r="E666" s="7">
        <f>'Option source'!B340</f>
        <v>169.15</v>
      </c>
      <c r="F666" s="7">
        <v>6810</v>
      </c>
      <c r="G666" s="14">
        <v>49</v>
      </c>
      <c r="H666" s="7">
        <f t="shared" si="30"/>
        <v>0</v>
      </c>
      <c r="I666" s="7">
        <f t="shared" si="31"/>
        <v>169.15</v>
      </c>
      <c r="J666" s="9">
        <f t="shared" si="32"/>
        <v>1.1453744493392071</v>
      </c>
      <c r="K666" s="9">
        <v>0.40838848662484073</v>
      </c>
      <c r="L666" s="13">
        <v>0.2866723777892064</v>
      </c>
      <c r="M666" s="13">
        <v>8.4946888166215402</v>
      </c>
      <c r="N666" s="7">
        <f>'Option source'!C340</f>
        <v>85362800</v>
      </c>
      <c r="O666" s="7">
        <f>'Option source'!G340</f>
        <v>143</v>
      </c>
      <c r="P666" s="7">
        <f>'Option source'!F340</f>
        <v>196</v>
      </c>
      <c r="Q666" s="1" t="s">
        <v>88</v>
      </c>
      <c r="R666" s="1">
        <v>335</v>
      </c>
    </row>
    <row r="667" spans="1:18" ht="21" customHeight="1">
      <c r="A667" s="8">
        <v>46262</v>
      </c>
      <c r="B667" s="1" t="s">
        <v>112</v>
      </c>
      <c r="C667" s="39" t="s">
        <v>90</v>
      </c>
      <c r="D667" s="7">
        <v>7800</v>
      </c>
      <c r="E667" s="7">
        <f>'Option source'!B834</f>
        <v>905</v>
      </c>
      <c r="F667" s="7">
        <v>6810</v>
      </c>
      <c r="G667" s="14">
        <v>49</v>
      </c>
      <c r="H667" s="7">
        <f t="shared" si="30"/>
        <v>990</v>
      </c>
      <c r="I667" s="7">
        <f t="shared" si="31"/>
        <v>-85</v>
      </c>
      <c r="J667" s="9">
        <f t="shared" si="32"/>
        <v>1.1453744493392071</v>
      </c>
      <c r="K667" s="9"/>
      <c r="L667" s="13"/>
      <c r="M667" s="13"/>
      <c r="N667" s="7">
        <f>'Option source'!C834</f>
        <v>0</v>
      </c>
      <c r="O667" s="7">
        <f>'Option source'!G834</f>
        <v>770</v>
      </c>
      <c r="P667" s="7">
        <f>'Option source'!F834</f>
        <v>910</v>
      </c>
      <c r="Q667" s="1" t="s">
        <v>118</v>
      </c>
      <c r="R667" s="1">
        <v>829</v>
      </c>
    </row>
    <row r="668" spans="1:18" ht="21" customHeight="1">
      <c r="A668" s="8">
        <v>46262</v>
      </c>
      <c r="B668" s="1" t="s">
        <v>110</v>
      </c>
      <c r="C668" s="39" t="s">
        <v>90</v>
      </c>
      <c r="D668" s="7">
        <v>5800</v>
      </c>
      <c r="E668" s="7">
        <f>'Option source'!B644</f>
        <v>52.04</v>
      </c>
      <c r="F668" s="7">
        <v>6810</v>
      </c>
      <c r="G668" s="14">
        <v>49</v>
      </c>
      <c r="H668" s="7">
        <f t="shared" si="30"/>
        <v>0</v>
      </c>
      <c r="I668" s="7">
        <f t="shared" si="31"/>
        <v>52.04</v>
      </c>
      <c r="J668" s="9">
        <f t="shared" si="32"/>
        <v>0.85168869309838469</v>
      </c>
      <c r="K668" s="9">
        <v>0.43722802645198033</v>
      </c>
      <c r="L668" s="13">
        <v>-9.1168785751763459E-2</v>
      </c>
      <c r="M668" s="13">
        <v>4.0909049299864133</v>
      </c>
      <c r="N668" s="7">
        <f>'Option source'!C644</f>
        <v>29709064</v>
      </c>
      <c r="O668" s="7">
        <f>'Option source'!G644</f>
        <v>50.01</v>
      </c>
      <c r="P668" s="7">
        <f>'Option source'!F644</f>
        <v>73</v>
      </c>
      <c r="Q668" s="1" t="s">
        <v>88</v>
      </c>
      <c r="R668" s="1">
        <v>639</v>
      </c>
    </row>
    <row r="669" spans="1:18" ht="21" customHeight="1">
      <c r="A669" s="8">
        <v>46262</v>
      </c>
      <c r="B669" s="1" t="s">
        <v>116</v>
      </c>
      <c r="C669" s="39" t="s">
        <v>87</v>
      </c>
      <c r="D669" s="7">
        <v>8000</v>
      </c>
      <c r="E669" s="7">
        <f>'Option source'!B359</f>
        <v>129.19</v>
      </c>
      <c r="F669" s="7">
        <v>6810</v>
      </c>
      <c r="G669" s="14">
        <v>49</v>
      </c>
      <c r="H669" s="7">
        <f t="shared" si="30"/>
        <v>0</v>
      </c>
      <c r="I669" s="7">
        <f t="shared" si="31"/>
        <v>129.19</v>
      </c>
      <c r="J669" s="9">
        <f t="shared" si="32"/>
        <v>1.1747430249632893</v>
      </c>
      <c r="K669" s="9">
        <v>0.40959376992261454</v>
      </c>
      <c r="L669" s="13">
        <v>0.23277558160565978</v>
      </c>
      <c r="M669" s="13">
        <v>7.6273643271654761</v>
      </c>
      <c r="N669" s="7">
        <f>'Option source'!C359</f>
        <v>306326336</v>
      </c>
      <c r="O669" s="7">
        <f>'Option source'!G359</f>
        <v>110</v>
      </c>
      <c r="P669" s="7">
        <f>'Option source'!F359</f>
        <v>156</v>
      </c>
      <c r="Q669" s="1" t="s">
        <v>88</v>
      </c>
      <c r="R669" s="1">
        <v>354</v>
      </c>
    </row>
    <row r="670" spans="1:18" ht="21" customHeight="1">
      <c r="A670" s="8">
        <v>46262</v>
      </c>
      <c r="B670" s="1" t="s">
        <v>117</v>
      </c>
      <c r="C670" s="39" t="s">
        <v>90</v>
      </c>
      <c r="D670" s="7">
        <v>8000</v>
      </c>
      <c r="E670" s="7">
        <f>'Option source'!B853</f>
        <v>1225</v>
      </c>
      <c r="F670" s="7">
        <v>6810</v>
      </c>
      <c r="G670" s="14">
        <v>49</v>
      </c>
      <c r="H670" s="7">
        <f t="shared" si="30"/>
        <v>1190</v>
      </c>
      <c r="I670" s="7">
        <f t="shared" si="31"/>
        <v>35</v>
      </c>
      <c r="J670" s="9">
        <f t="shared" si="32"/>
        <v>1.1747430249632893</v>
      </c>
      <c r="K670" s="9">
        <v>0.53024354116545414</v>
      </c>
      <c r="L670" s="13">
        <v>-0.70004100272258429</v>
      </c>
      <c r="M670" s="13">
        <v>8.6749568602474394</v>
      </c>
      <c r="N670" s="7">
        <f>'Option source'!C853</f>
        <v>2458600.25</v>
      </c>
      <c r="O670" s="7">
        <f>'Option source'!G853</f>
        <v>1166</v>
      </c>
      <c r="P670" s="7">
        <f>'Option source'!F853</f>
        <v>1259</v>
      </c>
      <c r="Q670" s="1" t="s">
        <v>88</v>
      </c>
      <c r="R670" s="1">
        <v>848</v>
      </c>
    </row>
    <row r="671" spans="1:18" ht="21" customHeight="1">
      <c r="A671" s="8">
        <v>46262</v>
      </c>
      <c r="B671" s="1" t="s">
        <v>114</v>
      </c>
      <c r="C671" s="39" t="s">
        <v>87</v>
      </c>
      <c r="D671" s="7">
        <v>5600</v>
      </c>
      <c r="E671" s="7">
        <f>'Option source'!B140</f>
        <v>1311.48</v>
      </c>
      <c r="F671" s="7">
        <v>6810</v>
      </c>
      <c r="G671" s="14">
        <v>49</v>
      </c>
      <c r="H671" s="7">
        <f t="shared" si="30"/>
        <v>1210</v>
      </c>
      <c r="I671" s="7">
        <f t="shared" si="31"/>
        <v>101.48000000000002</v>
      </c>
      <c r="J671" s="9">
        <f t="shared" si="32"/>
        <v>0.82232011747430245</v>
      </c>
      <c r="K671" s="9"/>
      <c r="L671" s="13"/>
      <c r="M671" s="13"/>
      <c r="N671" s="7">
        <f>'Option source'!C140</f>
        <v>262295.19</v>
      </c>
      <c r="O671" s="7">
        <f>'Option source'!G140</f>
        <v>0</v>
      </c>
      <c r="P671" s="7">
        <f>'Option source'!F140</f>
        <v>0</v>
      </c>
      <c r="Q671" s="1" t="s">
        <v>109</v>
      </c>
      <c r="R671" s="1">
        <v>135</v>
      </c>
    </row>
    <row r="672" spans="1:18" ht="21" customHeight="1">
      <c r="A672" s="8">
        <v>46262</v>
      </c>
      <c r="B672" s="1" t="s">
        <v>115</v>
      </c>
      <c r="C672" s="39" t="s">
        <v>90</v>
      </c>
      <c r="D672" s="7">
        <v>5600</v>
      </c>
      <c r="E672" s="7">
        <f>'Option source'!B625</f>
        <v>32.76</v>
      </c>
      <c r="F672" s="7">
        <v>6810</v>
      </c>
      <c r="G672" s="14">
        <v>49</v>
      </c>
      <c r="H672" s="7">
        <f t="shared" si="30"/>
        <v>0</v>
      </c>
      <c r="I672" s="7">
        <f t="shared" si="31"/>
        <v>32.76</v>
      </c>
      <c r="J672" s="9">
        <f t="shared" si="32"/>
        <v>0.82232011747430245</v>
      </c>
      <c r="K672" s="9">
        <v>0.44038470486260617</v>
      </c>
      <c r="L672" s="13">
        <v>-6.1456204661937575E-2</v>
      </c>
      <c r="M672" s="13">
        <v>3.0285822502640696</v>
      </c>
      <c r="N672" s="7">
        <f>'Option source'!C625</f>
        <v>14065054</v>
      </c>
      <c r="O672" s="7">
        <f>'Option source'!G625</f>
        <v>30</v>
      </c>
      <c r="P672" s="7">
        <f>'Option source'!F625</f>
        <v>49</v>
      </c>
      <c r="Q672" s="1" t="s">
        <v>88</v>
      </c>
      <c r="R672" s="1">
        <v>620</v>
      </c>
    </row>
    <row r="673" spans="1:18" ht="21" customHeight="1">
      <c r="A673" s="8">
        <v>46262</v>
      </c>
      <c r="B673" s="1" t="s">
        <v>119</v>
      </c>
      <c r="C673" s="39" t="s">
        <v>87</v>
      </c>
      <c r="D673" s="7">
        <v>5400</v>
      </c>
      <c r="E673" s="7">
        <f>'Option source'!B122</f>
        <v>1552.16</v>
      </c>
      <c r="F673" s="7">
        <v>6810</v>
      </c>
      <c r="G673" s="14">
        <v>49</v>
      </c>
      <c r="H673" s="7">
        <f t="shared" si="30"/>
        <v>1410</v>
      </c>
      <c r="I673" s="7">
        <f t="shared" si="31"/>
        <v>142.16000000000008</v>
      </c>
      <c r="J673" s="9">
        <f t="shared" si="32"/>
        <v>0.79295154185022021</v>
      </c>
      <c r="K673" s="9"/>
      <c r="L673" s="13"/>
      <c r="M673" s="13"/>
      <c r="N673" s="7">
        <f>'Option source'!C122</f>
        <v>3828404.75</v>
      </c>
      <c r="O673" s="7">
        <f>'Option source'!G122</f>
        <v>1489.86</v>
      </c>
      <c r="P673" s="7">
        <f>'Option source'!F122</f>
        <v>1610</v>
      </c>
      <c r="Q673" s="1" t="s">
        <v>100</v>
      </c>
      <c r="R673" s="1">
        <v>117</v>
      </c>
    </row>
    <row r="674" spans="1:18" ht="21" customHeight="1">
      <c r="A674" s="8">
        <v>46262</v>
      </c>
      <c r="B674" s="1" t="s">
        <v>120</v>
      </c>
      <c r="C674" s="39" t="s">
        <v>90</v>
      </c>
      <c r="D674" s="7">
        <v>5400</v>
      </c>
      <c r="E674" s="7">
        <f>'Option source'!B606</f>
        <v>18.399999999999999</v>
      </c>
      <c r="F674" s="7">
        <v>6810</v>
      </c>
      <c r="G674" s="14">
        <v>49</v>
      </c>
      <c r="H674" s="7">
        <f t="shared" si="30"/>
        <v>0</v>
      </c>
      <c r="I674" s="7">
        <f t="shared" si="31"/>
        <v>18.399999999999999</v>
      </c>
      <c r="J674" s="9">
        <f t="shared" si="32"/>
        <v>0.79295154185022021</v>
      </c>
      <c r="K674" s="9">
        <v>0.43845300446827085</v>
      </c>
      <c r="L674" s="13">
        <v>-3.7938036531013686E-2</v>
      </c>
      <c r="M674" s="13">
        <v>2.0594791571224587</v>
      </c>
      <c r="N674" s="7">
        <f>'Option source'!C606</f>
        <v>9021038</v>
      </c>
      <c r="O674" s="7">
        <f>'Option source'!G606</f>
        <v>16</v>
      </c>
      <c r="P674" s="7">
        <f>'Option source'!F606</f>
        <v>29</v>
      </c>
      <c r="Q674" s="1" t="s">
        <v>88</v>
      </c>
      <c r="R674" s="1">
        <v>601</v>
      </c>
    </row>
    <row r="675" spans="1:18" ht="21" customHeight="1">
      <c r="A675" s="8">
        <v>46262</v>
      </c>
      <c r="B675" s="1" t="s">
        <v>121</v>
      </c>
      <c r="C675" s="39" t="s">
        <v>87</v>
      </c>
      <c r="D675" s="7">
        <v>8300</v>
      </c>
      <c r="E675" s="7">
        <f>'Option source'!B378</f>
        <v>86.22</v>
      </c>
      <c r="F675" s="7">
        <v>6810</v>
      </c>
      <c r="G675" s="14">
        <v>49</v>
      </c>
      <c r="H675" s="7">
        <f t="shared" si="30"/>
        <v>0</v>
      </c>
      <c r="I675" s="7">
        <f t="shared" si="31"/>
        <v>86.22</v>
      </c>
      <c r="J675" s="9">
        <f t="shared" si="32"/>
        <v>1.2187958883994126</v>
      </c>
      <c r="K675" s="9">
        <v>0.41392936972025185</v>
      </c>
      <c r="L675" s="13">
        <v>0.1677112007916329</v>
      </c>
      <c r="M675" s="13">
        <v>6.2593446494105818</v>
      </c>
      <c r="N675" s="7">
        <f>'Option source'!C378</f>
        <v>40344624</v>
      </c>
      <c r="O675" s="7">
        <f>'Option source'!G378</f>
        <v>75</v>
      </c>
      <c r="P675" s="7">
        <f>'Option source'!F378</f>
        <v>102.01</v>
      </c>
      <c r="Q675" s="1" t="s">
        <v>88</v>
      </c>
      <c r="R675" s="1">
        <v>373</v>
      </c>
    </row>
    <row r="676" spans="1:18" ht="21" customHeight="1">
      <c r="A676" s="8">
        <v>46262</v>
      </c>
      <c r="B676" s="1" t="s">
        <v>122</v>
      </c>
      <c r="C676" s="39" t="s">
        <v>90</v>
      </c>
      <c r="D676" s="7">
        <v>8300</v>
      </c>
      <c r="E676" s="7">
        <f>'Option source'!B872</f>
        <v>1291.94</v>
      </c>
      <c r="F676" s="7">
        <v>6810</v>
      </c>
      <c r="G676" s="14">
        <v>49</v>
      </c>
      <c r="H676" s="7">
        <f t="shared" si="30"/>
        <v>1490</v>
      </c>
      <c r="I676" s="7">
        <f t="shared" si="31"/>
        <v>-198.05999999999995</v>
      </c>
      <c r="J676" s="9">
        <f t="shared" si="32"/>
        <v>1.2187958883994126</v>
      </c>
      <c r="K676" s="9"/>
      <c r="L676" s="13"/>
      <c r="M676" s="13"/>
      <c r="N676" s="7">
        <f>'Option source'!C872</f>
        <v>0</v>
      </c>
      <c r="O676" s="7">
        <f>'Option source'!G872</f>
        <v>1240</v>
      </c>
      <c r="P676" s="7">
        <f>'Option source'!F872</f>
        <v>1437.33</v>
      </c>
      <c r="Q676" s="1" t="s">
        <v>118</v>
      </c>
      <c r="R676" s="1">
        <v>867</v>
      </c>
    </row>
    <row r="677" spans="1:18" ht="21" customHeight="1">
      <c r="A677" s="8">
        <v>46262</v>
      </c>
      <c r="B677" s="1" t="s">
        <v>123</v>
      </c>
      <c r="C677" s="39" t="s">
        <v>87</v>
      </c>
      <c r="D677" s="7">
        <v>5200</v>
      </c>
      <c r="E677" s="7">
        <f>'Option source'!B103</f>
        <v>1677.12</v>
      </c>
      <c r="F677" s="7">
        <v>6810</v>
      </c>
      <c r="G677" s="14">
        <v>49</v>
      </c>
      <c r="H677" s="7">
        <f t="shared" si="30"/>
        <v>1610</v>
      </c>
      <c r="I677" s="7">
        <f t="shared" si="31"/>
        <v>67.119999999999891</v>
      </c>
      <c r="J677" s="9">
        <f t="shared" si="32"/>
        <v>0.76358296622613808</v>
      </c>
      <c r="K677" s="9"/>
      <c r="L677" s="13"/>
      <c r="M677" s="13"/>
      <c r="N677" s="7">
        <f>'Option source'!C103</f>
        <v>2326423.25</v>
      </c>
      <c r="O677" s="7">
        <f>'Option source'!G103</f>
        <v>1810</v>
      </c>
      <c r="P677" s="7">
        <f>'Option source'!F103</f>
        <v>1810</v>
      </c>
      <c r="Q677" s="1" t="s">
        <v>109</v>
      </c>
      <c r="R677" s="1">
        <v>98</v>
      </c>
    </row>
    <row r="678" spans="1:18" ht="21" customHeight="1">
      <c r="A678" s="8">
        <v>46262</v>
      </c>
      <c r="B678" s="1" t="s">
        <v>124</v>
      </c>
      <c r="C678" s="39" t="s">
        <v>90</v>
      </c>
      <c r="D678" s="7">
        <v>5200</v>
      </c>
      <c r="E678" s="7">
        <f>'Option source'!B587</f>
        <v>11.53</v>
      </c>
      <c r="F678" s="7">
        <v>6810</v>
      </c>
      <c r="G678" s="14">
        <v>49</v>
      </c>
      <c r="H678" s="7">
        <f t="shared" si="30"/>
        <v>0</v>
      </c>
      <c r="I678" s="7">
        <f t="shared" si="31"/>
        <v>11.53</v>
      </c>
      <c r="J678" s="9">
        <f t="shared" si="32"/>
        <v>0.76358296622613808</v>
      </c>
      <c r="K678" s="9">
        <v>0.44934043641816857</v>
      </c>
      <c r="L678" s="13">
        <v>-2.4690019441148348E-2</v>
      </c>
      <c r="M678" s="13">
        <v>1.4431191219148105</v>
      </c>
      <c r="N678" s="7">
        <f>'Option source'!C587</f>
        <v>2601694</v>
      </c>
      <c r="O678" s="7">
        <f>'Option source'!G587</f>
        <v>8</v>
      </c>
      <c r="P678" s="7">
        <f>'Option source'!F587</f>
        <v>19</v>
      </c>
      <c r="Q678" s="1" t="s">
        <v>88</v>
      </c>
      <c r="R678" s="1">
        <v>582</v>
      </c>
    </row>
    <row r="679" spans="1:18" ht="21" customHeight="1">
      <c r="A679" s="8">
        <v>46262</v>
      </c>
      <c r="B679" s="1" t="s">
        <v>127</v>
      </c>
      <c r="C679" s="39" t="s">
        <v>87</v>
      </c>
      <c r="D679" s="7">
        <v>8600</v>
      </c>
      <c r="E679" s="7">
        <f>'Option source'!B397</f>
        <v>55.3</v>
      </c>
      <c r="F679" s="7">
        <v>6810</v>
      </c>
      <c r="G679" s="14">
        <v>49</v>
      </c>
      <c r="H679" s="7">
        <f t="shared" si="30"/>
        <v>0</v>
      </c>
      <c r="I679" s="7">
        <f t="shared" si="31"/>
        <v>55.3</v>
      </c>
      <c r="J679" s="9">
        <f t="shared" si="32"/>
        <v>1.262848751835536</v>
      </c>
      <c r="K679" s="9">
        <v>0.41515564026056206</v>
      </c>
      <c r="L679" s="13">
        <v>0.116360165772655</v>
      </c>
      <c r="M679" s="13">
        <v>4.8837895714494532</v>
      </c>
      <c r="N679" s="7">
        <f>'Option source'!C397</f>
        <v>48912104</v>
      </c>
      <c r="O679" s="7">
        <f>'Option source'!G397</f>
        <v>50</v>
      </c>
      <c r="P679" s="7">
        <f>'Option source'!F397</f>
        <v>66</v>
      </c>
      <c r="Q679" s="1" t="s">
        <v>88</v>
      </c>
      <c r="R679" s="1">
        <v>392</v>
      </c>
    </row>
    <row r="680" spans="1:18" ht="21" customHeight="1">
      <c r="A680" s="8">
        <v>46262</v>
      </c>
      <c r="B680" s="1" t="s">
        <v>128</v>
      </c>
      <c r="C680" s="39" t="s">
        <v>90</v>
      </c>
      <c r="D680" s="7">
        <v>8600</v>
      </c>
      <c r="E680" s="7">
        <f>'Option source'!B891</f>
        <v>1850</v>
      </c>
      <c r="F680" s="7">
        <v>6810</v>
      </c>
      <c r="G680" s="14">
        <v>49</v>
      </c>
      <c r="H680" s="7">
        <f t="shared" si="30"/>
        <v>1790</v>
      </c>
      <c r="I680" s="7">
        <f t="shared" si="31"/>
        <v>60</v>
      </c>
      <c r="J680" s="9">
        <f t="shared" si="32"/>
        <v>1.262848751835536</v>
      </c>
      <c r="K680" s="9"/>
      <c r="L680" s="13"/>
      <c r="M680" s="13"/>
      <c r="N680" s="7">
        <f>'Option source'!C891</f>
        <v>370000</v>
      </c>
      <c r="O680" s="7">
        <f>'Option source'!G891</f>
        <v>0</v>
      </c>
      <c r="P680" s="7">
        <f>'Option source'!F891</f>
        <v>0</v>
      </c>
      <c r="Q680" s="1" t="s">
        <v>109</v>
      </c>
      <c r="R680" s="1">
        <v>886</v>
      </c>
    </row>
    <row r="681" spans="1:18" ht="21" customHeight="1">
      <c r="A681" s="8">
        <v>46262</v>
      </c>
      <c r="B681" s="1" t="s">
        <v>125</v>
      </c>
      <c r="C681" s="39" t="s">
        <v>87</v>
      </c>
      <c r="D681" s="7">
        <v>5000</v>
      </c>
      <c r="E681" s="7">
        <f>'Option source'!B84</f>
        <v>1905</v>
      </c>
      <c r="F681" s="7">
        <v>6810</v>
      </c>
      <c r="G681" s="14">
        <v>49</v>
      </c>
      <c r="H681" s="7">
        <f t="shared" si="30"/>
        <v>1810</v>
      </c>
      <c r="I681" s="7">
        <f t="shared" si="31"/>
        <v>95</v>
      </c>
      <c r="J681" s="9">
        <f t="shared" si="32"/>
        <v>0.73421439060205584</v>
      </c>
      <c r="K681" s="9"/>
      <c r="L681" s="13"/>
      <c r="M681" s="13"/>
      <c r="N681" s="7">
        <f>'Option source'!C84</f>
        <v>11458460</v>
      </c>
      <c r="O681" s="7">
        <f>'Option source'!G84</f>
        <v>1864.8</v>
      </c>
      <c r="P681" s="7">
        <f>'Option source'!F84</f>
        <v>2000</v>
      </c>
      <c r="Q681" s="1" t="s">
        <v>100</v>
      </c>
      <c r="R681" s="1">
        <v>79</v>
      </c>
    </row>
    <row r="682" spans="1:18" ht="21" customHeight="1">
      <c r="A682" s="8">
        <v>46262</v>
      </c>
      <c r="B682" s="1" t="s">
        <v>126</v>
      </c>
      <c r="C682" s="39" t="s">
        <v>90</v>
      </c>
      <c r="D682" s="7">
        <v>5000</v>
      </c>
      <c r="E682" s="7">
        <f>'Option source'!B568</f>
        <v>6.09</v>
      </c>
      <c r="F682" s="7">
        <v>6810</v>
      </c>
      <c r="G682" s="14">
        <v>49</v>
      </c>
      <c r="H682" s="7">
        <f t="shared" si="30"/>
        <v>0</v>
      </c>
      <c r="I682" s="7">
        <f t="shared" si="31"/>
        <v>6.09</v>
      </c>
      <c r="J682" s="9">
        <f t="shared" si="32"/>
        <v>0.73421439060205584</v>
      </c>
      <c r="K682" s="9">
        <v>0.45142357599369431</v>
      </c>
      <c r="L682" s="13">
        <v>-1.411359827480152E-2</v>
      </c>
      <c r="M682" s="13">
        <v>0.89666896225380255</v>
      </c>
      <c r="N682" s="7">
        <f>'Option source'!C568</f>
        <v>9428242</v>
      </c>
      <c r="O682" s="7">
        <f>'Option source'!G568</f>
        <v>5</v>
      </c>
      <c r="P682" s="7">
        <f>'Option source'!F568</f>
        <v>12.04</v>
      </c>
      <c r="Q682" s="1" t="s">
        <v>88</v>
      </c>
      <c r="R682" s="1">
        <v>563</v>
      </c>
    </row>
    <row r="683" spans="1:18" ht="21" customHeight="1">
      <c r="A683" s="8">
        <v>46262</v>
      </c>
      <c r="B683" s="1" t="s">
        <v>129</v>
      </c>
      <c r="C683" s="39" t="s">
        <v>87</v>
      </c>
      <c r="D683" s="7">
        <v>4800</v>
      </c>
      <c r="E683" s="7">
        <f>'Option source'!B67</f>
        <v>2050</v>
      </c>
      <c r="F683" s="7">
        <v>6810</v>
      </c>
      <c r="G683" s="14">
        <v>49</v>
      </c>
      <c r="H683" s="7">
        <f t="shared" si="30"/>
        <v>2010</v>
      </c>
      <c r="I683" s="7">
        <f t="shared" si="31"/>
        <v>40</v>
      </c>
      <c r="J683" s="9">
        <f t="shared" si="32"/>
        <v>0.70484581497797361</v>
      </c>
      <c r="K683" s="9"/>
      <c r="L683" s="13"/>
      <c r="M683" s="13"/>
      <c r="N683" s="7">
        <f>'Option source'!C67</f>
        <v>2470841</v>
      </c>
      <c r="O683" s="7">
        <f>'Option source'!G67</f>
        <v>2050</v>
      </c>
      <c r="P683" s="7">
        <f>'Option source'!F67</f>
        <v>2104.21</v>
      </c>
      <c r="Q683" s="1" t="s">
        <v>100</v>
      </c>
      <c r="R683" s="1">
        <v>62</v>
      </c>
    </row>
    <row r="684" spans="1:18" ht="21" customHeight="1">
      <c r="A684" s="8">
        <v>46262</v>
      </c>
      <c r="B684" s="1" t="s">
        <v>131</v>
      </c>
      <c r="C684" s="39" t="s">
        <v>90</v>
      </c>
      <c r="D684" s="7">
        <v>4800</v>
      </c>
      <c r="E684" s="7">
        <f>'Option source'!B549</f>
        <v>4.38</v>
      </c>
      <c r="F684" s="7">
        <v>6810</v>
      </c>
      <c r="G684" s="14">
        <v>49</v>
      </c>
      <c r="H684" s="7">
        <f t="shared" si="30"/>
        <v>0</v>
      </c>
      <c r="I684" s="7">
        <f t="shared" si="31"/>
        <v>4.38</v>
      </c>
      <c r="J684" s="9">
        <f t="shared" si="32"/>
        <v>0.70484581497797361</v>
      </c>
      <c r="K684" s="9">
        <v>0.47589052565952394</v>
      </c>
      <c r="L684" s="13">
        <v>-1.0058436766036793E-2</v>
      </c>
      <c r="M684" s="13">
        <v>0.66840451471657369</v>
      </c>
      <c r="N684" s="7">
        <f>'Option source'!C549</f>
        <v>1045957.69</v>
      </c>
      <c r="O684" s="7">
        <f>'Option source'!G549</f>
        <v>3.19</v>
      </c>
      <c r="P684" s="7">
        <f>'Option source'!F549</f>
        <v>8.9499999999999993</v>
      </c>
      <c r="Q684" s="1" t="s">
        <v>88</v>
      </c>
      <c r="R684" s="1">
        <v>544</v>
      </c>
    </row>
    <row r="685" spans="1:18" ht="21" customHeight="1">
      <c r="A685" s="8">
        <v>46262</v>
      </c>
      <c r="B685" s="1" t="s">
        <v>132</v>
      </c>
      <c r="C685" s="39" t="s">
        <v>87</v>
      </c>
      <c r="D685" s="7">
        <v>8900</v>
      </c>
      <c r="E685" s="7">
        <f>'Option source'!B416</f>
        <v>36.229999999999997</v>
      </c>
      <c r="F685" s="7">
        <v>6810</v>
      </c>
      <c r="G685" s="14">
        <v>49</v>
      </c>
      <c r="H685" s="7">
        <f t="shared" si="30"/>
        <v>0</v>
      </c>
      <c r="I685" s="7">
        <f t="shared" si="31"/>
        <v>36.229999999999997</v>
      </c>
      <c r="J685" s="9">
        <f t="shared" si="32"/>
        <v>1.3069016152716593</v>
      </c>
      <c r="K685" s="9">
        <v>0.42027304971293056</v>
      </c>
      <c r="L685" s="13">
        <v>8.0807343169189694E-2</v>
      </c>
      <c r="M685" s="13">
        <v>3.7377128757148017</v>
      </c>
      <c r="N685" s="7">
        <f>'Option source'!C416</f>
        <v>13255130</v>
      </c>
      <c r="O685" s="7">
        <f>'Option source'!G416</f>
        <v>32.5</v>
      </c>
      <c r="P685" s="7">
        <f>'Option source'!F416</f>
        <v>41.06</v>
      </c>
      <c r="Q685" s="1" t="s">
        <v>88</v>
      </c>
      <c r="R685" s="1">
        <v>411</v>
      </c>
    </row>
    <row r="686" spans="1:18" ht="21" customHeight="1">
      <c r="A686" s="8">
        <v>46262</v>
      </c>
      <c r="B686" s="1" t="s">
        <v>133</v>
      </c>
      <c r="C686" s="39" t="s">
        <v>90</v>
      </c>
      <c r="D686" s="7">
        <v>8900</v>
      </c>
      <c r="E686" s="7">
        <f>'Option source'!B906</f>
        <v>2022.5</v>
      </c>
      <c r="F686" s="7">
        <v>6810</v>
      </c>
      <c r="G686" s="14">
        <v>49</v>
      </c>
      <c r="H686" s="7">
        <f t="shared" si="30"/>
        <v>2090</v>
      </c>
      <c r="I686" s="7">
        <f t="shared" si="31"/>
        <v>-67.5</v>
      </c>
      <c r="J686" s="9">
        <f t="shared" si="32"/>
        <v>1.3069016152716593</v>
      </c>
      <c r="K686" s="9"/>
      <c r="L686" s="13"/>
      <c r="M686" s="13"/>
      <c r="N686" s="7">
        <f>'Option source'!C906</f>
        <v>0</v>
      </c>
      <c r="O686" s="7">
        <f>'Option source'!G906</f>
        <v>2022.5</v>
      </c>
      <c r="P686" s="7">
        <f>'Option source'!F906</f>
        <v>2037.67</v>
      </c>
      <c r="Q686" s="1" t="s">
        <v>118</v>
      </c>
      <c r="R686" s="1">
        <v>901</v>
      </c>
    </row>
    <row r="687" spans="1:18" ht="21" customHeight="1">
      <c r="A687" s="8">
        <v>46262</v>
      </c>
      <c r="B687" s="1" t="s">
        <v>134</v>
      </c>
      <c r="C687" s="39" t="s">
        <v>87</v>
      </c>
      <c r="D687" s="7">
        <v>4600</v>
      </c>
      <c r="E687" s="7">
        <f>'Option source'!B50</f>
        <v>2400.31</v>
      </c>
      <c r="F687" s="7">
        <v>6810</v>
      </c>
      <c r="G687" s="14">
        <v>49</v>
      </c>
      <c r="H687" s="7">
        <f t="shared" si="30"/>
        <v>2210</v>
      </c>
      <c r="I687" s="7">
        <f t="shared" si="31"/>
        <v>190.30999999999995</v>
      </c>
      <c r="J687" s="9">
        <f t="shared" si="32"/>
        <v>0.67547723935389137</v>
      </c>
      <c r="K687" s="9"/>
      <c r="L687" s="13"/>
      <c r="M687" s="13"/>
      <c r="N687" s="7">
        <f>'Option source'!C50</f>
        <v>0</v>
      </c>
      <c r="O687" s="7">
        <f>'Option source'!G50</f>
        <v>2400.31</v>
      </c>
      <c r="P687" s="7">
        <f>'Option source'!F50</f>
        <v>2400.31</v>
      </c>
      <c r="Q687" s="1" t="s">
        <v>25</v>
      </c>
      <c r="R687" s="1">
        <v>45</v>
      </c>
    </row>
    <row r="688" spans="1:18" ht="21" customHeight="1">
      <c r="A688" s="8">
        <v>46262</v>
      </c>
      <c r="B688" s="1" t="s">
        <v>135</v>
      </c>
      <c r="C688" s="39" t="s">
        <v>90</v>
      </c>
      <c r="D688" s="7">
        <v>4600</v>
      </c>
      <c r="E688" s="7">
        <f>'Option source'!B530</f>
        <v>3.3</v>
      </c>
      <c r="F688" s="7">
        <v>6810</v>
      </c>
      <c r="G688" s="14">
        <v>49</v>
      </c>
      <c r="H688" s="7">
        <f t="shared" si="30"/>
        <v>0</v>
      </c>
      <c r="I688" s="7">
        <f t="shared" si="31"/>
        <v>3.3</v>
      </c>
      <c r="J688" s="9">
        <f t="shared" si="32"/>
        <v>0.67547723935389137</v>
      </c>
      <c r="K688" s="9">
        <v>0.50423288077955997</v>
      </c>
      <c r="L688" s="13">
        <v>-7.4669246245245846E-3</v>
      </c>
      <c r="M688" s="13">
        <v>0.51472245011431883</v>
      </c>
      <c r="N688" s="7">
        <f>'Option source'!C530</f>
        <v>800047</v>
      </c>
      <c r="O688" s="7">
        <f>'Option source'!G530</f>
        <v>2.5099999999999998</v>
      </c>
      <c r="P688" s="7">
        <f>'Option source'!F530</f>
        <v>6.35</v>
      </c>
      <c r="Q688" s="1" t="s">
        <v>88</v>
      </c>
      <c r="R688" s="1">
        <v>525</v>
      </c>
    </row>
    <row r="689" spans="1:18" ht="21" customHeight="1">
      <c r="A689" s="8">
        <v>46262</v>
      </c>
      <c r="B689" s="1" t="s">
        <v>138</v>
      </c>
      <c r="C689" s="39" t="s">
        <v>87</v>
      </c>
      <c r="D689" s="7">
        <v>9200</v>
      </c>
      <c r="E689" s="7">
        <f>'Option source'!B435</f>
        <v>23.01</v>
      </c>
      <c r="F689" s="7">
        <v>6810</v>
      </c>
      <c r="G689" s="14">
        <v>49</v>
      </c>
      <c r="H689" s="7">
        <f t="shared" si="30"/>
        <v>0</v>
      </c>
      <c r="I689" s="7">
        <f t="shared" si="31"/>
        <v>23.01</v>
      </c>
      <c r="J689" s="9">
        <f t="shared" si="32"/>
        <v>1.3509544787077827</v>
      </c>
      <c r="K689" s="9">
        <v>0.42313718995333327</v>
      </c>
      <c r="L689" s="13">
        <v>5.4469858034863511E-2</v>
      </c>
      <c r="M689" s="13">
        <v>2.7544902675690297</v>
      </c>
      <c r="N689" s="7">
        <f>'Option source'!C435</f>
        <v>6507588.5</v>
      </c>
      <c r="O689" s="7">
        <f>'Option source'!G435</f>
        <v>21.16</v>
      </c>
      <c r="P689" s="7">
        <f>'Option source'!F435</f>
        <v>30.33</v>
      </c>
      <c r="Q689" s="1" t="s">
        <v>88</v>
      </c>
      <c r="R689" s="1">
        <v>430</v>
      </c>
    </row>
    <row r="690" spans="1:18" ht="21" customHeight="1">
      <c r="A690" s="8">
        <v>46262</v>
      </c>
      <c r="B690" s="1" t="s">
        <v>136</v>
      </c>
      <c r="C690" s="39" t="s">
        <v>87</v>
      </c>
      <c r="D690" s="7">
        <v>4400</v>
      </c>
      <c r="E690" s="7">
        <f>'Option source'!B31</f>
        <v>2429.9699999999998</v>
      </c>
      <c r="F690" s="7">
        <v>6810</v>
      </c>
      <c r="G690" s="14">
        <v>49</v>
      </c>
      <c r="H690" s="7">
        <f t="shared" si="30"/>
        <v>2410</v>
      </c>
      <c r="I690" s="7">
        <f t="shared" si="31"/>
        <v>19.9699999999998</v>
      </c>
      <c r="J690" s="9">
        <f t="shared" si="32"/>
        <v>0.64610866372980913</v>
      </c>
      <c r="K690" s="9"/>
      <c r="L690" s="13"/>
      <c r="M690" s="13"/>
      <c r="N690" s="7">
        <f>'Option source'!C31</f>
        <v>485994</v>
      </c>
      <c r="O690" s="7">
        <f>'Option source'!G31</f>
        <v>0</v>
      </c>
      <c r="P690" s="7">
        <f>'Option source'!F31</f>
        <v>0</v>
      </c>
      <c r="Q690" s="1" t="s">
        <v>109</v>
      </c>
      <c r="R690" s="1">
        <v>26</v>
      </c>
    </row>
    <row r="691" spans="1:18" ht="21" customHeight="1">
      <c r="A691" s="8">
        <v>46262</v>
      </c>
      <c r="B691" s="1" t="s">
        <v>137</v>
      </c>
      <c r="C691" s="39" t="s">
        <v>90</v>
      </c>
      <c r="D691" s="7">
        <v>4400</v>
      </c>
      <c r="E691" s="7">
        <f>'Option source'!B511</f>
        <v>1.96</v>
      </c>
      <c r="F691" s="7">
        <v>6810</v>
      </c>
      <c r="G691" s="14">
        <v>49</v>
      </c>
      <c r="H691" s="7">
        <f t="shared" si="30"/>
        <v>0</v>
      </c>
      <c r="I691" s="7">
        <f t="shared" si="31"/>
        <v>1.96</v>
      </c>
      <c r="J691" s="9">
        <f t="shared" si="32"/>
        <v>0.64610866372980913</v>
      </c>
      <c r="K691" s="9">
        <v>0.51745623838754895</v>
      </c>
      <c r="L691" s="13">
        <v>-4.5136247306705179E-3</v>
      </c>
      <c r="M691" s="13">
        <v>0.32932382193266013</v>
      </c>
      <c r="N691" s="7">
        <f>'Option source'!C511</f>
        <v>561700.81000000006</v>
      </c>
      <c r="O691" s="7">
        <f>'Option source'!G511</f>
        <v>1.5</v>
      </c>
      <c r="P691" s="7">
        <f>'Option source'!F511</f>
        <v>5.2</v>
      </c>
      <c r="Q691" s="1" t="s">
        <v>88</v>
      </c>
      <c r="R691" s="1">
        <v>506</v>
      </c>
    </row>
    <row r="692" spans="1:18" ht="21" customHeight="1">
      <c r="A692" s="8">
        <v>46262</v>
      </c>
      <c r="B692" s="1" t="s">
        <v>140</v>
      </c>
      <c r="C692" s="39" t="s">
        <v>87</v>
      </c>
      <c r="D692" s="7">
        <v>4200</v>
      </c>
      <c r="E692" s="7">
        <f>'Option source'!B12</f>
        <v>2666.16</v>
      </c>
      <c r="F692" s="7">
        <v>6810</v>
      </c>
      <c r="G692" s="14">
        <v>49</v>
      </c>
      <c r="H692" s="7">
        <f t="shared" si="30"/>
        <v>2610</v>
      </c>
      <c r="I692" s="7">
        <f t="shared" si="31"/>
        <v>56.159999999999854</v>
      </c>
      <c r="J692" s="9">
        <f t="shared" si="32"/>
        <v>0.61674008810572689</v>
      </c>
      <c r="K692" s="9"/>
      <c r="L692" s="13"/>
      <c r="M692" s="13"/>
      <c r="N692" s="7">
        <f>'Option source'!C12</f>
        <v>19534206</v>
      </c>
      <c r="O692" s="7">
        <f>'Option source'!G12</f>
        <v>2623.86</v>
      </c>
      <c r="P692" s="7">
        <f>'Option source'!F12</f>
        <v>2728.37</v>
      </c>
      <c r="Q692" s="1" t="s">
        <v>100</v>
      </c>
      <c r="R692" s="1">
        <v>7</v>
      </c>
    </row>
    <row r="693" spans="1:18" ht="21" customHeight="1">
      <c r="A693" s="8">
        <v>46262</v>
      </c>
      <c r="B693" s="1" t="s">
        <v>141</v>
      </c>
      <c r="C693" s="39" t="s">
        <v>90</v>
      </c>
      <c r="D693" s="7">
        <v>4200</v>
      </c>
      <c r="E693" s="7">
        <f>'Option source'!B492</f>
        <v>1.74</v>
      </c>
      <c r="F693" s="7">
        <v>6810</v>
      </c>
      <c r="G693" s="14">
        <v>49</v>
      </c>
      <c r="H693" s="7">
        <f t="shared" si="30"/>
        <v>0</v>
      </c>
      <c r="I693" s="7">
        <f t="shared" si="31"/>
        <v>1.74</v>
      </c>
      <c r="J693" s="9">
        <f t="shared" si="32"/>
        <v>0.61674008810572689</v>
      </c>
      <c r="K693" s="9">
        <v>0.55632313306615633</v>
      </c>
      <c r="L693" s="13">
        <v>-3.7861113074280084E-3</v>
      </c>
      <c r="M693" s="13">
        <v>0.28140056903204408</v>
      </c>
      <c r="N693" s="7">
        <f>'Option source'!C492</f>
        <v>931454</v>
      </c>
      <c r="O693" s="7">
        <f>'Option source'!G492</f>
        <v>1.3</v>
      </c>
      <c r="P693" s="7">
        <f>'Option source'!F492</f>
        <v>4</v>
      </c>
      <c r="Q693" s="1" t="s">
        <v>88</v>
      </c>
      <c r="R693" s="1">
        <v>487</v>
      </c>
    </row>
    <row r="694" spans="1:18" ht="21" customHeight="1">
      <c r="A694" s="8">
        <v>46262</v>
      </c>
      <c r="B694" s="1" t="s">
        <v>142</v>
      </c>
      <c r="C694" s="39" t="s">
        <v>87</v>
      </c>
      <c r="D694" s="7">
        <v>9500</v>
      </c>
      <c r="E694" s="7">
        <f>'Option source'!B454</f>
        <v>15.03</v>
      </c>
      <c r="F694" s="7">
        <v>6810</v>
      </c>
      <c r="G694" s="14">
        <v>49</v>
      </c>
      <c r="H694" s="7">
        <f t="shared" si="30"/>
        <v>0</v>
      </c>
      <c r="I694" s="7">
        <f t="shared" si="31"/>
        <v>15.03</v>
      </c>
      <c r="J694" s="9">
        <f t="shared" si="32"/>
        <v>1.395007342143906</v>
      </c>
      <c r="K694" s="9">
        <v>0.42872308821982041</v>
      </c>
      <c r="L694" s="13">
        <v>3.7184637135676817E-2</v>
      </c>
      <c r="M694" s="13">
        <v>2.0260230125692851</v>
      </c>
      <c r="N694" s="7">
        <f>'Option source'!C454</f>
        <v>2013131.25</v>
      </c>
      <c r="O694" s="7">
        <f>'Option source'!G454</f>
        <v>13</v>
      </c>
      <c r="P694" s="7">
        <f>'Option source'!F454</f>
        <v>18.25</v>
      </c>
      <c r="Q694" s="1" t="s">
        <v>88</v>
      </c>
      <c r="R694" s="1">
        <v>449</v>
      </c>
    </row>
    <row r="695" spans="1:18" ht="21" customHeight="1">
      <c r="A695" s="8">
        <v>46262</v>
      </c>
      <c r="B695" s="1" t="s">
        <v>143</v>
      </c>
      <c r="C695" s="39" t="s">
        <v>87</v>
      </c>
      <c r="D695" s="7">
        <v>9900</v>
      </c>
      <c r="E695" s="7">
        <f>'Option source'!B473</f>
        <v>10</v>
      </c>
      <c r="F695" s="7">
        <v>6810</v>
      </c>
      <c r="G695" s="14">
        <v>49</v>
      </c>
      <c r="H695" s="7">
        <f t="shared" si="30"/>
        <v>0</v>
      </c>
      <c r="I695" s="7">
        <f t="shared" si="31"/>
        <v>10</v>
      </c>
      <c r="J695" s="9">
        <f t="shared" si="32"/>
        <v>1.4537444933920705</v>
      </c>
      <c r="K695" s="9">
        <v>0.4465900661877048</v>
      </c>
      <c r="L695" s="13">
        <v>2.5080767333076848E-2</v>
      </c>
      <c r="M695" s="13">
        <v>1.4622475550479757</v>
      </c>
      <c r="N695" s="7">
        <f>'Option source'!C473</f>
        <v>2799061.75</v>
      </c>
      <c r="O695" s="7">
        <f>'Option source'!G473</f>
        <v>8.31</v>
      </c>
      <c r="P695" s="7">
        <f>'Option source'!F473</f>
        <v>13</v>
      </c>
      <c r="Q695" s="1" t="s">
        <v>88</v>
      </c>
      <c r="R695" s="1">
        <v>468</v>
      </c>
    </row>
    <row r="696" spans="1:18" ht="21" customHeight="1">
      <c r="A696" s="8">
        <v>46261</v>
      </c>
      <c r="B696" s="1" t="s">
        <v>86</v>
      </c>
      <c r="C696" s="39" t="s">
        <v>87</v>
      </c>
      <c r="D696" s="7">
        <v>6800</v>
      </c>
      <c r="E696" s="7">
        <f>'Option source'!B244</f>
        <v>587.6</v>
      </c>
      <c r="F696" s="7">
        <v>6880</v>
      </c>
      <c r="G696" s="14">
        <v>50</v>
      </c>
      <c r="H696" s="7">
        <f t="shared" si="30"/>
        <v>80</v>
      </c>
      <c r="I696" s="7">
        <f t="shared" si="31"/>
        <v>507.6</v>
      </c>
      <c r="J696" s="9">
        <f t="shared" si="32"/>
        <v>0.98837209302325579</v>
      </c>
      <c r="K696" s="9">
        <v>0.38954597034590532</v>
      </c>
      <c r="L696" s="13">
        <v>0.66939680428645731</v>
      </c>
      <c r="M696" s="13">
        <v>9.2285072490558928</v>
      </c>
      <c r="N696" s="7">
        <f>'Option source'!C244</f>
        <v>169466192</v>
      </c>
      <c r="O696" s="7">
        <f>'Option source'!G244</f>
        <v>585</v>
      </c>
      <c r="P696" s="7">
        <f>'Option source'!F244</f>
        <v>691.24</v>
      </c>
      <c r="Q696" s="1" t="s">
        <v>88</v>
      </c>
      <c r="R696" s="1">
        <v>239</v>
      </c>
    </row>
    <row r="697" spans="1:18" ht="21" customHeight="1">
      <c r="A697" s="8">
        <v>46261</v>
      </c>
      <c r="B697" s="1" t="s">
        <v>89</v>
      </c>
      <c r="C697" s="39" t="s">
        <v>90</v>
      </c>
      <c r="D697" s="7">
        <v>6800</v>
      </c>
      <c r="E697" s="7">
        <f>'Option source'!B738</f>
        <v>319.7</v>
      </c>
      <c r="F697" s="7">
        <v>6880</v>
      </c>
      <c r="G697" s="14">
        <v>50</v>
      </c>
      <c r="H697" s="7">
        <f t="shared" si="30"/>
        <v>0</v>
      </c>
      <c r="I697" s="7">
        <f t="shared" si="31"/>
        <v>319.7</v>
      </c>
      <c r="J697" s="9">
        <f t="shared" si="32"/>
        <v>0.98837209302325579</v>
      </c>
      <c r="K697" s="9">
        <v>0.45466358335056067</v>
      </c>
      <c r="L697" s="13">
        <v>-0.3453678687977888</v>
      </c>
      <c r="M697" s="13">
        <v>9.3856602268783984</v>
      </c>
      <c r="N697" s="7">
        <f>'Option source'!C738</f>
        <v>98834760</v>
      </c>
      <c r="O697" s="7">
        <f>'Option source'!G738</f>
        <v>240.01</v>
      </c>
      <c r="P697" s="7">
        <f>'Option source'!F738</f>
        <v>335</v>
      </c>
      <c r="Q697" s="1" t="s">
        <v>88</v>
      </c>
      <c r="R697" s="1">
        <v>733</v>
      </c>
    </row>
    <row r="698" spans="1:18" ht="21" customHeight="1">
      <c r="A698" s="8">
        <v>46261</v>
      </c>
      <c r="B698" s="1" t="s">
        <v>93</v>
      </c>
      <c r="C698" s="39" t="s">
        <v>87</v>
      </c>
      <c r="D698" s="7">
        <v>7000</v>
      </c>
      <c r="E698" s="7">
        <f>'Option source'!B263</f>
        <v>484.8</v>
      </c>
      <c r="F698" s="7">
        <v>6880</v>
      </c>
      <c r="G698" s="14">
        <v>50</v>
      </c>
      <c r="H698" s="7">
        <f t="shared" si="30"/>
        <v>0</v>
      </c>
      <c r="I698" s="7">
        <f t="shared" si="31"/>
        <v>484.8</v>
      </c>
      <c r="J698" s="9">
        <f t="shared" si="32"/>
        <v>1.0174418604651163</v>
      </c>
      <c r="K698" s="9">
        <v>0.39748351371994117</v>
      </c>
      <c r="L698" s="13">
        <v>0.59303743636229611</v>
      </c>
      <c r="M698" s="13">
        <v>9.8811568843756312</v>
      </c>
      <c r="N698" s="7">
        <f>'Option source'!C263</f>
        <v>409799456</v>
      </c>
      <c r="O698" s="7">
        <f>'Option source'!G263</f>
        <v>481.7</v>
      </c>
      <c r="P698" s="7">
        <f>'Option source'!F263</f>
        <v>617.99</v>
      </c>
      <c r="Q698" s="1" t="s">
        <v>88</v>
      </c>
      <c r="R698" s="1">
        <v>258</v>
      </c>
    </row>
    <row r="699" spans="1:18" ht="21" customHeight="1">
      <c r="A699" s="8">
        <v>46261</v>
      </c>
      <c r="B699" s="1" t="s">
        <v>94</v>
      </c>
      <c r="C699" s="39" t="s">
        <v>90</v>
      </c>
      <c r="D699" s="7">
        <v>7000</v>
      </c>
      <c r="E699" s="7">
        <f>'Option source'!B757</f>
        <v>414.3</v>
      </c>
      <c r="F699" s="7">
        <v>6880</v>
      </c>
      <c r="G699" s="14">
        <v>50</v>
      </c>
      <c r="H699" s="7">
        <f t="shared" si="30"/>
        <v>120</v>
      </c>
      <c r="I699" s="7">
        <f t="shared" si="31"/>
        <v>294.3</v>
      </c>
      <c r="J699" s="9">
        <f t="shared" si="32"/>
        <v>1.0174418604651163</v>
      </c>
      <c r="K699" s="9">
        <v>0.45406945944387456</v>
      </c>
      <c r="L699" s="13">
        <v>-0.41072799838384089</v>
      </c>
      <c r="M699" s="13">
        <v>9.9032595963174472</v>
      </c>
      <c r="N699" s="7">
        <f>'Option source'!C757</f>
        <v>151859664</v>
      </c>
      <c r="O699" s="7">
        <f>'Option source'!G757</f>
        <v>306</v>
      </c>
      <c r="P699" s="7">
        <f>'Option source'!F757</f>
        <v>430</v>
      </c>
      <c r="Q699" s="1" t="s">
        <v>88</v>
      </c>
      <c r="R699" s="1">
        <v>752</v>
      </c>
    </row>
    <row r="700" spans="1:18" ht="21" customHeight="1">
      <c r="A700" s="8">
        <v>46261</v>
      </c>
      <c r="B700" s="1" t="s">
        <v>91</v>
      </c>
      <c r="C700" s="39" t="s">
        <v>87</v>
      </c>
      <c r="D700" s="7">
        <v>6600</v>
      </c>
      <c r="E700" s="7">
        <f>'Option source'!B225</f>
        <v>706.67</v>
      </c>
      <c r="F700" s="7">
        <v>6880</v>
      </c>
      <c r="G700" s="14">
        <v>50</v>
      </c>
      <c r="H700" s="7">
        <f t="shared" si="30"/>
        <v>280</v>
      </c>
      <c r="I700" s="7">
        <f t="shared" si="31"/>
        <v>426.66999999999996</v>
      </c>
      <c r="J700" s="9">
        <f t="shared" si="32"/>
        <v>0.95930232558139539</v>
      </c>
      <c r="K700" s="9">
        <v>0.38166424638858842</v>
      </c>
      <c r="L700" s="13">
        <v>0.74398632123914421</v>
      </c>
      <c r="M700" s="13">
        <v>8.1937131694377001</v>
      </c>
      <c r="N700" s="7">
        <f>'Option source'!C225</f>
        <v>69429448</v>
      </c>
      <c r="O700" s="7">
        <f>'Option source'!G225</f>
        <v>700</v>
      </c>
      <c r="P700" s="7">
        <f>'Option source'!F225</f>
        <v>780.04</v>
      </c>
      <c r="Q700" s="1" t="s">
        <v>88</v>
      </c>
      <c r="R700" s="1">
        <v>220</v>
      </c>
    </row>
    <row r="701" spans="1:18" ht="21" customHeight="1">
      <c r="A701" s="8">
        <v>46261</v>
      </c>
      <c r="B701" s="1" t="s">
        <v>92</v>
      </c>
      <c r="C701" s="39" t="s">
        <v>90</v>
      </c>
      <c r="D701" s="7">
        <v>6600</v>
      </c>
      <c r="E701" s="7">
        <f>'Option source'!B719</f>
        <v>237.9</v>
      </c>
      <c r="F701" s="7">
        <v>6880</v>
      </c>
      <c r="G701" s="14">
        <v>50</v>
      </c>
      <c r="H701" s="7">
        <f t="shared" si="30"/>
        <v>0</v>
      </c>
      <c r="I701" s="7">
        <f t="shared" si="31"/>
        <v>237.9</v>
      </c>
      <c r="J701" s="9">
        <f t="shared" si="32"/>
        <v>0.95930232558139539</v>
      </c>
      <c r="K701" s="9">
        <v>0.45258390791390146</v>
      </c>
      <c r="L701" s="13">
        <v>-0.28192555650734419</v>
      </c>
      <c r="M701" s="13">
        <v>8.6002224496435957</v>
      </c>
      <c r="N701" s="7">
        <f>'Option source'!C719</f>
        <v>234706816</v>
      </c>
      <c r="O701" s="7">
        <f>'Option source'!G719</f>
        <v>180</v>
      </c>
      <c r="P701" s="7">
        <f>'Option source'!F719</f>
        <v>259</v>
      </c>
      <c r="Q701" s="1" t="s">
        <v>88</v>
      </c>
      <c r="R701" s="1">
        <v>714</v>
      </c>
    </row>
    <row r="702" spans="1:18" ht="21" customHeight="1">
      <c r="A702" s="8">
        <v>46261</v>
      </c>
      <c r="B702" s="1" t="s">
        <v>97</v>
      </c>
      <c r="C702" s="39" t="s">
        <v>87</v>
      </c>
      <c r="D702" s="7">
        <v>7200</v>
      </c>
      <c r="E702" s="7">
        <f>'Option source'!B282</f>
        <v>393.33</v>
      </c>
      <c r="F702" s="7">
        <v>6880</v>
      </c>
      <c r="G702" s="14">
        <v>50</v>
      </c>
      <c r="H702" s="7">
        <f t="shared" si="30"/>
        <v>0</v>
      </c>
      <c r="I702" s="7">
        <f t="shared" si="31"/>
        <v>393.33</v>
      </c>
      <c r="J702" s="9">
        <f t="shared" si="32"/>
        <v>1.0465116279069768</v>
      </c>
      <c r="K702" s="9">
        <v>0.40132277004034755</v>
      </c>
      <c r="L702" s="13">
        <v>0.51789507357340314</v>
      </c>
      <c r="M702" s="13">
        <v>10.148453391047422</v>
      </c>
      <c r="N702" s="7">
        <f>'Option source'!C282</f>
        <v>419758912</v>
      </c>
      <c r="O702" s="7">
        <f>'Option source'!G282</f>
        <v>390</v>
      </c>
      <c r="P702" s="7">
        <f>'Option source'!F282</f>
        <v>509</v>
      </c>
      <c r="Q702" s="1" t="s">
        <v>88</v>
      </c>
      <c r="R702" s="1">
        <v>277</v>
      </c>
    </row>
    <row r="703" spans="1:18" ht="21" customHeight="1">
      <c r="A703" s="8">
        <v>46261</v>
      </c>
      <c r="B703" s="1" t="s">
        <v>98</v>
      </c>
      <c r="C703" s="39" t="s">
        <v>90</v>
      </c>
      <c r="D703" s="7">
        <v>7200</v>
      </c>
      <c r="E703" s="7">
        <f>'Option source'!B776</f>
        <v>525.21</v>
      </c>
      <c r="F703" s="7">
        <v>6880</v>
      </c>
      <c r="G703" s="14">
        <v>50</v>
      </c>
      <c r="H703" s="7">
        <f t="shared" si="30"/>
        <v>320</v>
      </c>
      <c r="I703" s="7">
        <f t="shared" si="31"/>
        <v>205.21000000000004</v>
      </c>
      <c r="J703" s="9">
        <f t="shared" si="32"/>
        <v>1.0465116279069768</v>
      </c>
      <c r="K703" s="9">
        <v>0.45388802541771778</v>
      </c>
      <c r="L703" s="13">
        <v>-0.47687293724738611</v>
      </c>
      <c r="M703" s="13">
        <v>10.141600613315797</v>
      </c>
      <c r="N703" s="7">
        <f>'Option source'!C776</f>
        <v>25037786</v>
      </c>
      <c r="O703" s="7">
        <f>'Option source'!G776</f>
        <v>440</v>
      </c>
      <c r="P703" s="7">
        <f>'Option source'!F776</f>
        <v>540</v>
      </c>
      <c r="Q703" s="1" t="s">
        <v>88</v>
      </c>
      <c r="R703" s="1">
        <v>771</v>
      </c>
    </row>
    <row r="704" spans="1:18" ht="21" customHeight="1">
      <c r="A704" s="8">
        <v>46261</v>
      </c>
      <c r="B704" s="1" t="s">
        <v>95</v>
      </c>
      <c r="C704" s="39" t="s">
        <v>87</v>
      </c>
      <c r="D704" s="7">
        <v>6400</v>
      </c>
      <c r="E704" s="7">
        <f>'Option source'!B206</f>
        <v>843.84</v>
      </c>
      <c r="F704" s="7">
        <v>6880</v>
      </c>
      <c r="G704" s="14">
        <v>50</v>
      </c>
      <c r="H704" s="7">
        <f t="shared" si="30"/>
        <v>480</v>
      </c>
      <c r="I704" s="7">
        <f t="shared" si="31"/>
        <v>363.84000000000003</v>
      </c>
      <c r="J704" s="9">
        <f t="shared" si="32"/>
        <v>0.93023255813953487</v>
      </c>
      <c r="K704" s="9">
        <v>0.37658964491253399</v>
      </c>
      <c r="L704" s="13">
        <v>0.8114901060471218</v>
      </c>
      <c r="M704" s="13">
        <v>6.8766361363377939</v>
      </c>
      <c r="N704" s="7">
        <f>'Option source'!C206</f>
        <v>55175124</v>
      </c>
      <c r="O704" s="7">
        <f>'Option source'!G206</f>
        <v>823.5</v>
      </c>
      <c r="P704" s="7">
        <f>'Option source'!F206</f>
        <v>990</v>
      </c>
      <c r="Q704" s="1" t="s">
        <v>88</v>
      </c>
      <c r="R704" s="1">
        <v>201</v>
      </c>
    </row>
    <row r="705" spans="1:18" ht="21" customHeight="1">
      <c r="A705" s="8">
        <v>46261</v>
      </c>
      <c r="B705" s="1" t="s">
        <v>96</v>
      </c>
      <c r="C705" s="39" t="s">
        <v>90</v>
      </c>
      <c r="D705" s="7">
        <v>6400</v>
      </c>
      <c r="E705" s="7">
        <f>'Option source'!B700</f>
        <v>172.27</v>
      </c>
      <c r="F705" s="7">
        <v>6880</v>
      </c>
      <c r="G705" s="14">
        <v>50</v>
      </c>
      <c r="H705" s="7">
        <f t="shared" si="30"/>
        <v>0</v>
      </c>
      <c r="I705" s="7">
        <f t="shared" si="31"/>
        <v>172.27</v>
      </c>
      <c r="J705" s="9">
        <f t="shared" si="32"/>
        <v>0.93023255813953487</v>
      </c>
      <c r="K705" s="9">
        <v>0.45222767905258199</v>
      </c>
      <c r="L705" s="13">
        <v>-0.223238972035122</v>
      </c>
      <c r="M705" s="13">
        <v>7.602972187141213</v>
      </c>
      <c r="N705" s="7">
        <f>'Option source'!C700</f>
        <v>121716192</v>
      </c>
      <c r="O705" s="7">
        <f>'Option source'!G700</f>
        <v>130</v>
      </c>
      <c r="P705" s="7">
        <f>'Option source'!F700</f>
        <v>185</v>
      </c>
      <c r="Q705" s="1" t="s">
        <v>88</v>
      </c>
      <c r="R705" s="1">
        <v>695</v>
      </c>
    </row>
    <row r="706" spans="1:18" ht="21" customHeight="1">
      <c r="A706" s="8">
        <v>46261</v>
      </c>
      <c r="B706" s="1" t="s">
        <v>102</v>
      </c>
      <c r="C706" s="39" t="s">
        <v>87</v>
      </c>
      <c r="D706" s="7">
        <v>7400</v>
      </c>
      <c r="E706" s="7">
        <f>'Option source'!B301</f>
        <v>310.39</v>
      </c>
      <c r="F706" s="7">
        <v>6880</v>
      </c>
      <c r="G706" s="14">
        <v>50</v>
      </c>
      <c r="H706" s="7">
        <f t="shared" si="30"/>
        <v>0</v>
      </c>
      <c r="I706" s="7">
        <f t="shared" si="31"/>
        <v>310.39</v>
      </c>
      <c r="J706" s="9">
        <f t="shared" si="32"/>
        <v>1.0755813953488371</v>
      </c>
      <c r="K706" s="9">
        <v>0.39945135505283924</v>
      </c>
      <c r="L706" s="13">
        <v>0.44395994872984434</v>
      </c>
      <c r="M706" s="13">
        <v>10.058282774519965</v>
      </c>
      <c r="N706" s="7">
        <f>'Option source'!C301</f>
        <v>243252768</v>
      </c>
      <c r="O706" s="7">
        <f>'Option source'!G301</f>
        <v>305</v>
      </c>
      <c r="P706" s="7">
        <f>'Option source'!F301</f>
        <v>416.99</v>
      </c>
      <c r="Q706" s="1" t="s">
        <v>88</v>
      </c>
      <c r="R706" s="1">
        <v>296</v>
      </c>
    </row>
    <row r="707" spans="1:18" ht="21" customHeight="1">
      <c r="A707" s="8">
        <v>46261</v>
      </c>
      <c r="B707" s="1" t="s">
        <v>103</v>
      </c>
      <c r="C707" s="39" t="s">
        <v>90</v>
      </c>
      <c r="D707" s="7">
        <v>7400</v>
      </c>
      <c r="E707" s="7">
        <f>'Option source'!B795</f>
        <v>630.02</v>
      </c>
      <c r="F707" s="7">
        <v>6880</v>
      </c>
      <c r="G707" s="14">
        <v>50</v>
      </c>
      <c r="H707" s="7">
        <f t="shared" si="30"/>
        <v>520</v>
      </c>
      <c r="I707" s="7">
        <f t="shared" si="31"/>
        <v>110.01999999999998</v>
      </c>
      <c r="J707" s="9">
        <f t="shared" si="32"/>
        <v>1.0755813953488371</v>
      </c>
      <c r="K707" s="9">
        <v>0.42737302139494737</v>
      </c>
      <c r="L707" s="13">
        <v>-0.54844445344590143</v>
      </c>
      <c r="M707" s="13">
        <v>10.083683985793938</v>
      </c>
      <c r="N707" s="7">
        <f>'Option source'!C795</f>
        <v>21707936</v>
      </c>
      <c r="O707" s="7">
        <f>'Option source'!G795</f>
        <v>575</v>
      </c>
      <c r="P707" s="7">
        <f>'Option source'!F795</f>
        <v>660.28</v>
      </c>
      <c r="Q707" s="1" t="s">
        <v>88</v>
      </c>
      <c r="R707" s="1">
        <v>790</v>
      </c>
    </row>
    <row r="708" spans="1:18" ht="21" customHeight="1">
      <c r="A708" s="8">
        <v>46261</v>
      </c>
      <c r="B708" s="1" t="s">
        <v>99</v>
      </c>
      <c r="C708" s="39" t="s">
        <v>87</v>
      </c>
      <c r="D708" s="7">
        <v>6200</v>
      </c>
      <c r="E708" s="7">
        <f>'Option source'!B187</f>
        <v>1000</v>
      </c>
      <c r="F708" s="7">
        <v>6880</v>
      </c>
      <c r="G708" s="14">
        <v>50</v>
      </c>
      <c r="H708" s="7">
        <f t="shared" si="30"/>
        <v>680</v>
      </c>
      <c r="I708" s="7">
        <f t="shared" si="31"/>
        <v>320</v>
      </c>
      <c r="J708" s="9">
        <f t="shared" si="32"/>
        <v>0.90116279069767447</v>
      </c>
      <c r="K708" s="9">
        <v>0.37997317749257831</v>
      </c>
      <c r="L708" s="13">
        <v>0.86488532588456857</v>
      </c>
      <c r="M708" s="13">
        <v>5.5319303583559893</v>
      </c>
      <c r="N708" s="7">
        <f>'Option source'!C187</f>
        <v>6149087</v>
      </c>
      <c r="O708" s="7">
        <f>'Option source'!G187</f>
        <v>1000</v>
      </c>
      <c r="P708" s="7">
        <f>'Option source'!F187</f>
        <v>1015.87</v>
      </c>
      <c r="Q708" s="1" t="s">
        <v>88</v>
      </c>
      <c r="R708" s="1">
        <v>182</v>
      </c>
    </row>
    <row r="709" spans="1:18" ht="21" customHeight="1">
      <c r="A709" s="8">
        <v>46261</v>
      </c>
      <c r="B709" s="1" t="s">
        <v>101</v>
      </c>
      <c r="C709" s="39" t="s">
        <v>90</v>
      </c>
      <c r="D709" s="7">
        <v>6200</v>
      </c>
      <c r="E709" s="7">
        <f>'Option source'!B681</f>
        <v>119.95</v>
      </c>
      <c r="F709" s="7">
        <v>6880</v>
      </c>
      <c r="G709" s="14">
        <v>50</v>
      </c>
      <c r="H709" s="7">
        <f t="shared" si="30"/>
        <v>0</v>
      </c>
      <c r="I709" s="7">
        <f t="shared" si="31"/>
        <v>119.95</v>
      </c>
      <c r="J709" s="9">
        <f t="shared" si="32"/>
        <v>0.90116279069767447</v>
      </c>
      <c r="K709" s="9">
        <v>0.44997160942382597</v>
      </c>
      <c r="L709" s="13">
        <v>-0.16981042791176948</v>
      </c>
      <c r="M709" s="13">
        <v>6.4391531584646975</v>
      </c>
      <c r="N709" s="7">
        <f>'Option source'!C681</f>
        <v>62325680</v>
      </c>
      <c r="O709" s="7">
        <f>'Option source'!G681</f>
        <v>86</v>
      </c>
      <c r="P709" s="7">
        <f>'Option source'!F681</f>
        <v>129.59</v>
      </c>
      <c r="Q709" s="1" t="s">
        <v>88</v>
      </c>
      <c r="R709" s="1">
        <v>676</v>
      </c>
    </row>
    <row r="710" spans="1:18" ht="21" customHeight="1">
      <c r="A710" s="8">
        <v>46261</v>
      </c>
      <c r="B710" s="1" t="s">
        <v>106</v>
      </c>
      <c r="C710" s="39" t="s">
        <v>87</v>
      </c>
      <c r="D710" s="7">
        <v>7600</v>
      </c>
      <c r="E710" s="7">
        <f>'Option source'!B320</f>
        <v>247.62</v>
      </c>
      <c r="F710" s="7">
        <v>6880</v>
      </c>
      <c r="G710" s="14">
        <v>50</v>
      </c>
      <c r="H710" s="7">
        <f t="shared" si="30"/>
        <v>0</v>
      </c>
      <c r="I710" s="7">
        <f t="shared" si="31"/>
        <v>247.62</v>
      </c>
      <c r="J710" s="9">
        <f t="shared" si="32"/>
        <v>1.1046511627906976</v>
      </c>
      <c r="K710" s="9">
        <v>0.40449617315528874</v>
      </c>
      <c r="L710" s="13">
        <v>0.37620799035093699</v>
      </c>
      <c r="M710" s="13">
        <v>9.6655886165607061</v>
      </c>
      <c r="N710" s="7">
        <f>'Option source'!C320</f>
        <v>235826448</v>
      </c>
      <c r="O710" s="7">
        <f>'Option source'!G320</f>
        <v>247.02</v>
      </c>
      <c r="P710" s="7">
        <f>'Option source'!F320</f>
        <v>379</v>
      </c>
      <c r="Q710" s="1" t="s">
        <v>88</v>
      </c>
      <c r="R710" s="1">
        <v>315</v>
      </c>
    </row>
    <row r="711" spans="1:18" ht="21" customHeight="1">
      <c r="A711" s="8">
        <v>46261</v>
      </c>
      <c r="B711" s="1" t="s">
        <v>107</v>
      </c>
      <c r="C711" s="39" t="s">
        <v>90</v>
      </c>
      <c r="D711" s="7">
        <v>7600</v>
      </c>
      <c r="E711" s="7">
        <f>'Option source'!B814</f>
        <v>785</v>
      </c>
      <c r="F711" s="7">
        <v>6880</v>
      </c>
      <c r="G711" s="14">
        <v>50</v>
      </c>
      <c r="H711" s="7">
        <f t="shared" ref="H711:H774" si="33">MAX(IF(C711="call",F711-D711,D711-F711),0)</f>
        <v>720</v>
      </c>
      <c r="I711" s="7">
        <f t="shared" ref="I711:I774" si="34">E711-H711</f>
        <v>65</v>
      </c>
      <c r="J711" s="9">
        <f t="shared" ref="J711:J774" si="35">D711/F711</f>
        <v>1.1046511627906976</v>
      </c>
      <c r="K711" s="9"/>
      <c r="L711" s="13"/>
      <c r="M711" s="13"/>
      <c r="N711" s="7">
        <f>'Option source'!C814</f>
        <v>2053604.38</v>
      </c>
      <c r="O711" s="7">
        <f>'Option source'!G814</f>
        <v>690</v>
      </c>
      <c r="P711" s="7">
        <f>'Option source'!F814</f>
        <v>780</v>
      </c>
      <c r="Q711" s="1" t="s">
        <v>109</v>
      </c>
      <c r="R711" s="1">
        <v>809</v>
      </c>
    </row>
    <row r="712" spans="1:18" ht="21" customHeight="1">
      <c r="A712" s="8">
        <v>46261</v>
      </c>
      <c r="B712" s="1" t="s">
        <v>104</v>
      </c>
      <c r="C712" s="39" t="s">
        <v>87</v>
      </c>
      <c r="D712" s="7">
        <v>6000</v>
      </c>
      <c r="E712" s="7">
        <f>'Option source'!B168</f>
        <v>1178.78</v>
      </c>
      <c r="F712" s="7">
        <v>6880</v>
      </c>
      <c r="G712" s="14">
        <v>50</v>
      </c>
      <c r="H712" s="7">
        <f t="shared" si="33"/>
        <v>880</v>
      </c>
      <c r="I712" s="7">
        <f t="shared" si="34"/>
        <v>298.77999999999997</v>
      </c>
      <c r="J712" s="9">
        <f t="shared" si="35"/>
        <v>0.87209302325581395</v>
      </c>
      <c r="K712" s="9">
        <v>0.41140382364960582</v>
      </c>
      <c r="L712" s="13">
        <v>0.89340377136741778</v>
      </c>
      <c r="M712" s="13">
        <v>4.6810437872765904</v>
      </c>
      <c r="N712" s="7">
        <f>'Option source'!C168</f>
        <v>5776001</v>
      </c>
      <c r="O712" s="7">
        <f>'Option source'!G168</f>
        <v>1165</v>
      </c>
      <c r="P712" s="7">
        <f>'Option source'!F168</f>
        <v>1200</v>
      </c>
      <c r="Q712" s="1" t="s">
        <v>88</v>
      </c>
      <c r="R712" s="1">
        <v>163</v>
      </c>
    </row>
    <row r="713" spans="1:18" ht="21" customHeight="1">
      <c r="A713" s="8">
        <v>46261</v>
      </c>
      <c r="B713" s="1" t="s">
        <v>105</v>
      </c>
      <c r="C713" s="39" t="s">
        <v>90</v>
      </c>
      <c r="D713" s="7">
        <v>6000</v>
      </c>
      <c r="E713" s="7">
        <f>'Option source'!B662</f>
        <v>81.77</v>
      </c>
      <c r="F713" s="7">
        <v>6880</v>
      </c>
      <c r="G713" s="14">
        <v>50</v>
      </c>
      <c r="H713" s="7">
        <f t="shared" si="33"/>
        <v>0</v>
      </c>
      <c r="I713" s="7">
        <f t="shared" si="34"/>
        <v>81.77</v>
      </c>
      <c r="J713" s="9">
        <f t="shared" si="35"/>
        <v>0.87209302325581395</v>
      </c>
      <c r="K713" s="9">
        <v>0.45153719389061375</v>
      </c>
      <c r="L713" s="13">
        <v>-0.12540466824121499</v>
      </c>
      <c r="M713" s="13">
        <v>5.2537025425939978</v>
      </c>
      <c r="N713" s="7">
        <f>'Option source'!C662</f>
        <v>75141672</v>
      </c>
      <c r="O713" s="7">
        <f>'Option source'!G662</f>
        <v>56</v>
      </c>
      <c r="P713" s="7">
        <f>'Option source'!F662</f>
        <v>84.6</v>
      </c>
      <c r="Q713" s="1" t="s">
        <v>88</v>
      </c>
      <c r="R713" s="1">
        <v>657</v>
      </c>
    </row>
    <row r="714" spans="1:18" ht="21" customHeight="1">
      <c r="A714" s="8">
        <v>46261</v>
      </c>
      <c r="B714" s="1" t="s">
        <v>111</v>
      </c>
      <c r="C714" s="39" t="s">
        <v>87</v>
      </c>
      <c r="D714" s="7">
        <v>7800</v>
      </c>
      <c r="E714" s="7">
        <f>'Option source'!B339</f>
        <v>190.51</v>
      </c>
      <c r="F714" s="7">
        <v>6880</v>
      </c>
      <c r="G714" s="14">
        <v>50</v>
      </c>
      <c r="H714" s="7">
        <f t="shared" si="33"/>
        <v>0</v>
      </c>
      <c r="I714" s="7">
        <f t="shared" si="34"/>
        <v>190.51</v>
      </c>
      <c r="J714" s="9">
        <f t="shared" si="35"/>
        <v>1.1337209302325582</v>
      </c>
      <c r="K714" s="9">
        <v>0.40302200309559122</v>
      </c>
      <c r="L714" s="13">
        <v>0.31160893814308027</v>
      </c>
      <c r="M714" s="13">
        <v>9.0037638116913357</v>
      </c>
      <c r="N714" s="7">
        <f>'Option source'!C339</f>
        <v>184256096</v>
      </c>
      <c r="O714" s="7">
        <f>'Option source'!G339</f>
        <v>188</v>
      </c>
      <c r="P714" s="7">
        <f>'Option source'!F339</f>
        <v>275</v>
      </c>
      <c r="Q714" s="1" t="s">
        <v>88</v>
      </c>
      <c r="R714" s="1">
        <v>334</v>
      </c>
    </row>
    <row r="715" spans="1:18" ht="21" customHeight="1">
      <c r="A715" s="8">
        <v>46261</v>
      </c>
      <c r="B715" s="1" t="s">
        <v>112</v>
      </c>
      <c r="C715" s="39" t="s">
        <v>90</v>
      </c>
      <c r="D715" s="7">
        <v>7800</v>
      </c>
      <c r="E715" s="7">
        <f>'Option source'!B833</f>
        <v>905</v>
      </c>
      <c r="F715" s="7">
        <v>6880</v>
      </c>
      <c r="G715" s="14">
        <v>50</v>
      </c>
      <c r="H715" s="7">
        <f t="shared" si="33"/>
        <v>920</v>
      </c>
      <c r="I715" s="7">
        <f t="shared" si="34"/>
        <v>-15</v>
      </c>
      <c r="J715" s="9">
        <f t="shared" si="35"/>
        <v>1.1337209302325582</v>
      </c>
      <c r="K715" s="9"/>
      <c r="L715" s="13"/>
      <c r="M715" s="13"/>
      <c r="N715" s="7">
        <f>'Option source'!C833</f>
        <v>879515.5</v>
      </c>
      <c r="O715" s="7">
        <f>'Option source'!G833</f>
        <v>770</v>
      </c>
      <c r="P715" s="7">
        <f>'Option source'!F833</f>
        <v>910</v>
      </c>
      <c r="Q715" s="1" t="s">
        <v>144</v>
      </c>
      <c r="R715" s="1">
        <v>828</v>
      </c>
    </row>
    <row r="716" spans="1:18" ht="21" customHeight="1">
      <c r="A716" s="8">
        <v>46261</v>
      </c>
      <c r="B716" s="1" t="s">
        <v>110</v>
      </c>
      <c r="C716" s="39" t="s">
        <v>90</v>
      </c>
      <c r="D716" s="7">
        <v>5800</v>
      </c>
      <c r="E716" s="7">
        <f>'Option source'!B643</f>
        <v>52.63</v>
      </c>
      <c r="F716" s="7">
        <v>6880</v>
      </c>
      <c r="G716" s="14">
        <v>50</v>
      </c>
      <c r="H716" s="7">
        <f t="shared" si="33"/>
        <v>0</v>
      </c>
      <c r="I716" s="7">
        <f t="shared" si="34"/>
        <v>52.63</v>
      </c>
      <c r="J716" s="9">
        <f t="shared" si="35"/>
        <v>0.84302325581395354</v>
      </c>
      <c r="K716" s="9">
        <v>0.45070830856232136</v>
      </c>
      <c r="L716" s="13">
        <v>-8.7960813014340111E-2</v>
      </c>
      <c r="M716" s="13">
        <v>4.0651707992821677</v>
      </c>
      <c r="N716" s="7">
        <f>'Option source'!C643</f>
        <v>16303877</v>
      </c>
      <c r="O716" s="7">
        <f>'Option source'!G643</f>
        <v>35</v>
      </c>
      <c r="P716" s="7">
        <f>'Option source'!F643</f>
        <v>68</v>
      </c>
      <c r="Q716" s="1" t="s">
        <v>88</v>
      </c>
      <c r="R716" s="1">
        <v>638</v>
      </c>
    </row>
    <row r="717" spans="1:18" ht="21" customHeight="1">
      <c r="A717" s="8">
        <v>46261</v>
      </c>
      <c r="B717" s="1" t="s">
        <v>116</v>
      </c>
      <c r="C717" s="39" t="s">
        <v>87</v>
      </c>
      <c r="D717" s="7">
        <v>8000</v>
      </c>
      <c r="E717" s="7">
        <f>'Option source'!B358</f>
        <v>151.28</v>
      </c>
      <c r="F717" s="7">
        <v>6880</v>
      </c>
      <c r="G717" s="14">
        <v>50</v>
      </c>
      <c r="H717" s="7">
        <f t="shared" si="33"/>
        <v>0</v>
      </c>
      <c r="I717" s="7">
        <f t="shared" si="34"/>
        <v>151.28</v>
      </c>
      <c r="J717" s="9">
        <f t="shared" si="35"/>
        <v>1.1627906976744187</v>
      </c>
      <c r="K717" s="9">
        <v>0.41002006374962141</v>
      </c>
      <c r="L717" s="13">
        <v>0.25875938688247679</v>
      </c>
      <c r="M717" s="13">
        <v>8.2392587445375831</v>
      </c>
      <c r="N717" s="7">
        <f>'Option source'!C358</f>
        <v>402520192</v>
      </c>
      <c r="O717" s="7">
        <f>'Option source'!G358</f>
        <v>147.02000000000001</v>
      </c>
      <c r="P717" s="7">
        <f>'Option source'!F358</f>
        <v>220</v>
      </c>
      <c r="Q717" s="1" t="s">
        <v>88</v>
      </c>
      <c r="R717" s="1">
        <v>353</v>
      </c>
    </row>
    <row r="718" spans="1:18" ht="21" customHeight="1">
      <c r="A718" s="8">
        <v>46261</v>
      </c>
      <c r="B718" s="1" t="s">
        <v>117</v>
      </c>
      <c r="C718" s="39" t="s">
        <v>90</v>
      </c>
      <c r="D718" s="7">
        <v>8000</v>
      </c>
      <c r="E718" s="7">
        <f>'Option source'!B852</f>
        <v>1127.1400000000001</v>
      </c>
      <c r="F718" s="7">
        <v>6880</v>
      </c>
      <c r="G718" s="14">
        <v>50</v>
      </c>
      <c r="H718" s="7">
        <f t="shared" si="33"/>
        <v>1120</v>
      </c>
      <c r="I718" s="7">
        <f t="shared" si="34"/>
        <v>7.1400000000001</v>
      </c>
      <c r="J718" s="9">
        <f t="shared" si="35"/>
        <v>1.1627906976744187</v>
      </c>
      <c r="K718" s="9">
        <v>0.44258791777693118</v>
      </c>
      <c r="L718" s="13">
        <v>-0.72171440964056299</v>
      </c>
      <c r="M718" s="13">
        <v>8.5462287350182589</v>
      </c>
      <c r="N718" s="7">
        <f>'Option source'!C852</f>
        <v>19368288</v>
      </c>
      <c r="O718" s="7">
        <f>'Option source'!G852</f>
        <v>1055</v>
      </c>
      <c r="P718" s="7">
        <f>'Option source'!F852</f>
        <v>1155</v>
      </c>
      <c r="Q718" s="1" t="s">
        <v>88</v>
      </c>
      <c r="R718" s="1">
        <v>847</v>
      </c>
    </row>
    <row r="719" spans="1:18" ht="21" customHeight="1">
      <c r="A719" s="8">
        <v>46261</v>
      </c>
      <c r="B719" s="1" t="s">
        <v>114</v>
      </c>
      <c r="C719" s="39" t="s">
        <v>87</v>
      </c>
      <c r="D719" s="7">
        <v>5600</v>
      </c>
      <c r="E719" s="7">
        <f>'Option source'!B139</f>
        <v>1490.13</v>
      </c>
      <c r="F719" s="7">
        <v>6880</v>
      </c>
      <c r="G719" s="14">
        <v>50</v>
      </c>
      <c r="H719" s="7">
        <f t="shared" si="33"/>
        <v>1280</v>
      </c>
      <c r="I719" s="7">
        <f t="shared" si="34"/>
        <v>210.13000000000011</v>
      </c>
      <c r="J719" s="9">
        <f t="shared" si="35"/>
        <v>0.81395348837209303</v>
      </c>
      <c r="K719" s="9"/>
      <c r="L719" s="13"/>
      <c r="M719" s="13"/>
      <c r="N719" s="7">
        <f>'Option source'!C139</f>
        <v>2222197.5</v>
      </c>
      <c r="O719" s="7">
        <f>'Option source'!G139</f>
        <v>1599.64</v>
      </c>
      <c r="P719" s="7">
        <f>'Option source'!F139</f>
        <v>1622.66</v>
      </c>
      <c r="Q719" s="1" t="s">
        <v>109</v>
      </c>
      <c r="R719" s="1">
        <v>134</v>
      </c>
    </row>
    <row r="720" spans="1:18" ht="21" customHeight="1">
      <c r="A720" s="8">
        <v>46261</v>
      </c>
      <c r="B720" s="1" t="s">
        <v>115</v>
      </c>
      <c r="C720" s="39" t="s">
        <v>90</v>
      </c>
      <c r="D720" s="7">
        <v>5600</v>
      </c>
      <c r="E720" s="7">
        <f>'Option source'!B624</f>
        <v>30.86</v>
      </c>
      <c r="F720" s="7">
        <v>6880</v>
      </c>
      <c r="G720" s="14">
        <v>50</v>
      </c>
      <c r="H720" s="7">
        <f t="shared" si="33"/>
        <v>0</v>
      </c>
      <c r="I720" s="7">
        <f t="shared" si="34"/>
        <v>30.86</v>
      </c>
      <c r="J720" s="9">
        <f t="shared" si="35"/>
        <v>0.81395348837209303</v>
      </c>
      <c r="K720" s="9">
        <v>0.44537205415155867</v>
      </c>
      <c r="L720" s="13">
        <v>-5.6992723318572414E-2</v>
      </c>
      <c r="M720" s="13">
        <v>2.9133098406873881</v>
      </c>
      <c r="N720" s="7">
        <f>'Option source'!C624</f>
        <v>8374358</v>
      </c>
      <c r="O720" s="7">
        <f>'Option source'!G624</f>
        <v>20.5</v>
      </c>
      <c r="P720" s="7">
        <f>'Option source'!F624</f>
        <v>33</v>
      </c>
      <c r="Q720" s="1" t="s">
        <v>88</v>
      </c>
      <c r="R720" s="1">
        <v>619</v>
      </c>
    </row>
    <row r="721" spans="1:18" ht="21" customHeight="1">
      <c r="A721" s="8">
        <v>46261</v>
      </c>
      <c r="B721" s="1" t="s">
        <v>121</v>
      </c>
      <c r="C721" s="39" t="s">
        <v>87</v>
      </c>
      <c r="D721" s="7">
        <v>8300</v>
      </c>
      <c r="E721" s="7">
        <f>'Option source'!B377</f>
        <v>101.58</v>
      </c>
      <c r="F721" s="7">
        <v>6880</v>
      </c>
      <c r="G721" s="14">
        <v>50</v>
      </c>
      <c r="H721" s="7">
        <f t="shared" si="33"/>
        <v>0</v>
      </c>
      <c r="I721" s="7">
        <f t="shared" si="34"/>
        <v>101.58</v>
      </c>
      <c r="J721" s="9">
        <f t="shared" si="35"/>
        <v>1.2063953488372092</v>
      </c>
      <c r="K721" s="9">
        <v>0.41275082623586545</v>
      </c>
      <c r="L721" s="13">
        <v>0.18865361713669943</v>
      </c>
      <c r="M721" s="13">
        <v>6.8798682064995571</v>
      </c>
      <c r="N721" s="7">
        <f>'Option source'!C377</f>
        <v>69572024</v>
      </c>
      <c r="O721" s="7">
        <f>'Option source'!G377</f>
        <v>101</v>
      </c>
      <c r="P721" s="7">
        <f>'Option source'!F377</f>
        <v>152</v>
      </c>
      <c r="Q721" s="1" t="s">
        <v>88</v>
      </c>
      <c r="R721" s="1">
        <v>372</v>
      </c>
    </row>
    <row r="722" spans="1:18" ht="21" customHeight="1">
      <c r="A722" s="8">
        <v>46261</v>
      </c>
      <c r="B722" s="1" t="s">
        <v>122</v>
      </c>
      <c r="C722" s="39" t="s">
        <v>90</v>
      </c>
      <c r="D722" s="7">
        <v>8300</v>
      </c>
      <c r="E722" s="7">
        <f>'Option source'!B871</f>
        <v>1291.94</v>
      </c>
      <c r="F722" s="7">
        <v>6880</v>
      </c>
      <c r="G722" s="14">
        <v>50</v>
      </c>
      <c r="H722" s="7">
        <f t="shared" si="33"/>
        <v>1420</v>
      </c>
      <c r="I722" s="7">
        <f t="shared" si="34"/>
        <v>-128.05999999999995</v>
      </c>
      <c r="J722" s="9">
        <f t="shared" si="35"/>
        <v>1.2063953488372092</v>
      </c>
      <c r="K722" s="9"/>
      <c r="L722" s="13"/>
      <c r="M722" s="13"/>
      <c r="N722" s="7">
        <f>'Option source'!C871</f>
        <v>2470367</v>
      </c>
      <c r="O722" s="7">
        <f>'Option source'!G871</f>
        <v>1240</v>
      </c>
      <c r="P722" s="7">
        <f>'Option source'!F871</f>
        <v>1437.33</v>
      </c>
      <c r="Q722" s="1" t="s">
        <v>144</v>
      </c>
      <c r="R722" s="1">
        <v>866</v>
      </c>
    </row>
    <row r="723" spans="1:18" ht="21" customHeight="1">
      <c r="A723" s="8">
        <v>46261</v>
      </c>
      <c r="B723" s="1" t="s">
        <v>119</v>
      </c>
      <c r="C723" s="39" t="s">
        <v>87</v>
      </c>
      <c r="D723" s="7">
        <v>5400</v>
      </c>
      <c r="E723" s="7">
        <f>'Option source'!B121</f>
        <v>1790.79</v>
      </c>
      <c r="F723" s="7">
        <v>6880</v>
      </c>
      <c r="G723" s="14">
        <v>50</v>
      </c>
      <c r="H723" s="7">
        <f t="shared" si="33"/>
        <v>1480</v>
      </c>
      <c r="I723" s="7">
        <f t="shared" si="34"/>
        <v>310.78999999999996</v>
      </c>
      <c r="J723" s="9">
        <f t="shared" si="35"/>
        <v>0.78488372093023251</v>
      </c>
      <c r="K723" s="9">
        <v>0.67107029195545587</v>
      </c>
      <c r="L723" s="13">
        <v>0.89704054759302676</v>
      </c>
      <c r="M723" s="13">
        <v>4.5648397406130643</v>
      </c>
      <c r="N723" s="7">
        <f>'Option source'!C121</f>
        <v>3942097.5</v>
      </c>
      <c r="O723" s="7">
        <f>'Option source'!G121</f>
        <v>1778.33</v>
      </c>
      <c r="P723" s="7">
        <f>'Option source'!F121</f>
        <v>1803.24</v>
      </c>
      <c r="Q723" s="1" t="s">
        <v>88</v>
      </c>
      <c r="R723" s="1">
        <v>116</v>
      </c>
    </row>
    <row r="724" spans="1:18" ht="21" customHeight="1">
      <c r="A724" s="8">
        <v>46261</v>
      </c>
      <c r="B724" s="1" t="s">
        <v>120</v>
      </c>
      <c r="C724" s="39" t="s">
        <v>90</v>
      </c>
      <c r="D724" s="7">
        <v>5400</v>
      </c>
      <c r="E724" s="7">
        <f>'Option source'!B605</f>
        <v>18.93</v>
      </c>
      <c r="F724" s="7">
        <v>6880</v>
      </c>
      <c r="G724" s="14">
        <v>50</v>
      </c>
      <c r="H724" s="7">
        <f t="shared" si="33"/>
        <v>0</v>
      </c>
      <c r="I724" s="7">
        <f t="shared" si="34"/>
        <v>18.93</v>
      </c>
      <c r="J724" s="9">
        <f t="shared" si="35"/>
        <v>0.78488372093023251</v>
      </c>
      <c r="K724" s="9">
        <v>0.45022145315326456</v>
      </c>
      <c r="L724" s="13">
        <v>-3.7249258049188549E-2</v>
      </c>
      <c r="M724" s="13">
        <v>2.0705647101975835</v>
      </c>
      <c r="N724" s="7">
        <f>'Option source'!C605</f>
        <v>5949093</v>
      </c>
      <c r="O724" s="7">
        <f>'Option source'!G605</f>
        <v>13</v>
      </c>
      <c r="P724" s="7">
        <f>'Option source'!F605</f>
        <v>19.97</v>
      </c>
      <c r="Q724" s="1" t="s">
        <v>88</v>
      </c>
      <c r="R724" s="1">
        <v>600</v>
      </c>
    </row>
    <row r="725" spans="1:18" ht="21" customHeight="1">
      <c r="A725" s="8">
        <v>46261</v>
      </c>
      <c r="B725" s="1" t="s">
        <v>123</v>
      </c>
      <c r="C725" s="39" t="s">
        <v>87</v>
      </c>
      <c r="D725" s="7">
        <v>5200</v>
      </c>
      <c r="E725" s="7">
        <f>'Option source'!B102</f>
        <v>1861.9</v>
      </c>
      <c r="F725" s="7">
        <v>6880</v>
      </c>
      <c r="G725" s="14">
        <v>50</v>
      </c>
      <c r="H725" s="7">
        <f t="shared" si="33"/>
        <v>1680</v>
      </c>
      <c r="I725" s="7">
        <f t="shared" si="34"/>
        <v>181.90000000000009</v>
      </c>
      <c r="J725" s="9">
        <f t="shared" si="35"/>
        <v>0.7558139534883721</v>
      </c>
      <c r="K725" s="9"/>
      <c r="L725" s="13"/>
      <c r="M725" s="13"/>
      <c r="N725" s="7">
        <f>'Option source'!C102</f>
        <v>11232893</v>
      </c>
      <c r="O725" s="7">
        <f>'Option source'!G102</f>
        <v>1858.73</v>
      </c>
      <c r="P725" s="7">
        <f>'Option source'!F102</f>
        <v>2040.3</v>
      </c>
      <c r="Q725" s="1" t="s">
        <v>100</v>
      </c>
      <c r="R725" s="1">
        <v>97</v>
      </c>
    </row>
    <row r="726" spans="1:18" ht="21" customHeight="1">
      <c r="A726" s="8">
        <v>46261</v>
      </c>
      <c r="B726" s="1" t="s">
        <v>124</v>
      </c>
      <c r="C726" s="39" t="s">
        <v>90</v>
      </c>
      <c r="D726" s="7">
        <v>5200</v>
      </c>
      <c r="E726" s="7">
        <f>'Option source'!B586</f>
        <v>12.17</v>
      </c>
      <c r="F726" s="7">
        <v>6880</v>
      </c>
      <c r="G726" s="14">
        <v>50</v>
      </c>
      <c r="H726" s="7">
        <f t="shared" si="33"/>
        <v>0</v>
      </c>
      <c r="I726" s="7">
        <f t="shared" si="34"/>
        <v>12.17</v>
      </c>
      <c r="J726" s="9">
        <f t="shared" si="35"/>
        <v>0.7558139534883721</v>
      </c>
      <c r="K726" s="9">
        <v>0.4618824110530233</v>
      </c>
      <c r="L726" s="13">
        <v>-2.4791704300282991E-2</v>
      </c>
      <c r="M726" s="13">
        <v>1.4778413548371754</v>
      </c>
      <c r="N726" s="7">
        <f>'Option source'!C586</f>
        <v>1178529.1200000001</v>
      </c>
      <c r="O726" s="7">
        <f>'Option source'!G586</f>
        <v>9</v>
      </c>
      <c r="P726" s="7">
        <f>'Option source'!F586</f>
        <v>13</v>
      </c>
      <c r="Q726" s="1" t="s">
        <v>88</v>
      </c>
      <c r="R726" s="1">
        <v>581</v>
      </c>
    </row>
    <row r="727" spans="1:18" ht="21" customHeight="1">
      <c r="A727" s="8">
        <v>46261</v>
      </c>
      <c r="B727" s="1" t="s">
        <v>127</v>
      </c>
      <c r="C727" s="39" t="s">
        <v>87</v>
      </c>
      <c r="D727" s="7">
        <v>8600</v>
      </c>
      <c r="E727" s="7">
        <f>'Option source'!B396</f>
        <v>68.22</v>
      </c>
      <c r="F727" s="7">
        <v>6880</v>
      </c>
      <c r="G727" s="14">
        <v>50</v>
      </c>
      <c r="H727" s="7">
        <f t="shared" si="33"/>
        <v>0</v>
      </c>
      <c r="I727" s="7">
        <f t="shared" si="34"/>
        <v>68.22</v>
      </c>
      <c r="J727" s="9">
        <f t="shared" si="35"/>
        <v>1.25</v>
      </c>
      <c r="K727" s="9">
        <v>0.41757707175637349</v>
      </c>
      <c r="L727" s="13">
        <v>0.13552932434461976</v>
      </c>
      <c r="M727" s="13">
        <v>5.5435615793101327</v>
      </c>
      <c r="N727" s="7">
        <f>'Option source'!C396</f>
        <v>113202264</v>
      </c>
      <c r="O727" s="7">
        <f>'Option source'!G396</f>
        <v>66.099999999999994</v>
      </c>
      <c r="P727" s="7">
        <f>'Option source'!F396</f>
        <v>110</v>
      </c>
      <c r="Q727" s="1" t="s">
        <v>88</v>
      </c>
      <c r="R727" s="1">
        <v>391</v>
      </c>
    </row>
    <row r="728" spans="1:18" ht="21" customHeight="1">
      <c r="A728" s="8">
        <v>46261</v>
      </c>
      <c r="B728" s="1" t="s">
        <v>128</v>
      </c>
      <c r="C728" s="39" t="s">
        <v>90</v>
      </c>
      <c r="D728" s="7">
        <v>8600</v>
      </c>
      <c r="E728" s="7">
        <f>'Option source'!B890</f>
        <v>1725</v>
      </c>
      <c r="F728" s="7">
        <v>6880</v>
      </c>
      <c r="G728" s="14">
        <v>50</v>
      </c>
      <c r="H728" s="7">
        <f t="shared" si="33"/>
        <v>1720</v>
      </c>
      <c r="I728" s="7">
        <f t="shared" si="34"/>
        <v>5</v>
      </c>
      <c r="J728" s="9">
        <f t="shared" si="35"/>
        <v>1.25</v>
      </c>
      <c r="K728" s="9"/>
      <c r="L728" s="13"/>
      <c r="M728" s="13"/>
      <c r="N728" s="7">
        <f>'Option source'!C890</f>
        <v>4265179.5</v>
      </c>
      <c r="O728" s="7">
        <f>'Option source'!G890</f>
        <v>1515</v>
      </c>
      <c r="P728" s="7">
        <f>'Option source'!F890</f>
        <v>1722.5</v>
      </c>
      <c r="Q728" s="1" t="s">
        <v>109</v>
      </c>
      <c r="R728" s="1">
        <v>885</v>
      </c>
    </row>
    <row r="729" spans="1:18" ht="21" customHeight="1">
      <c r="A729" s="8">
        <v>46261</v>
      </c>
      <c r="B729" s="1" t="s">
        <v>125</v>
      </c>
      <c r="C729" s="39" t="s">
        <v>87</v>
      </c>
      <c r="D729" s="7">
        <v>5000</v>
      </c>
      <c r="E729" s="7">
        <f>'Option source'!B83</f>
        <v>2030</v>
      </c>
      <c r="F729" s="7">
        <v>6880</v>
      </c>
      <c r="G729" s="14">
        <v>50</v>
      </c>
      <c r="H729" s="7">
        <f t="shared" si="33"/>
        <v>1880</v>
      </c>
      <c r="I729" s="7">
        <f t="shared" si="34"/>
        <v>150</v>
      </c>
      <c r="J729" s="9">
        <f t="shared" si="35"/>
        <v>0.72674418604651159</v>
      </c>
      <c r="K729" s="9"/>
      <c r="L729" s="13"/>
      <c r="M729" s="13"/>
      <c r="N729" s="7">
        <f>'Option source'!C83</f>
        <v>812264.19</v>
      </c>
      <c r="O729" s="7">
        <f>'Option source'!G83</f>
        <v>2031.32</v>
      </c>
      <c r="P729" s="7">
        <f>'Option source'!F83</f>
        <v>2031.32</v>
      </c>
      <c r="Q729" s="1" t="s">
        <v>109</v>
      </c>
      <c r="R729" s="1">
        <v>78</v>
      </c>
    </row>
    <row r="730" spans="1:18" ht="21" customHeight="1">
      <c r="A730" s="8">
        <v>46261</v>
      </c>
      <c r="B730" s="1" t="s">
        <v>126</v>
      </c>
      <c r="C730" s="39" t="s">
        <v>90</v>
      </c>
      <c r="D730" s="7">
        <v>5000</v>
      </c>
      <c r="E730" s="7">
        <f>'Option source'!B567</f>
        <v>7.94</v>
      </c>
      <c r="F730" s="7">
        <v>6880</v>
      </c>
      <c r="G730" s="14">
        <v>50</v>
      </c>
      <c r="H730" s="7">
        <f t="shared" si="33"/>
        <v>0</v>
      </c>
      <c r="I730" s="7">
        <f t="shared" si="34"/>
        <v>7.94</v>
      </c>
      <c r="J730" s="9">
        <f t="shared" si="35"/>
        <v>0.72674418604651159</v>
      </c>
      <c r="K730" s="9">
        <v>0.47696047872985659</v>
      </c>
      <c r="L730" s="13">
        <v>-1.662156756843336E-2</v>
      </c>
      <c r="M730" s="13">
        <v>1.0530821065365794</v>
      </c>
      <c r="N730" s="7">
        <f>'Option source'!C567</f>
        <v>7357288.5</v>
      </c>
      <c r="O730" s="7">
        <f>'Option source'!G567</f>
        <v>5</v>
      </c>
      <c r="P730" s="7">
        <f>'Option source'!F567</f>
        <v>10</v>
      </c>
      <c r="Q730" s="1" t="s">
        <v>88</v>
      </c>
      <c r="R730" s="1">
        <v>562</v>
      </c>
    </row>
    <row r="731" spans="1:18" ht="21" customHeight="1">
      <c r="A731" s="8">
        <v>46261</v>
      </c>
      <c r="B731" s="1" t="s">
        <v>132</v>
      </c>
      <c r="C731" s="39" t="s">
        <v>87</v>
      </c>
      <c r="D731" s="7">
        <v>8900</v>
      </c>
      <c r="E731" s="7">
        <f>'Option source'!B415</f>
        <v>45.5</v>
      </c>
      <c r="F731" s="7">
        <v>6880</v>
      </c>
      <c r="G731" s="14">
        <v>50</v>
      </c>
      <c r="H731" s="7">
        <f t="shared" si="33"/>
        <v>0</v>
      </c>
      <c r="I731" s="7">
        <f t="shared" si="34"/>
        <v>45.5</v>
      </c>
      <c r="J731" s="9">
        <f t="shared" si="35"/>
        <v>1.2936046511627908</v>
      </c>
      <c r="K731" s="9">
        <v>0.42253585003491823</v>
      </c>
      <c r="L731" s="13">
        <v>9.5921961767953964E-2</v>
      </c>
      <c r="M731" s="13">
        <v>4.3345942598740335</v>
      </c>
      <c r="N731" s="7">
        <f>'Option source'!C415</f>
        <v>19775222</v>
      </c>
      <c r="O731" s="7">
        <f>'Option source'!G415</f>
        <v>44</v>
      </c>
      <c r="P731" s="7">
        <f>'Option source'!F415</f>
        <v>69</v>
      </c>
      <c r="Q731" s="1" t="s">
        <v>88</v>
      </c>
      <c r="R731" s="1">
        <v>410</v>
      </c>
    </row>
    <row r="732" spans="1:18" ht="21" customHeight="1">
      <c r="A732" s="8">
        <v>46261</v>
      </c>
      <c r="B732" s="1" t="s">
        <v>133</v>
      </c>
      <c r="C732" s="39" t="s">
        <v>90</v>
      </c>
      <c r="D732" s="7">
        <v>8900</v>
      </c>
      <c r="E732" s="7">
        <f>'Option source'!B905</f>
        <v>2022.5</v>
      </c>
      <c r="F732" s="7">
        <v>6880</v>
      </c>
      <c r="G732" s="14">
        <v>50</v>
      </c>
      <c r="H732" s="7">
        <f t="shared" si="33"/>
        <v>2020</v>
      </c>
      <c r="I732" s="7">
        <f t="shared" si="34"/>
        <v>2.5</v>
      </c>
      <c r="J732" s="9">
        <f t="shared" si="35"/>
        <v>1.2936046511627908</v>
      </c>
      <c r="K732" s="9">
        <v>0.61681297273328517</v>
      </c>
      <c r="L732" s="13">
        <v>-0.79771361977772026</v>
      </c>
      <c r="M732" s="13">
        <v>7.1777189827655477</v>
      </c>
      <c r="N732" s="7">
        <f>'Option source'!C905</f>
        <v>2430033.5</v>
      </c>
      <c r="O732" s="7">
        <f>'Option source'!G905</f>
        <v>2022.5</v>
      </c>
      <c r="P732" s="7">
        <f>'Option source'!F905</f>
        <v>2037.67</v>
      </c>
      <c r="Q732" s="1" t="s">
        <v>88</v>
      </c>
      <c r="R732" s="1">
        <v>900</v>
      </c>
    </row>
    <row r="733" spans="1:18" ht="21" customHeight="1">
      <c r="A733" s="8">
        <v>46261</v>
      </c>
      <c r="B733" s="1" t="s">
        <v>129</v>
      </c>
      <c r="C733" s="39" t="s">
        <v>87</v>
      </c>
      <c r="D733" s="7">
        <v>4800</v>
      </c>
      <c r="E733" s="7">
        <f>'Option source'!B66</f>
        <v>2186.6</v>
      </c>
      <c r="F733" s="7">
        <v>6880</v>
      </c>
      <c r="G733" s="14">
        <v>50</v>
      </c>
      <c r="H733" s="7">
        <f t="shared" si="33"/>
        <v>2080</v>
      </c>
      <c r="I733" s="7">
        <f t="shared" si="34"/>
        <v>106.59999999999991</v>
      </c>
      <c r="J733" s="9">
        <f t="shared" si="35"/>
        <v>0.69767441860465118</v>
      </c>
      <c r="K733" s="9"/>
      <c r="L733" s="13"/>
      <c r="M733" s="13"/>
      <c r="N733" s="7">
        <f>'Option source'!C66</f>
        <v>692810.38</v>
      </c>
      <c r="O733" s="7">
        <f>'Option source'!G66</f>
        <v>2370.75</v>
      </c>
      <c r="P733" s="7">
        <f>'Option source'!F66</f>
        <v>2370.75</v>
      </c>
      <c r="Q733" s="1" t="s">
        <v>109</v>
      </c>
      <c r="R733" s="1">
        <v>61</v>
      </c>
    </row>
    <row r="734" spans="1:18" ht="21" customHeight="1">
      <c r="A734" s="8">
        <v>46261</v>
      </c>
      <c r="B734" s="1" t="s">
        <v>131</v>
      </c>
      <c r="C734" s="39" t="s">
        <v>90</v>
      </c>
      <c r="D734" s="7">
        <v>4800</v>
      </c>
      <c r="E734" s="7">
        <f>'Option source'!B548</f>
        <v>5.67</v>
      </c>
      <c r="F734" s="7">
        <v>6880</v>
      </c>
      <c r="G734" s="14">
        <v>50</v>
      </c>
      <c r="H734" s="7">
        <f t="shared" si="33"/>
        <v>0</v>
      </c>
      <c r="I734" s="7">
        <f t="shared" si="34"/>
        <v>5.67</v>
      </c>
      <c r="J734" s="9">
        <f t="shared" si="35"/>
        <v>0.69767441860465118</v>
      </c>
      <c r="K734" s="9">
        <v>0.49941704944213539</v>
      </c>
      <c r="L734" s="13">
        <v>-1.1837312561539193E-2</v>
      </c>
      <c r="M734" s="13">
        <v>0.78597654992336663</v>
      </c>
      <c r="N734" s="7">
        <f>'Option source'!C548</f>
        <v>317883</v>
      </c>
      <c r="O734" s="7">
        <f>'Option source'!G548</f>
        <v>3.81</v>
      </c>
      <c r="P734" s="7">
        <f>'Option source'!F548</f>
        <v>6.35</v>
      </c>
      <c r="Q734" s="1" t="s">
        <v>88</v>
      </c>
      <c r="R734" s="1">
        <v>543</v>
      </c>
    </row>
    <row r="735" spans="1:18" ht="21" customHeight="1">
      <c r="A735" s="8">
        <v>46261</v>
      </c>
      <c r="B735" s="1" t="s">
        <v>134</v>
      </c>
      <c r="C735" s="39" t="s">
        <v>87</v>
      </c>
      <c r="D735" s="7">
        <v>4600</v>
      </c>
      <c r="E735" s="7">
        <f>'Option source'!B49</f>
        <v>2400.31</v>
      </c>
      <c r="F735" s="7">
        <v>6880</v>
      </c>
      <c r="G735" s="14">
        <v>50</v>
      </c>
      <c r="H735" s="7">
        <f t="shared" si="33"/>
        <v>2280</v>
      </c>
      <c r="I735" s="7">
        <f t="shared" si="34"/>
        <v>120.30999999999995</v>
      </c>
      <c r="J735" s="9">
        <f t="shared" si="35"/>
        <v>0.66860465116279066</v>
      </c>
      <c r="K735" s="9"/>
      <c r="L735" s="13"/>
      <c r="M735" s="13"/>
      <c r="N735" s="7">
        <f>'Option source'!C49</f>
        <v>240031</v>
      </c>
      <c r="O735" s="7">
        <f>'Option source'!G49</f>
        <v>0</v>
      </c>
      <c r="P735" s="7">
        <f>'Option source'!F49</f>
        <v>0</v>
      </c>
      <c r="Q735" s="1" t="s">
        <v>109</v>
      </c>
      <c r="R735" s="1">
        <v>44</v>
      </c>
    </row>
    <row r="736" spans="1:18" ht="21" customHeight="1">
      <c r="A736" s="8">
        <v>46261</v>
      </c>
      <c r="B736" s="1" t="s">
        <v>135</v>
      </c>
      <c r="C736" s="39" t="s">
        <v>90</v>
      </c>
      <c r="D736" s="7">
        <v>4600</v>
      </c>
      <c r="E736" s="7">
        <f>'Option source'!B529</f>
        <v>4.04</v>
      </c>
      <c r="F736" s="7">
        <v>6880</v>
      </c>
      <c r="G736" s="14">
        <v>50</v>
      </c>
      <c r="H736" s="7">
        <f t="shared" si="33"/>
        <v>0</v>
      </c>
      <c r="I736" s="7">
        <f t="shared" si="34"/>
        <v>4.04</v>
      </c>
      <c r="J736" s="9">
        <f t="shared" si="35"/>
        <v>0.66860465116279066</v>
      </c>
      <c r="K736" s="9">
        <v>0.52235381777530332</v>
      </c>
      <c r="L736" s="13">
        <v>-8.3905768602778874E-3</v>
      </c>
      <c r="M736" s="13">
        <v>0.58203121691448478</v>
      </c>
      <c r="N736" s="7">
        <f>'Option source'!C529</f>
        <v>791611.81</v>
      </c>
      <c r="O736" s="7">
        <f>'Option source'!G529</f>
        <v>2</v>
      </c>
      <c r="P736" s="7">
        <f>'Option source'!F529</f>
        <v>4.9000000000000004</v>
      </c>
      <c r="Q736" s="1" t="s">
        <v>88</v>
      </c>
      <c r="R736" s="1">
        <v>524</v>
      </c>
    </row>
    <row r="737" spans="1:18" ht="21" customHeight="1">
      <c r="A737" s="8">
        <v>46261</v>
      </c>
      <c r="B737" s="1" t="s">
        <v>138</v>
      </c>
      <c r="C737" s="39" t="s">
        <v>87</v>
      </c>
      <c r="D737" s="7">
        <v>9200</v>
      </c>
      <c r="E737" s="7">
        <f>'Option source'!B434</f>
        <v>30.1</v>
      </c>
      <c r="F737" s="7">
        <v>6880</v>
      </c>
      <c r="G737" s="14">
        <v>50</v>
      </c>
      <c r="H737" s="7">
        <f t="shared" si="33"/>
        <v>0</v>
      </c>
      <c r="I737" s="7">
        <f t="shared" si="34"/>
        <v>30.1</v>
      </c>
      <c r="J737" s="9">
        <f t="shared" si="35"/>
        <v>1.3372093023255813</v>
      </c>
      <c r="K737" s="9">
        <v>0.42720361044155708</v>
      </c>
      <c r="L737" s="13">
        <v>6.6958040174980027E-2</v>
      </c>
      <c r="M737" s="13">
        <v>3.3037981738193256</v>
      </c>
      <c r="N737" s="7">
        <f>'Option source'!C434</f>
        <v>12357319</v>
      </c>
      <c r="O737" s="7">
        <f>'Option source'!G434</f>
        <v>29.85</v>
      </c>
      <c r="P737" s="7">
        <f>'Option source'!F434</f>
        <v>49.5</v>
      </c>
      <c r="Q737" s="1" t="s">
        <v>88</v>
      </c>
      <c r="R737" s="1">
        <v>429</v>
      </c>
    </row>
    <row r="738" spans="1:18" ht="21" customHeight="1">
      <c r="A738" s="8">
        <v>46261</v>
      </c>
      <c r="B738" s="1" t="s">
        <v>136</v>
      </c>
      <c r="C738" s="39" t="s">
        <v>87</v>
      </c>
      <c r="D738" s="7">
        <v>4400</v>
      </c>
      <c r="E738" s="7">
        <f>'Option source'!B30</f>
        <v>2387.12</v>
      </c>
      <c r="F738" s="7">
        <v>6880</v>
      </c>
      <c r="G738" s="14">
        <v>50</v>
      </c>
      <c r="H738" s="7">
        <f t="shared" si="33"/>
        <v>2480</v>
      </c>
      <c r="I738" s="7">
        <f t="shared" si="34"/>
        <v>-92.880000000000109</v>
      </c>
      <c r="J738" s="9">
        <f t="shared" si="35"/>
        <v>0.63953488372093026</v>
      </c>
      <c r="K738" s="9"/>
      <c r="L738" s="13"/>
      <c r="M738" s="13"/>
      <c r="N738" s="7">
        <f>'Option source'!C30</f>
        <v>0</v>
      </c>
      <c r="O738" s="7">
        <f>'Option source'!G30</f>
        <v>2366.48</v>
      </c>
      <c r="P738" s="7">
        <f>'Option source'!F30</f>
        <v>2376.5</v>
      </c>
      <c r="Q738" s="1" t="s">
        <v>145</v>
      </c>
      <c r="R738" s="1">
        <v>25</v>
      </c>
    </row>
    <row r="739" spans="1:18" ht="21" customHeight="1">
      <c r="A739" s="8">
        <v>46261</v>
      </c>
      <c r="B739" s="1" t="s">
        <v>137</v>
      </c>
      <c r="C739" s="39" t="s">
        <v>90</v>
      </c>
      <c r="D739" s="7">
        <v>4400</v>
      </c>
      <c r="E739" s="7">
        <f>'Option source'!B510</f>
        <v>3.03</v>
      </c>
      <c r="F739" s="7">
        <v>6880</v>
      </c>
      <c r="G739" s="14">
        <v>50</v>
      </c>
      <c r="H739" s="7">
        <f t="shared" si="33"/>
        <v>0</v>
      </c>
      <c r="I739" s="7">
        <f t="shared" si="34"/>
        <v>3.03</v>
      </c>
      <c r="J739" s="9">
        <f t="shared" si="35"/>
        <v>0.63953488372093026</v>
      </c>
      <c r="K739" s="9">
        <v>0.54942502606768184</v>
      </c>
      <c r="L739" s="13">
        <v>-6.1746219662321966E-3</v>
      </c>
      <c r="M739" s="13">
        <v>0.4441092812103109</v>
      </c>
      <c r="N739" s="7">
        <f>'Option source'!C510</f>
        <v>736744.38</v>
      </c>
      <c r="O739" s="7">
        <f>'Option source'!G510</f>
        <v>1.1000000000000001</v>
      </c>
      <c r="P739" s="7">
        <f>'Option source'!F510</f>
        <v>3.8</v>
      </c>
      <c r="Q739" s="1" t="s">
        <v>88</v>
      </c>
      <c r="R739" s="1">
        <v>505</v>
      </c>
    </row>
    <row r="740" spans="1:18" ht="21" customHeight="1">
      <c r="A740" s="8">
        <v>46261</v>
      </c>
      <c r="B740" s="1" t="s">
        <v>142</v>
      </c>
      <c r="C740" s="39" t="s">
        <v>87</v>
      </c>
      <c r="D740" s="7">
        <v>9500</v>
      </c>
      <c r="E740" s="7">
        <f>'Option source'!B453</f>
        <v>19.97</v>
      </c>
      <c r="F740" s="7">
        <v>6880</v>
      </c>
      <c r="G740" s="14">
        <v>50</v>
      </c>
      <c r="H740" s="7">
        <f t="shared" si="33"/>
        <v>0</v>
      </c>
      <c r="I740" s="7">
        <f t="shared" si="34"/>
        <v>19.97</v>
      </c>
      <c r="J740" s="9">
        <f t="shared" si="35"/>
        <v>1.3808139534883721</v>
      </c>
      <c r="K740" s="9">
        <v>0.43236826873102541</v>
      </c>
      <c r="L740" s="13">
        <v>4.6522339207577312E-2</v>
      </c>
      <c r="M740" s="13">
        <v>2.4790663072862578</v>
      </c>
      <c r="N740" s="7">
        <f>'Option source'!C453</f>
        <v>6997222.5</v>
      </c>
      <c r="O740" s="7">
        <f>'Option source'!G453</f>
        <v>19.04</v>
      </c>
      <c r="P740" s="7">
        <f>'Option source'!F453</f>
        <v>30</v>
      </c>
      <c r="Q740" s="1" t="s">
        <v>88</v>
      </c>
      <c r="R740" s="1">
        <v>448</v>
      </c>
    </row>
    <row r="741" spans="1:18" ht="21" customHeight="1">
      <c r="A741" s="8">
        <v>46261</v>
      </c>
      <c r="B741" s="1" t="s">
        <v>140</v>
      </c>
      <c r="C741" s="39" t="s">
        <v>87</v>
      </c>
      <c r="D741" s="7">
        <v>4200</v>
      </c>
      <c r="E741" s="7">
        <f>'Option source'!B11</f>
        <v>2815</v>
      </c>
      <c r="F741" s="7">
        <v>6880</v>
      </c>
      <c r="G741" s="14">
        <v>50</v>
      </c>
      <c r="H741" s="7">
        <f t="shared" si="33"/>
        <v>2680</v>
      </c>
      <c r="I741" s="7">
        <f t="shared" si="34"/>
        <v>135</v>
      </c>
      <c r="J741" s="9">
        <f t="shared" si="35"/>
        <v>0.61046511627906974</v>
      </c>
      <c r="K741" s="9"/>
      <c r="L741" s="13"/>
      <c r="M741" s="13"/>
      <c r="N741" s="7">
        <f>'Option source'!C11</f>
        <v>3711634</v>
      </c>
      <c r="O741" s="7">
        <f>'Option source'!G11</f>
        <v>2777.9</v>
      </c>
      <c r="P741" s="7">
        <f>'Option source'!F11</f>
        <v>2957.26</v>
      </c>
      <c r="Q741" s="1" t="s">
        <v>100</v>
      </c>
      <c r="R741" s="1">
        <v>6</v>
      </c>
    </row>
    <row r="742" spans="1:18" ht="21" customHeight="1">
      <c r="A742" s="8">
        <v>46261</v>
      </c>
      <c r="B742" s="1" t="s">
        <v>141</v>
      </c>
      <c r="C742" s="39" t="s">
        <v>90</v>
      </c>
      <c r="D742" s="7">
        <v>4200</v>
      </c>
      <c r="E742" s="7">
        <f>'Option source'!B491</f>
        <v>2.86</v>
      </c>
      <c r="F742" s="7">
        <v>6880</v>
      </c>
      <c r="G742" s="14">
        <v>50</v>
      </c>
      <c r="H742" s="7">
        <f t="shared" si="33"/>
        <v>0</v>
      </c>
      <c r="I742" s="7">
        <f t="shared" si="34"/>
        <v>2.86</v>
      </c>
      <c r="J742" s="9">
        <f t="shared" si="35"/>
        <v>0.61046511627906974</v>
      </c>
      <c r="K742" s="9">
        <v>0.59376969838660743</v>
      </c>
      <c r="L742" s="13">
        <v>-5.501117101572528E-3</v>
      </c>
      <c r="M742" s="13">
        <v>0.40085714784508641</v>
      </c>
      <c r="N742" s="7">
        <f>'Option source'!C491</f>
        <v>364776.19</v>
      </c>
      <c r="O742" s="7">
        <f>'Option source'!G491</f>
        <v>1.7</v>
      </c>
      <c r="P742" s="7">
        <f>'Option source'!F491</f>
        <v>3.2</v>
      </c>
      <c r="Q742" s="1" t="s">
        <v>88</v>
      </c>
      <c r="R742" s="1">
        <v>486</v>
      </c>
    </row>
    <row r="743" spans="1:18" ht="21" customHeight="1">
      <c r="A743" s="8">
        <v>46261</v>
      </c>
      <c r="B743" s="1" t="s">
        <v>143</v>
      </c>
      <c r="C743" s="39" t="s">
        <v>87</v>
      </c>
      <c r="D743" s="7">
        <v>9900</v>
      </c>
      <c r="E743" s="7">
        <f>'Option source'!B472</f>
        <v>12.25</v>
      </c>
      <c r="F743" s="7">
        <v>6880</v>
      </c>
      <c r="G743" s="14">
        <v>50</v>
      </c>
      <c r="H743" s="7">
        <f t="shared" si="33"/>
        <v>0</v>
      </c>
      <c r="I743" s="7">
        <f t="shared" si="34"/>
        <v>12.25</v>
      </c>
      <c r="J743" s="9">
        <f t="shared" si="35"/>
        <v>1.4389534883720929</v>
      </c>
      <c r="K743" s="9">
        <v>0.44330522006330675</v>
      </c>
      <c r="L743" s="13">
        <v>2.968230355859313E-2</v>
      </c>
      <c r="M743" s="13">
        <v>1.7173875360670294</v>
      </c>
      <c r="N743" s="7">
        <f>'Option source'!C472</f>
        <v>1504077.38</v>
      </c>
      <c r="O743" s="7">
        <f>'Option source'!G472</f>
        <v>11.56</v>
      </c>
      <c r="P743" s="7">
        <f>'Option source'!F472</f>
        <v>18.670000000000002</v>
      </c>
      <c r="Q743" s="1" t="s">
        <v>88</v>
      </c>
      <c r="R743" s="1">
        <v>467</v>
      </c>
    </row>
    <row r="744" spans="1:18" ht="21" customHeight="1">
      <c r="A744" s="8">
        <v>46260</v>
      </c>
      <c r="B744" s="1" t="s">
        <v>93</v>
      </c>
      <c r="C744" s="39" t="s">
        <v>87</v>
      </c>
      <c r="D744" s="7">
        <v>7000</v>
      </c>
      <c r="E744" s="7">
        <f>'Option source'!B262</f>
        <v>565.70000000000005</v>
      </c>
      <c r="F744" s="7">
        <v>7045</v>
      </c>
      <c r="G744" s="14">
        <v>51</v>
      </c>
      <c r="H744" s="7">
        <f t="shared" si="33"/>
        <v>45</v>
      </c>
      <c r="I744" s="7">
        <f t="shared" si="34"/>
        <v>520.70000000000005</v>
      </c>
      <c r="J744" s="9">
        <f t="shared" si="35"/>
        <v>0.99361249112845995</v>
      </c>
      <c r="K744" s="9">
        <v>0.36729782545888545</v>
      </c>
      <c r="L744" s="13">
        <v>0.66298778882997722</v>
      </c>
      <c r="M744" s="13">
        <v>9.6163382237998842</v>
      </c>
      <c r="N744" s="7">
        <f>'Option source'!C262</f>
        <v>228865776</v>
      </c>
      <c r="O744" s="7">
        <f>'Option source'!G262</f>
        <v>555</v>
      </c>
      <c r="P744" s="7">
        <f>'Option source'!F262</f>
        <v>800</v>
      </c>
      <c r="Q744" s="1" t="s">
        <v>88</v>
      </c>
      <c r="R744" s="1">
        <v>257</v>
      </c>
    </row>
    <row r="745" spans="1:18" ht="21" customHeight="1">
      <c r="A745" s="8">
        <v>46260</v>
      </c>
      <c r="B745" s="1" t="s">
        <v>94</v>
      </c>
      <c r="C745" s="39" t="s">
        <v>90</v>
      </c>
      <c r="D745" s="7">
        <v>7000</v>
      </c>
      <c r="E745" s="7">
        <f>'Option source'!B756</f>
        <v>344.64</v>
      </c>
      <c r="F745" s="7">
        <v>7045</v>
      </c>
      <c r="G745" s="14">
        <v>51</v>
      </c>
      <c r="H745" s="7">
        <f t="shared" si="33"/>
        <v>0</v>
      </c>
      <c r="I745" s="7">
        <f t="shared" si="34"/>
        <v>344.64</v>
      </c>
      <c r="J745" s="9">
        <f t="shared" si="35"/>
        <v>0.99361249112845995</v>
      </c>
      <c r="K745" s="9">
        <v>0.45301121872869232</v>
      </c>
      <c r="L745" s="13">
        <v>-0.35567154011521485</v>
      </c>
      <c r="M745" s="13">
        <v>9.8105591785448159</v>
      </c>
      <c r="N745" s="7">
        <f>'Option source'!C756</f>
        <v>112670816</v>
      </c>
      <c r="O745" s="7">
        <f>'Option source'!G756</f>
        <v>280</v>
      </c>
      <c r="P745" s="7">
        <f>'Option source'!F756</f>
        <v>370</v>
      </c>
      <c r="Q745" s="1" t="s">
        <v>88</v>
      </c>
      <c r="R745" s="1">
        <v>751</v>
      </c>
    </row>
    <row r="746" spans="1:18" ht="21" customHeight="1">
      <c r="A746" s="8">
        <v>46260</v>
      </c>
      <c r="B746" s="1" t="s">
        <v>97</v>
      </c>
      <c r="C746" s="39" t="s">
        <v>87</v>
      </c>
      <c r="D746" s="7">
        <v>7200</v>
      </c>
      <c r="E746" s="7">
        <f>'Option source'!B281</f>
        <v>475.76</v>
      </c>
      <c r="F746" s="7">
        <v>7045</v>
      </c>
      <c r="G746" s="14">
        <v>51</v>
      </c>
      <c r="H746" s="7">
        <f t="shared" si="33"/>
        <v>0</v>
      </c>
      <c r="I746" s="7">
        <f t="shared" si="34"/>
        <v>475.76</v>
      </c>
      <c r="J746" s="9">
        <f t="shared" si="35"/>
        <v>1.022001419446416</v>
      </c>
      <c r="K746" s="9">
        <v>0.38643223206941901</v>
      </c>
      <c r="L746" s="13">
        <v>0.58385075810202547</v>
      </c>
      <c r="M746" s="13">
        <v>10.272894637550564</v>
      </c>
      <c r="N746" s="7">
        <f>'Option source'!C281</f>
        <v>207573168</v>
      </c>
      <c r="O746" s="7">
        <f>'Option source'!G281</f>
        <v>458.32</v>
      </c>
      <c r="P746" s="7">
        <f>'Option source'!F281</f>
        <v>589.99</v>
      </c>
      <c r="Q746" s="1" t="s">
        <v>88</v>
      </c>
      <c r="R746" s="1">
        <v>276</v>
      </c>
    </row>
    <row r="747" spans="1:18" ht="21" customHeight="1">
      <c r="A747" s="8">
        <v>46260</v>
      </c>
      <c r="B747" s="1" t="s">
        <v>98</v>
      </c>
      <c r="C747" s="39" t="s">
        <v>90</v>
      </c>
      <c r="D747" s="7">
        <v>7200</v>
      </c>
      <c r="E747" s="7">
        <f>'Option source'!B775</f>
        <v>437.25</v>
      </c>
      <c r="F747" s="7">
        <v>7045</v>
      </c>
      <c r="G747" s="14">
        <v>51</v>
      </c>
      <c r="H747" s="7">
        <f t="shared" si="33"/>
        <v>155</v>
      </c>
      <c r="I747" s="7">
        <f t="shared" si="34"/>
        <v>282.25</v>
      </c>
      <c r="J747" s="9">
        <f t="shared" si="35"/>
        <v>1.022001419446416</v>
      </c>
      <c r="K747" s="9">
        <v>0.44803870994541339</v>
      </c>
      <c r="L747" s="13">
        <v>-0.41914430647561085</v>
      </c>
      <c r="M747" s="13">
        <v>10.289293643214576</v>
      </c>
      <c r="N747" s="7">
        <f>'Option source'!C775</f>
        <v>45277852</v>
      </c>
      <c r="O747" s="7">
        <f>'Option source'!G775</f>
        <v>355.5</v>
      </c>
      <c r="P747" s="7">
        <f>'Option source'!F775</f>
        <v>488.98</v>
      </c>
      <c r="Q747" s="1" t="s">
        <v>88</v>
      </c>
      <c r="R747" s="1">
        <v>770</v>
      </c>
    </row>
    <row r="748" spans="1:18" ht="21" customHeight="1">
      <c r="A748" s="8">
        <v>46260</v>
      </c>
      <c r="B748" s="1" t="s">
        <v>86</v>
      </c>
      <c r="C748" s="39" t="s">
        <v>87</v>
      </c>
      <c r="D748" s="7">
        <v>6800</v>
      </c>
      <c r="E748" s="7">
        <f>'Option source'!B243</f>
        <v>690.84</v>
      </c>
      <c r="F748" s="7">
        <v>7045</v>
      </c>
      <c r="G748" s="14">
        <v>51</v>
      </c>
      <c r="H748" s="7">
        <f t="shared" si="33"/>
        <v>245</v>
      </c>
      <c r="I748" s="7">
        <f t="shared" si="34"/>
        <v>445.84000000000003</v>
      </c>
      <c r="J748" s="9">
        <f t="shared" si="35"/>
        <v>0.96522356281050392</v>
      </c>
      <c r="K748" s="9">
        <v>0.36765774951938113</v>
      </c>
      <c r="L748" s="13">
        <v>0.73607103879762459</v>
      </c>
      <c r="M748" s="13">
        <v>8.6078284189121419</v>
      </c>
      <c r="N748" s="7">
        <f>'Option source'!C243</f>
        <v>155714400</v>
      </c>
      <c r="O748" s="7">
        <f>'Option source'!G243</f>
        <v>670.01</v>
      </c>
      <c r="P748" s="7">
        <f>'Option source'!F243</f>
        <v>815</v>
      </c>
      <c r="Q748" s="1" t="s">
        <v>88</v>
      </c>
      <c r="R748" s="1">
        <v>238</v>
      </c>
    </row>
    <row r="749" spans="1:18" ht="21" customHeight="1">
      <c r="A749" s="8">
        <v>46260</v>
      </c>
      <c r="B749" s="1" t="s">
        <v>89</v>
      </c>
      <c r="C749" s="39" t="s">
        <v>90</v>
      </c>
      <c r="D749" s="7">
        <v>6800</v>
      </c>
      <c r="E749" s="7">
        <f>'Option source'!B737</f>
        <v>260.29000000000002</v>
      </c>
      <c r="F749" s="7">
        <v>7045</v>
      </c>
      <c r="G749" s="14">
        <v>51</v>
      </c>
      <c r="H749" s="7">
        <f t="shared" si="33"/>
        <v>0</v>
      </c>
      <c r="I749" s="7">
        <f t="shared" si="34"/>
        <v>260.29000000000002</v>
      </c>
      <c r="J749" s="9">
        <f t="shared" si="35"/>
        <v>0.96522356281050392</v>
      </c>
      <c r="K749" s="9">
        <v>0.45102100827771796</v>
      </c>
      <c r="L749" s="13">
        <v>-0.29360627329953337</v>
      </c>
      <c r="M749" s="13">
        <v>9.0663484964419077</v>
      </c>
      <c r="N749" s="7">
        <f>'Option source'!C737</f>
        <v>147960448</v>
      </c>
      <c r="O749" s="7">
        <f>'Option source'!G737</f>
        <v>210</v>
      </c>
      <c r="P749" s="7">
        <f>'Option source'!F737</f>
        <v>290</v>
      </c>
      <c r="Q749" s="1" t="s">
        <v>88</v>
      </c>
      <c r="R749" s="1">
        <v>732</v>
      </c>
    </row>
    <row r="750" spans="1:18" ht="21" customHeight="1">
      <c r="A750" s="8">
        <v>46260</v>
      </c>
      <c r="B750" s="1" t="s">
        <v>102</v>
      </c>
      <c r="C750" s="39" t="s">
        <v>87</v>
      </c>
      <c r="D750" s="7">
        <v>7400</v>
      </c>
      <c r="E750" s="7">
        <f>'Option source'!B300</f>
        <v>391.75</v>
      </c>
      <c r="F750" s="7">
        <v>7045</v>
      </c>
      <c r="G750" s="14">
        <v>51</v>
      </c>
      <c r="H750" s="7">
        <f t="shared" si="33"/>
        <v>0</v>
      </c>
      <c r="I750" s="7">
        <f t="shared" si="34"/>
        <v>391.75</v>
      </c>
      <c r="J750" s="9">
        <f t="shared" si="35"/>
        <v>1.0503903477643719</v>
      </c>
      <c r="K750" s="9">
        <v>0.39571395463413217</v>
      </c>
      <c r="L750" s="13">
        <v>0.50996666381053191</v>
      </c>
      <c r="M750" s="13">
        <v>10.502535577547299</v>
      </c>
      <c r="N750" s="7">
        <f>'Option source'!C300</f>
        <v>243192128</v>
      </c>
      <c r="O750" s="7">
        <f>'Option source'!G300</f>
        <v>370</v>
      </c>
      <c r="P750" s="7">
        <f>'Option source'!F300</f>
        <v>520</v>
      </c>
      <c r="Q750" s="1" t="s">
        <v>88</v>
      </c>
      <c r="R750" s="1">
        <v>295</v>
      </c>
    </row>
    <row r="751" spans="1:18" ht="21" customHeight="1">
      <c r="A751" s="8">
        <v>46260</v>
      </c>
      <c r="B751" s="1" t="s">
        <v>103</v>
      </c>
      <c r="C751" s="39" t="s">
        <v>90</v>
      </c>
      <c r="D751" s="7">
        <v>7400</v>
      </c>
      <c r="E751" s="7">
        <f>'Option source'!B794</f>
        <v>549.96</v>
      </c>
      <c r="F751" s="7">
        <v>7045</v>
      </c>
      <c r="G751" s="14">
        <v>51</v>
      </c>
      <c r="H751" s="7">
        <f t="shared" si="33"/>
        <v>355</v>
      </c>
      <c r="I751" s="7">
        <f t="shared" si="34"/>
        <v>194.96000000000004</v>
      </c>
      <c r="J751" s="9">
        <f t="shared" si="35"/>
        <v>1.0503903477643719</v>
      </c>
      <c r="K751" s="9">
        <v>0.44691992150481086</v>
      </c>
      <c r="L751" s="13">
        <v>-0.48398005138769828</v>
      </c>
      <c r="M751" s="13">
        <v>10.497342780590037</v>
      </c>
      <c r="N751" s="7">
        <f>'Option source'!C794</f>
        <v>11721958</v>
      </c>
      <c r="O751" s="7">
        <f>'Option source'!G794</f>
        <v>499</v>
      </c>
      <c r="P751" s="7">
        <f>'Option source'!F794</f>
        <v>579.98</v>
      </c>
      <c r="Q751" s="1" t="s">
        <v>88</v>
      </c>
      <c r="R751" s="1">
        <v>789</v>
      </c>
    </row>
    <row r="752" spans="1:18" ht="21" customHeight="1">
      <c r="A752" s="8">
        <v>46260</v>
      </c>
      <c r="B752" s="1" t="s">
        <v>91</v>
      </c>
      <c r="C752" s="39" t="s">
        <v>87</v>
      </c>
      <c r="D752" s="7">
        <v>6600</v>
      </c>
      <c r="E752" s="7">
        <f>'Option source'!B224</f>
        <v>808.58</v>
      </c>
      <c r="F752" s="7">
        <v>7045</v>
      </c>
      <c r="G752" s="14">
        <v>51</v>
      </c>
      <c r="H752" s="7">
        <f t="shared" si="33"/>
        <v>445</v>
      </c>
      <c r="I752" s="7">
        <f t="shared" si="34"/>
        <v>363.58000000000004</v>
      </c>
      <c r="J752" s="9">
        <f t="shared" si="35"/>
        <v>0.93683463449254789</v>
      </c>
      <c r="K752" s="9">
        <v>0.3375311163017517</v>
      </c>
      <c r="L752" s="13">
        <v>0.81923979926535895</v>
      </c>
      <c r="M752" s="13">
        <v>6.9283829171411471</v>
      </c>
      <c r="N752" s="7">
        <f>'Option source'!C224</f>
        <v>49664944</v>
      </c>
      <c r="O752" s="7">
        <f>'Option source'!G224</f>
        <v>800</v>
      </c>
      <c r="P752" s="7">
        <f>'Option source'!F224</f>
        <v>939.99</v>
      </c>
      <c r="Q752" s="1" t="s">
        <v>88</v>
      </c>
      <c r="R752" s="1">
        <v>219</v>
      </c>
    </row>
    <row r="753" spans="1:18" ht="21" customHeight="1">
      <c r="A753" s="8">
        <v>46260</v>
      </c>
      <c r="B753" s="1" t="s">
        <v>92</v>
      </c>
      <c r="C753" s="39" t="s">
        <v>90</v>
      </c>
      <c r="D753" s="7">
        <v>6600</v>
      </c>
      <c r="E753" s="7">
        <f>'Option source'!B718</f>
        <v>195.14</v>
      </c>
      <c r="F753" s="7">
        <v>7045</v>
      </c>
      <c r="G753" s="14">
        <v>51</v>
      </c>
      <c r="H753" s="7">
        <f t="shared" si="33"/>
        <v>0</v>
      </c>
      <c r="I753" s="7">
        <f t="shared" si="34"/>
        <v>195.14</v>
      </c>
      <c r="J753" s="9">
        <f t="shared" si="35"/>
        <v>0.93683463449254789</v>
      </c>
      <c r="K753" s="9">
        <v>0.45456278451629428</v>
      </c>
      <c r="L753" s="13">
        <v>-0.2371000839091657</v>
      </c>
      <c r="M753" s="13">
        <v>8.13229276859885</v>
      </c>
      <c r="N753" s="7">
        <f>'Option source'!C718</f>
        <v>154578496</v>
      </c>
      <c r="O753" s="7">
        <f>'Option source'!G718</f>
        <v>165</v>
      </c>
      <c r="P753" s="7">
        <f>'Option source'!F718</f>
        <v>215</v>
      </c>
      <c r="Q753" s="1" t="s">
        <v>88</v>
      </c>
      <c r="R753" s="1">
        <v>713</v>
      </c>
    </row>
    <row r="754" spans="1:18" ht="21" customHeight="1">
      <c r="A754" s="8">
        <v>46260</v>
      </c>
      <c r="B754" s="1" t="s">
        <v>106</v>
      </c>
      <c r="C754" s="39" t="s">
        <v>87</v>
      </c>
      <c r="D754" s="7">
        <v>7600</v>
      </c>
      <c r="E754" s="7">
        <f>'Option source'!B319</f>
        <v>316.14999999999998</v>
      </c>
      <c r="F754" s="7">
        <v>7045</v>
      </c>
      <c r="G754" s="14">
        <v>51</v>
      </c>
      <c r="H754" s="7">
        <f t="shared" si="33"/>
        <v>0</v>
      </c>
      <c r="I754" s="7">
        <f t="shared" si="34"/>
        <v>316.14999999999998</v>
      </c>
      <c r="J754" s="9">
        <f t="shared" si="35"/>
        <v>1.0787792760823278</v>
      </c>
      <c r="K754" s="9">
        <v>0.39966854446653322</v>
      </c>
      <c r="L754" s="13">
        <v>0.43947585848344473</v>
      </c>
      <c r="M754" s="13">
        <v>10.384678186239951</v>
      </c>
      <c r="N754" s="7">
        <f>'Option source'!C319</f>
        <v>341615136</v>
      </c>
      <c r="O754" s="7">
        <f>'Option source'!G319</f>
        <v>300</v>
      </c>
      <c r="P754" s="7">
        <f>'Option source'!F319</f>
        <v>392.1</v>
      </c>
      <c r="Q754" s="1" t="s">
        <v>88</v>
      </c>
      <c r="R754" s="1">
        <v>314</v>
      </c>
    </row>
    <row r="755" spans="1:18" ht="21" customHeight="1">
      <c r="A755" s="8">
        <v>46260</v>
      </c>
      <c r="B755" s="1" t="s">
        <v>107</v>
      </c>
      <c r="C755" s="39" t="s">
        <v>90</v>
      </c>
      <c r="D755" s="7">
        <v>7600</v>
      </c>
      <c r="E755" s="7">
        <f>'Option source'!B813</f>
        <v>665</v>
      </c>
      <c r="F755" s="7">
        <v>7045</v>
      </c>
      <c r="G755" s="14">
        <v>51</v>
      </c>
      <c r="H755" s="7">
        <f t="shared" si="33"/>
        <v>555</v>
      </c>
      <c r="I755" s="7">
        <f t="shared" si="34"/>
        <v>110</v>
      </c>
      <c r="J755" s="9">
        <f t="shared" si="35"/>
        <v>1.0787792760823278</v>
      </c>
      <c r="K755" s="9">
        <v>0.43000487612924643</v>
      </c>
      <c r="L755" s="13">
        <v>-0.55195969536170986</v>
      </c>
      <c r="M755" s="13">
        <v>10.41658061632848</v>
      </c>
      <c r="N755" s="7">
        <f>'Option source'!C813</f>
        <v>2373800</v>
      </c>
      <c r="O755" s="7">
        <f>'Option source'!G813</f>
        <v>608</v>
      </c>
      <c r="P755" s="7">
        <f>'Option source'!F813</f>
        <v>700</v>
      </c>
      <c r="Q755" s="1" t="s">
        <v>88</v>
      </c>
      <c r="R755" s="1">
        <v>808</v>
      </c>
    </row>
    <row r="756" spans="1:18" ht="21" customHeight="1">
      <c r="A756" s="8">
        <v>46260</v>
      </c>
      <c r="B756" s="1" t="s">
        <v>95</v>
      </c>
      <c r="C756" s="39" t="s">
        <v>87</v>
      </c>
      <c r="D756" s="7">
        <v>6400</v>
      </c>
      <c r="E756" s="7">
        <f>'Option source'!B205</f>
        <v>944.2</v>
      </c>
      <c r="F756" s="7">
        <v>7045</v>
      </c>
      <c r="G756" s="14">
        <v>51</v>
      </c>
      <c r="H756" s="7">
        <f t="shared" si="33"/>
        <v>645</v>
      </c>
      <c r="I756" s="7">
        <f t="shared" si="34"/>
        <v>299.20000000000005</v>
      </c>
      <c r="J756" s="9">
        <f t="shared" si="35"/>
        <v>0.90844570617459186</v>
      </c>
      <c r="K756" s="9">
        <v>0.29477256006409169</v>
      </c>
      <c r="L756" s="13">
        <v>0.90438679155711466</v>
      </c>
      <c r="M756" s="13">
        <v>4.4720954788471765</v>
      </c>
      <c r="N756" s="7">
        <f>'Option source'!C205</f>
        <v>4527855</v>
      </c>
      <c r="O756" s="7">
        <f>'Option source'!G205</f>
        <v>932</v>
      </c>
      <c r="P756" s="7">
        <f>'Option source'!F205</f>
        <v>1020</v>
      </c>
      <c r="Q756" s="1" t="s">
        <v>88</v>
      </c>
      <c r="R756" s="1">
        <v>200</v>
      </c>
    </row>
    <row r="757" spans="1:18" ht="21" customHeight="1">
      <c r="A757" s="8">
        <v>46260</v>
      </c>
      <c r="B757" s="1" t="s">
        <v>96</v>
      </c>
      <c r="C757" s="39" t="s">
        <v>90</v>
      </c>
      <c r="D757" s="7">
        <v>6400</v>
      </c>
      <c r="E757" s="7">
        <f>'Option source'!B699</f>
        <v>135.93</v>
      </c>
      <c r="F757" s="7">
        <v>7045</v>
      </c>
      <c r="G757" s="14">
        <v>51</v>
      </c>
      <c r="H757" s="7">
        <f t="shared" si="33"/>
        <v>0</v>
      </c>
      <c r="I757" s="7">
        <f t="shared" si="34"/>
        <v>135.93</v>
      </c>
      <c r="J757" s="9">
        <f t="shared" si="35"/>
        <v>0.90844570617459186</v>
      </c>
      <c r="K757" s="9">
        <v>0.44930007138435168</v>
      </c>
      <c r="L757" s="13">
        <v>-0.18265668091107456</v>
      </c>
      <c r="M757" s="13">
        <v>6.9737741893818006</v>
      </c>
      <c r="N757" s="7">
        <f>'Option source'!C699</f>
        <v>85600376</v>
      </c>
      <c r="O757" s="7">
        <f>'Option source'!G699</f>
        <v>108</v>
      </c>
      <c r="P757" s="7">
        <f>'Option source'!F699</f>
        <v>150</v>
      </c>
      <c r="Q757" s="1" t="s">
        <v>88</v>
      </c>
      <c r="R757" s="1">
        <v>694</v>
      </c>
    </row>
    <row r="758" spans="1:18" ht="21" customHeight="1">
      <c r="A758" s="8">
        <v>46260</v>
      </c>
      <c r="B758" s="1" t="s">
        <v>111</v>
      </c>
      <c r="C758" s="39" t="s">
        <v>87</v>
      </c>
      <c r="D758" s="7">
        <v>7800</v>
      </c>
      <c r="E758" s="7">
        <f>'Option source'!B338</f>
        <v>250.53</v>
      </c>
      <c r="F758" s="7">
        <v>7045</v>
      </c>
      <c r="G758" s="14">
        <v>51</v>
      </c>
      <c r="H758" s="7">
        <f t="shared" si="33"/>
        <v>0</v>
      </c>
      <c r="I758" s="7">
        <f t="shared" si="34"/>
        <v>250.53</v>
      </c>
      <c r="J758" s="9">
        <f t="shared" si="35"/>
        <v>1.107168204400284</v>
      </c>
      <c r="K758" s="9">
        <v>0.400952668489436</v>
      </c>
      <c r="L758" s="13">
        <v>0.37272505328338301</v>
      </c>
      <c r="M758" s="13">
        <v>9.9665232608421093</v>
      </c>
      <c r="N758" s="7">
        <f>'Option source'!C338</f>
        <v>203807680</v>
      </c>
      <c r="O758" s="7">
        <f>'Option source'!G338</f>
        <v>239</v>
      </c>
      <c r="P758" s="7">
        <f>'Option source'!F338</f>
        <v>315</v>
      </c>
      <c r="Q758" s="1" t="s">
        <v>88</v>
      </c>
      <c r="R758" s="1">
        <v>333</v>
      </c>
    </row>
    <row r="759" spans="1:18" ht="21" customHeight="1">
      <c r="A759" s="8">
        <v>46260</v>
      </c>
      <c r="B759" s="1" t="s">
        <v>112</v>
      </c>
      <c r="C759" s="39" t="s">
        <v>90</v>
      </c>
      <c r="D759" s="7">
        <v>7800</v>
      </c>
      <c r="E759" s="7">
        <f>'Option source'!B832</f>
        <v>800</v>
      </c>
      <c r="F759" s="7">
        <v>7045</v>
      </c>
      <c r="G759" s="14">
        <v>51</v>
      </c>
      <c r="H759" s="7">
        <f t="shared" si="33"/>
        <v>755</v>
      </c>
      <c r="I759" s="7">
        <f t="shared" si="34"/>
        <v>45</v>
      </c>
      <c r="J759" s="9">
        <f t="shared" si="35"/>
        <v>1.107168204400284</v>
      </c>
      <c r="K759" s="9"/>
      <c r="L759" s="13"/>
      <c r="M759" s="13"/>
      <c r="N759" s="7">
        <f>'Option source'!C832</f>
        <v>800000</v>
      </c>
      <c r="O759" s="7">
        <f>'Option source'!G832</f>
        <v>0</v>
      </c>
      <c r="P759" s="7">
        <f>'Option source'!F832</f>
        <v>0</v>
      </c>
      <c r="Q759" s="1" t="s">
        <v>109</v>
      </c>
      <c r="R759" s="1">
        <v>827</v>
      </c>
    </row>
    <row r="760" spans="1:18" ht="21" customHeight="1">
      <c r="A760" s="8">
        <v>46260</v>
      </c>
      <c r="B760" s="1" t="s">
        <v>99</v>
      </c>
      <c r="C760" s="39" t="s">
        <v>87</v>
      </c>
      <c r="D760" s="7">
        <v>6200</v>
      </c>
      <c r="E760" s="7">
        <f>'Option source'!B186</f>
        <v>1000</v>
      </c>
      <c r="F760" s="7">
        <v>7045</v>
      </c>
      <c r="G760" s="14">
        <v>51</v>
      </c>
      <c r="H760" s="7">
        <f t="shared" si="33"/>
        <v>845</v>
      </c>
      <c r="I760" s="7">
        <f t="shared" si="34"/>
        <v>155</v>
      </c>
      <c r="J760" s="9">
        <f t="shared" si="35"/>
        <v>0.88005677785663594</v>
      </c>
      <c r="K760" s="9"/>
      <c r="L760" s="13"/>
      <c r="M760" s="13"/>
      <c r="N760" s="7">
        <f>'Option source'!C186</f>
        <v>0</v>
      </c>
      <c r="O760" s="7">
        <f>'Option source'!G186</f>
        <v>1000</v>
      </c>
      <c r="P760" s="7">
        <f>'Option source'!F186</f>
        <v>1000</v>
      </c>
      <c r="Q760" s="1" t="s">
        <v>25</v>
      </c>
      <c r="R760" s="1">
        <v>181</v>
      </c>
    </row>
    <row r="761" spans="1:18" ht="21" customHeight="1">
      <c r="A761" s="8">
        <v>46260</v>
      </c>
      <c r="B761" s="1" t="s">
        <v>101</v>
      </c>
      <c r="C761" s="39" t="s">
        <v>90</v>
      </c>
      <c r="D761" s="7">
        <v>6200</v>
      </c>
      <c r="E761" s="7">
        <f>'Option source'!B680</f>
        <v>92.32</v>
      </c>
      <c r="F761" s="7">
        <v>7045</v>
      </c>
      <c r="G761" s="14">
        <v>51</v>
      </c>
      <c r="H761" s="7">
        <f t="shared" si="33"/>
        <v>0</v>
      </c>
      <c r="I761" s="7">
        <f t="shared" si="34"/>
        <v>92.32</v>
      </c>
      <c r="J761" s="9">
        <f t="shared" si="35"/>
        <v>0.88005677785663594</v>
      </c>
      <c r="K761" s="9">
        <v>0.44610525717929139</v>
      </c>
      <c r="L761" s="13">
        <v>-0.13545609317088925</v>
      </c>
      <c r="M761" s="13">
        <v>5.730871582880301</v>
      </c>
      <c r="N761" s="7">
        <f>'Option source'!C680</f>
        <v>49229032</v>
      </c>
      <c r="O761" s="7">
        <f>'Option source'!G680</f>
        <v>71</v>
      </c>
      <c r="P761" s="7">
        <f>'Option source'!F680</f>
        <v>102</v>
      </c>
      <c r="Q761" s="1" t="s">
        <v>88</v>
      </c>
      <c r="R761" s="1">
        <v>675</v>
      </c>
    </row>
    <row r="762" spans="1:18" ht="21" customHeight="1">
      <c r="A762" s="8">
        <v>46260</v>
      </c>
      <c r="B762" s="1" t="s">
        <v>116</v>
      </c>
      <c r="C762" s="39" t="s">
        <v>87</v>
      </c>
      <c r="D762" s="7">
        <v>8000</v>
      </c>
      <c r="E762" s="7">
        <f>'Option source'!B357</f>
        <v>199.33</v>
      </c>
      <c r="F762" s="7">
        <v>7045</v>
      </c>
      <c r="G762" s="14">
        <v>51</v>
      </c>
      <c r="H762" s="7">
        <f t="shared" si="33"/>
        <v>0</v>
      </c>
      <c r="I762" s="7">
        <f t="shared" si="34"/>
        <v>199.33</v>
      </c>
      <c r="J762" s="9">
        <f t="shared" si="35"/>
        <v>1.1355571327182399</v>
      </c>
      <c r="K762" s="9">
        <v>0.40532341935447991</v>
      </c>
      <c r="L762" s="13">
        <v>0.31326297669848135</v>
      </c>
      <c r="M762" s="13">
        <v>9.3327355322925651</v>
      </c>
      <c r="N762" s="7">
        <f>'Option source'!C357</f>
        <v>375042784</v>
      </c>
      <c r="O762" s="7">
        <f>'Option source'!G357</f>
        <v>186</v>
      </c>
      <c r="P762" s="7">
        <f>'Option source'!F357</f>
        <v>260</v>
      </c>
      <c r="Q762" s="1" t="s">
        <v>88</v>
      </c>
      <c r="R762" s="1">
        <v>352</v>
      </c>
    </row>
    <row r="763" spans="1:18" ht="21" customHeight="1">
      <c r="A763" s="8">
        <v>46260</v>
      </c>
      <c r="B763" s="1" t="s">
        <v>117</v>
      </c>
      <c r="C763" s="39" t="s">
        <v>90</v>
      </c>
      <c r="D763" s="7">
        <v>8000</v>
      </c>
      <c r="E763" s="7">
        <f>'Option source'!B851</f>
        <v>990</v>
      </c>
      <c r="F763" s="7">
        <v>7045</v>
      </c>
      <c r="G763" s="14">
        <v>51</v>
      </c>
      <c r="H763" s="7">
        <f t="shared" si="33"/>
        <v>955</v>
      </c>
      <c r="I763" s="7">
        <f t="shared" si="34"/>
        <v>35</v>
      </c>
      <c r="J763" s="9">
        <f t="shared" si="35"/>
        <v>1.1355571327182399</v>
      </c>
      <c r="K763" s="9">
        <v>0.45196648307350351</v>
      </c>
      <c r="L763" s="13">
        <v>-0.66270881322431541</v>
      </c>
      <c r="M763" s="13">
        <v>9.6194256231918853</v>
      </c>
      <c r="N763" s="7">
        <f>'Option source'!C851</f>
        <v>6944098.5</v>
      </c>
      <c r="O763" s="7">
        <f>'Option source'!G851</f>
        <v>879</v>
      </c>
      <c r="P763" s="7">
        <f>'Option source'!F851</f>
        <v>999</v>
      </c>
      <c r="Q763" s="1" t="s">
        <v>88</v>
      </c>
      <c r="R763" s="1">
        <v>846</v>
      </c>
    </row>
    <row r="764" spans="1:18" ht="21" customHeight="1">
      <c r="A764" s="8">
        <v>46260</v>
      </c>
      <c r="B764" s="1" t="s">
        <v>104</v>
      </c>
      <c r="C764" s="39" t="s">
        <v>87</v>
      </c>
      <c r="D764" s="7">
        <v>6000</v>
      </c>
      <c r="E764" s="7">
        <f>'Option source'!B167</f>
        <v>1439.96</v>
      </c>
      <c r="F764" s="7">
        <v>7045</v>
      </c>
      <c r="G764" s="14">
        <v>51</v>
      </c>
      <c r="H764" s="7">
        <f t="shared" si="33"/>
        <v>1045</v>
      </c>
      <c r="I764" s="7">
        <f t="shared" si="34"/>
        <v>394.96000000000004</v>
      </c>
      <c r="J764" s="9">
        <f t="shared" si="35"/>
        <v>0.85166784953867991</v>
      </c>
      <c r="K764" s="9"/>
      <c r="L764" s="13"/>
      <c r="M764" s="13"/>
      <c r="N764" s="7">
        <f>'Option source'!C167</f>
        <v>283995.90999999997</v>
      </c>
      <c r="O764" s="7">
        <f>'Option source'!G167</f>
        <v>1400</v>
      </c>
      <c r="P764" s="7">
        <f>'Option source'!F167</f>
        <v>1400</v>
      </c>
      <c r="Q764" s="1" t="s">
        <v>109</v>
      </c>
      <c r="R764" s="1">
        <v>162</v>
      </c>
    </row>
    <row r="765" spans="1:18" ht="21" customHeight="1">
      <c r="A765" s="8">
        <v>46260</v>
      </c>
      <c r="B765" s="1" t="s">
        <v>105</v>
      </c>
      <c r="C765" s="39" t="s">
        <v>90</v>
      </c>
      <c r="D765" s="7">
        <v>6000</v>
      </c>
      <c r="E765" s="7">
        <f>'Option source'!B661</f>
        <v>59.56</v>
      </c>
      <c r="F765" s="7">
        <v>7045</v>
      </c>
      <c r="G765" s="14">
        <v>51</v>
      </c>
      <c r="H765" s="7">
        <f t="shared" si="33"/>
        <v>0</v>
      </c>
      <c r="I765" s="7">
        <f t="shared" si="34"/>
        <v>59.56</v>
      </c>
      <c r="J765" s="9">
        <f t="shared" si="35"/>
        <v>0.85166784953867991</v>
      </c>
      <c r="K765" s="9">
        <v>0.44312439080692578</v>
      </c>
      <c r="L765" s="13">
        <v>-9.5910468974184981E-2</v>
      </c>
      <c r="M765" s="13">
        <v>4.4823196562511667</v>
      </c>
      <c r="N765" s="7">
        <f>'Option source'!C661</f>
        <v>54628656</v>
      </c>
      <c r="O765" s="7">
        <f>'Option source'!G661</f>
        <v>38</v>
      </c>
      <c r="P765" s="7">
        <f>'Option source'!F661</f>
        <v>68</v>
      </c>
      <c r="Q765" s="1" t="s">
        <v>88</v>
      </c>
      <c r="R765" s="1">
        <v>656</v>
      </c>
    </row>
    <row r="766" spans="1:18" ht="21" customHeight="1">
      <c r="A766" s="8">
        <v>46260</v>
      </c>
      <c r="B766" s="1" t="s">
        <v>110</v>
      </c>
      <c r="C766" s="39" t="s">
        <v>90</v>
      </c>
      <c r="D766" s="7">
        <v>5800</v>
      </c>
      <c r="E766" s="7">
        <f>'Option source'!B642</f>
        <v>35.840000000000003</v>
      </c>
      <c r="F766" s="7">
        <v>7045</v>
      </c>
      <c r="G766" s="14">
        <v>51</v>
      </c>
      <c r="H766" s="7">
        <f t="shared" si="33"/>
        <v>0</v>
      </c>
      <c r="I766" s="7">
        <f t="shared" si="34"/>
        <v>35.840000000000003</v>
      </c>
      <c r="J766" s="9">
        <f t="shared" si="35"/>
        <v>0.82327892122072388</v>
      </c>
      <c r="K766" s="9">
        <v>0.43790609632841382</v>
      </c>
      <c r="L766" s="13">
        <v>-6.3515896058728982E-2</v>
      </c>
      <c r="M766" s="13">
        <v>3.2796122282172586</v>
      </c>
      <c r="N766" s="7">
        <f>'Option source'!C642</f>
        <v>11605652</v>
      </c>
      <c r="O766" s="7">
        <f>'Option source'!G642</f>
        <v>30</v>
      </c>
      <c r="P766" s="7">
        <f>'Option source'!F642</f>
        <v>42</v>
      </c>
      <c r="Q766" s="1" t="s">
        <v>88</v>
      </c>
      <c r="R766" s="1">
        <v>637</v>
      </c>
    </row>
    <row r="767" spans="1:18" ht="21" customHeight="1">
      <c r="A767" s="8">
        <v>46260</v>
      </c>
      <c r="B767" s="1" t="s">
        <v>121</v>
      </c>
      <c r="C767" s="39" t="s">
        <v>87</v>
      </c>
      <c r="D767" s="7">
        <v>8300</v>
      </c>
      <c r="E767" s="7">
        <f>'Option source'!B376</f>
        <v>139.65</v>
      </c>
      <c r="F767" s="7">
        <v>7045</v>
      </c>
      <c r="G767" s="14">
        <v>51</v>
      </c>
      <c r="H767" s="7">
        <f t="shared" si="33"/>
        <v>0</v>
      </c>
      <c r="I767" s="7">
        <f t="shared" si="34"/>
        <v>139.65</v>
      </c>
      <c r="J767" s="9">
        <f t="shared" si="35"/>
        <v>1.178140525195174</v>
      </c>
      <c r="K767" s="9">
        <v>0.41123697687555127</v>
      </c>
      <c r="L767" s="13">
        <v>0.23671260399812935</v>
      </c>
      <c r="M767" s="13">
        <v>8.12498377838366</v>
      </c>
      <c r="N767" s="7">
        <f>'Option source'!C376</f>
        <v>79788936</v>
      </c>
      <c r="O767" s="7">
        <f>'Option source'!G376</f>
        <v>130</v>
      </c>
      <c r="P767" s="7">
        <f>'Option source'!F376</f>
        <v>180</v>
      </c>
      <c r="Q767" s="1" t="s">
        <v>88</v>
      </c>
      <c r="R767" s="1">
        <v>371</v>
      </c>
    </row>
    <row r="768" spans="1:18" ht="21" customHeight="1">
      <c r="A768" s="8">
        <v>46260</v>
      </c>
      <c r="B768" s="1" t="s">
        <v>122</v>
      </c>
      <c r="C768" s="39" t="s">
        <v>90</v>
      </c>
      <c r="D768" s="7">
        <v>8300</v>
      </c>
      <c r="E768" s="7">
        <f>'Option source'!B870</f>
        <v>1274.9000000000001</v>
      </c>
      <c r="F768" s="7">
        <v>7045</v>
      </c>
      <c r="G768" s="14">
        <v>51</v>
      </c>
      <c r="H768" s="7">
        <f t="shared" si="33"/>
        <v>1255</v>
      </c>
      <c r="I768" s="7">
        <f t="shared" si="34"/>
        <v>19.900000000000091</v>
      </c>
      <c r="J768" s="9">
        <f t="shared" si="35"/>
        <v>1.178140525195174</v>
      </c>
      <c r="K768" s="9"/>
      <c r="L768" s="13"/>
      <c r="M768" s="13"/>
      <c r="N768" s="7">
        <f>'Option source'!C870</f>
        <v>1536505</v>
      </c>
      <c r="O768" s="7">
        <f>'Option source'!G870</f>
        <v>1082.1099999999999</v>
      </c>
      <c r="P768" s="7">
        <f>'Option source'!F870</f>
        <v>1220</v>
      </c>
      <c r="Q768" s="1" t="s">
        <v>109</v>
      </c>
      <c r="R768" s="1">
        <v>865</v>
      </c>
    </row>
    <row r="769" spans="1:18" ht="21" customHeight="1">
      <c r="A769" s="8">
        <v>46260</v>
      </c>
      <c r="B769" s="1" t="s">
        <v>114</v>
      </c>
      <c r="C769" s="39" t="s">
        <v>87</v>
      </c>
      <c r="D769" s="7">
        <v>5600</v>
      </c>
      <c r="E769" s="7">
        <f>'Option source'!B138</f>
        <v>1645</v>
      </c>
      <c r="F769" s="7">
        <v>7045</v>
      </c>
      <c r="G769" s="14">
        <v>51</v>
      </c>
      <c r="H769" s="7">
        <f t="shared" si="33"/>
        <v>1445</v>
      </c>
      <c r="I769" s="7">
        <f t="shared" si="34"/>
        <v>200</v>
      </c>
      <c r="J769" s="9">
        <f t="shared" si="35"/>
        <v>0.79488999290276796</v>
      </c>
      <c r="K769" s="9"/>
      <c r="L769" s="13"/>
      <c r="M769" s="13"/>
      <c r="N769" s="7">
        <f>'Option source'!C138</f>
        <v>164500</v>
      </c>
      <c r="O769" s="7">
        <f>'Option source'!G138</f>
        <v>0</v>
      </c>
      <c r="P769" s="7">
        <f>'Option source'!F138</f>
        <v>0</v>
      </c>
      <c r="Q769" s="1" t="s">
        <v>109</v>
      </c>
      <c r="R769" s="1">
        <v>133</v>
      </c>
    </row>
    <row r="770" spans="1:18" ht="21" customHeight="1">
      <c r="A770" s="8">
        <v>46260</v>
      </c>
      <c r="B770" s="1" t="s">
        <v>115</v>
      </c>
      <c r="C770" s="39" t="s">
        <v>90</v>
      </c>
      <c r="D770" s="7">
        <v>5600</v>
      </c>
      <c r="E770" s="7">
        <f>'Option source'!B623</f>
        <v>22.39</v>
      </c>
      <c r="F770" s="7">
        <v>7045</v>
      </c>
      <c r="G770" s="14">
        <v>51</v>
      </c>
      <c r="H770" s="7">
        <f t="shared" si="33"/>
        <v>0</v>
      </c>
      <c r="I770" s="7">
        <f t="shared" si="34"/>
        <v>22.39</v>
      </c>
      <c r="J770" s="9">
        <f t="shared" si="35"/>
        <v>0.79488999290276796</v>
      </c>
      <c r="K770" s="9">
        <v>0.44252331167489556</v>
      </c>
      <c r="L770" s="13">
        <v>-4.2367562980911266E-2</v>
      </c>
      <c r="M770" s="13">
        <v>2.3776232310138088</v>
      </c>
      <c r="N770" s="7">
        <f>'Option source'!C623</f>
        <v>3776744</v>
      </c>
      <c r="O770" s="7">
        <f>'Option source'!G623</f>
        <v>20</v>
      </c>
      <c r="P770" s="7">
        <f>'Option source'!F623</f>
        <v>27</v>
      </c>
      <c r="Q770" s="1" t="s">
        <v>88</v>
      </c>
      <c r="R770" s="1">
        <v>618</v>
      </c>
    </row>
    <row r="771" spans="1:18" ht="21" customHeight="1">
      <c r="A771" s="8">
        <v>46260</v>
      </c>
      <c r="B771" s="1" t="s">
        <v>127</v>
      </c>
      <c r="C771" s="39" t="s">
        <v>87</v>
      </c>
      <c r="D771" s="7">
        <v>8600</v>
      </c>
      <c r="E771" s="7">
        <f>'Option source'!B395</f>
        <v>92.25</v>
      </c>
      <c r="F771" s="7">
        <v>7045</v>
      </c>
      <c r="G771" s="14">
        <v>51</v>
      </c>
      <c r="H771" s="7">
        <f t="shared" si="33"/>
        <v>0</v>
      </c>
      <c r="I771" s="7">
        <f t="shared" si="34"/>
        <v>92.25</v>
      </c>
      <c r="J771" s="9">
        <f t="shared" si="35"/>
        <v>1.2207239176721079</v>
      </c>
      <c r="K771" s="9">
        <v>0.41022318643254918</v>
      </c>
      <c r="L771" s="13">
        <v>0.17089819976406118</v>
      </c>
      <c r="M771" s="13">
        <v>6.6864824529682974</v>
      </c>
      <c r="N771" s="7">
        <f>'Option source'!C395</f>
        <v>116072392</v>
      </c>
      <c r="O771" s="7">
        <f>'Option source'!G395</f>
        <v>87</v>
      </c>
      <c r="P771" s="7">
        <f>'Option source'!F395</f>
        <v>129</v>
      </c>
      <c r="Q771" s="1" t="s">
        <v>88</v>
      </c>
      <c r="R771" s="1">
        <v>390</v>
      </c>
    </row>
    <row r="772" spans="1:18" ht="21" customHeight="1">
      <c r="A772" s="8">
        <v>46260</v>
      </c>
      <c r="B772" s="1" t="s">
        <v>128</v>
      </c>
      <c r="C772" s="39" t="s">
        <v>90</v>
      </c>
      <c r="D772" s="7">
        <v>8600</v>
      </c>
      <c r="E772" s="7">
        <f>'Option source'!B889</f>
        <v>1630</v>
      </c>
      <c r="F772" s="7">
        <v>7045</v>
      </c>
      <c r="G772" s="14">
        <v>51</v>
      </c>
      <c r="H772" s="7">
        <f t="shared" si="33"/>
        <v>1555</v>
      </c>
      <c r="I772" s="7">
        <f t="shared" si="34"/>
        <v>75</v>
      </c>
      <c r="J772" s="9">
        <f t="shared" si="35"/>
        <v>1.2207239176721079</v>
      </c>
      <c r="K772" s="9">
        <v>0.66511492878148792</v>
      </c>
      <c r="L772" s="13">
        <v>-0.69472682191605584</v>
      </c>
      <c r="M772" s="13">
        <v>9.2279672923119378</v>
      </c>
      <c r="N772" s="7">
        <f>'Option source'!C889</f>
        <v>485999.69</v>
      </c>
      <c r="O772" s="7">
        <f>'Option source'!G889</f>
        <v>1600</v>
      </c>
      <c r="P772" s="7">
        <f>'Option source'!F889</f>
        <v>1630</v>
      </c>
      <c r="Q772" s="1" t="s">
        <v>88</v>
      </c>
      <c r="R772" s="1">
        <v>884</v>
      </c>
    </row>
    <row r="773" spans="1:18" ht="21" customHeight="1">
      <c r="A773" s="8">
        <v>46260</v>
      </c>
      <c r="B773" s="1" t="s">
        <v>119</v>
      </c>
      <c r="C773" s="39" t="s">
        <v>87</v>
      </c>
      <c r="D773" s="7">
        <v>5400</v>
      </c>
      <c r="E773" s="7">
        <f>'Option source'!B120</f>
        <v>1752.86</v>
      </c>
      <c r="F773" s="7">
        <v>7045</v>
      </c>
      <c r="G773" s="14">
        <v>51</v>
      </c>
      <c r="H773" s="7">
        <f t="shared" si="33"/>
        <v>1645</v>
      </c>
      <c r="I773" s="7">
        <f t="shared" si="34"/>
        <v>107.8599999999999</v>
      </c>
      <c r="J773" s="9">
        <f t="shared" si="35"/>
        <v>0.76650106458481193</v>
      </c>
      <c r="K773" s="9"/>
      <c r="L773" s="13"/>
      <c r="M773" s="13"/>
      <c r="N773" s="7">
        <f>'Option source'!C120</f>
        <v>0</v>
      </c>
      <c r="O773" s="7">
        <f>'Option source'!G120</f>
        <v>1697.73</v>
      </c>
      <c r="P773" s="7">
        <f>'Option source'!F120</f>
        <v>1766.86</v>
      </c>
      <c r="Q773" s="1" t="s">
        <v>25</v>
      </c>
      <c r="R773" s="1">
        <v>115</v>
      </c>
    </row>
    <row r="774" spans="1:18" ht="21" customHeight="1">
      <c r="A774" s="8">
        <v>46260</v>
      </c>
      <c r="B774" s="1" t="s">
        <v>120</v>
      </c>
      <c r="C774" s="39" t="s">
        <v>90</v>
      </c>
      <c r="D774" s="7">
        <v>5400</v>
      </c>
      <c r="E774" s="7">
        <f>'Option source'!B604</f>
        <v>13.97</v>
      </c>
      <c r="F774" s="7">
        <v>7045</v>
      </c>
      <c r="G774" s="14">
        <v>51</v>
      </c>
      <c r="H774" s="7">
        <f t="shared" si="33"/>
        <v>0</v>
      </c>
      <c r="I774" s="7">
        <f t="shared" si="34"/>
        <v>13.97</v>
      </c>
      <c r="J774" s="9">
        <f t="shared" si="35"/>
        <v>0.76650106458481193</v>
      </c>
      <c r="K774" s="9">
        <v>0.45031439183850008</v>
      </c>
      <c r="L774" s="13">
        <v>-2.7876321066786947E-2</v>
      </c>
      <c r="M774" s="13">
        <v>1.6857539734535507</v>
      </c>
      <c r="N774" s="7">
        <f>'Option source'!C604</f>
        <v>1705388.38</v>
      </c>
      <c r="O774" s="7">
        <f>'Option source'!G604</f>
        <v>13</v>
      </c>
      <c r="P774" s="7">
        <f>'Option source'!F604</f>
        <v>21</v>
      </c>
      <c r="Q774" s="1" t="s">
        <v>88</v>
      </c>
      <c r="R774" s="1">
        <v>599</v>
      </c>
    </row>
    <row r="775" spans="1:18" ht="21" customHeight="1">
      <c r="A775" s="8">
        <v>46260</v>
      </c>
      <c r="B775" s="1" t="s">
        <v>123</v>
      </c>
      <c r="C775" s="39" t="s">
        <v>87</v>
      </c>
      <c r="D775" s="7">
        <v>5200</v>
      </c>
      <c r="E775" s="7">
        <f>'Option source'!B101</f>
        <v>1981.15</v>
      </c>
      <c r="F775" s="7">
        <v>7045</v>
      </c>
      <c r="G775" s="14">
        <v>51</v>
      </c>
      <c r="H775" s="7">
        <f t="shared" ref="H775:H838" si="36">MAX(IF(C775="call",F775-D775,D775-F775),0)</f>
        <v>1845</v>
      </c>
      <c r="I775" s="7">
        <f t="shared" ref="I775:I838" si="37">E775-H775</f>
        <v>136.15000000000009</v>
      </c>
      <c r="J775" s="9">
        <f t="shared" ref="J775:J838" si="38">D775/F775</f>
        <v>0.7381121362668559</v>
      </c>
      <c r="K775" s="9"/>
      <c r="L775" s="13"/>
      <c r="M775" s="13"/>
      <c r="N775" s="7">
        <f>'Option source'!C101</f>
        <v>8594971</v>
      </c>
      <c r="O775" s="7">
        <f>'Option source'!G101</f>
        <v>1989.77</v>
      </c>
      <c r="P775" s="7">
        <f>'Option source'!F101</f>
        <v>2165.4</v>
      </c>
      <c r="Q775" s="1" t="s">
        <v>109</v>
      </c>
      <c r="R775" s="1">
        <v>96</v>
      </c>
    </row>
    <row r="776" spans="1:18" ht="21" customHeight="1">
      <c r="A776" s="8">
        <v>46260</v>
      </c>
      <c r="B776" s="1" t="s">
        <v>124</v>
      </c>
      <c r="C776" s="39" t="s">
        <v>90</v>
      </c>
      <c r="D776" s="7">
        <v>5200</v>
      </c>
      <c r="E776" s="7">
        <f>'Option source'!B585</f>
        <v>8.81</v>
      </c>
      <c r="F776" s="7">
        <v>7045</v>
      </c>
      <c r="G776" s="14">
        <v>51</v>
      </c>
      <c r="H776" s="7">
        <f t="shared" si="36"/>
        <v>0</v>
      </c>
      <c r="I776" s="7">
        <f t="shared" si="37"/>
        <v>8.81</v>
      </c>
      <c r="J776" s="9">
        <f t="shared" si="38"/>
        <v>0.7381121362668559</v>
      </c>
      <c r="K776" s="9">
        <v>0.46063960406728655</v>
      </c>
      <c r="L776" s="13">
        <v>-1.8170833094970362E-2</v>
      </c>
      <c r="M776" s="13">
        <v>1.1751887241883832</v>
      </c>
      <c r="N776" s="7">
        <f>'Option source'!C585</f>
        <v>637267.38</v>
      </c>
      <c r="O776" s="7">
        <f>'Option source'!G585</f>
        <v>7.11</v>
      </c>
      <c r="P776" s="7">
        <f>'Option source'!F585</f>
        <v>12</v>
      </c>
      <c r="Q776" s="1" t="s">
        <v>88</v>
      </c>
      <c r="R776" s="1">
        <v>580</v>
      </c>
    </row>
    <row r="777" spans="1:18" ht="21" customHeight="1">
      <c r="A777" s="8">
        <v>46260</v>
      </c>
      <c r="B777" s="1" t="s">
        <v>132</v>
      </c>
      <c r="C777" s="39" t="s">
        <v>87</v>
      </c>
      <c r="D777" s="7">
        <v>8900</v>
      </c>
      <c r="E777" s="7">
        <f>'Option source'!B414</f>
        <v>66.03</v>
      </c>
      <c r="F777" s="7">
        <v>7045</v>
      </c>
      <c r="G777" s="14">
        <v>51</v>
      </c>
      <c r="H777" s="7">
        <f t="shared" si="36"/>
        <v>0</v>
      </c>
      <c r="I777" s="7">
        <f t="shared" si="37"/>
        <v>66.03</v>
      </c>
      <c r="J777" s="9">
        <f t="shared" si="38"/>
        <v>1.263307310149042</v>
      </c>
      <c r="K777" s="9">
        <v>0.42157887980622344</v>
      </c>
      <c r="L777" s="13">
        <v>0.12747302783248127</v>
      </c>
      <c r="M777" s="13">
        <v>5.4955093447999026</v>
      </c>
      <c r="N777" s="7">
        <f>'Option source'!C414</f>
        <v>36417060</v>
      </c>
      <c r="O777" s="7">
        <f>'Option source'!G414</f>
        <v>57.2</v>
      </c>
      <c r="P777" s="7">
        <f>'Option source'!F414</f>
        <v>86.49</v>
      </c>
      <c r="Q777" s="1" t="s">
        <v>88</v>
      </c>
      <c r="R777" s="1">
        <v>409</v>
      </c>
    </row>
    <row r="778" spans="1:18" ht="21" customHeight="1">
      <c r="A778" s="8">
        <v>46260</v>
      </c>
      <c r="B778" s="1" t="s">
        <v>125</v>
      </c>
      <c r="C778" s="39" t="s">
        <v>87</v>
      </c>
      <c r="D778" s="7">
        <v>5000</v>
      </c>
      <c r="E778" s="7">
        <f>'Option source'!B82</f>
        <v>2232.7600000000002</v>
      </c>
      <c r="F778" s="7">
        <v>7045</v>
      </c>
      <c r="G778" s="14">
        <v>51</v>
      </c>
      <c r="H778" s="7">
        <f t="shared" si="36"/>
        <v>2045</v>
      </c>
      <c r="I778" s="7">
        <f t="shared" si="37"/>
        <v>187.76000000000022</v>
      </c>
      <c r="J778" s="9">
        <f t="shared" si="38"/>
        <v>0.70972320794889998</v>
      </c>
      <c r="K778" s="9"/>
      <c r="L778" s="13"/>
      <c r="M778" s="13"/>
      <c r="N778" s="7">
        <f>'Option source'!C82</f>
        <v>2937336</v>
      </c>
      <c r="O778" s="7">
        <f>'Option source'!G82</f>
        <v>2260</v>
      </c>
      <c r="P778" s="7">
        <f>'Option source'!F82</f>
        <v>2300</v>
      </c>
      <c r="Q778" s="1" t="s">
        <v>109</v>
      </c>
      <c r="R778" s="1">
        <v>77</v>
      </c>
    </row>
    <row r="779" spans="1:18" ht="21" customHeight="1">
      <c r="A779" s="8">
        <v>46260</v>
      </c>
      <c r="B779" s="1" t="s">
        <v>126</v>
      </c>
      <c r="C779" s="39" t="s">
        <v>90</v>
      </c>
      <c r="D779" s="7">
        <v>5000</v>
      </c>
      <c r="E779" s="7">
        <f>'Option source'!B566</f>
        <v>6.06</v>
      </c>
      <c r="F779" s="7">
        <v>7045</v>
      </c>
      <c r="G779" s="14">
        <v>51</v>
      </c>
      <c r="H779" s="7">
        <f t="shared" si="36"/>
        <v>0</v>
      </c>
      <c r="I779" s="7">
        <f t="shared" si="37"/>
        <v>6.06</v>
      </c>
      <c r="J779" s="9">
        <f t="shared" si="38"/>
        <v>0.70972320794889998</v>
      </c>
      <c r="K779" s="9">
        <v>0.47909485253535333</v>
      </c>
      <c r="L779" s="13">
        <v>-1.2603114904259249E-2</v>
      </c>
      <c r="M779" s="13">
        <v>0.85821373760028419</v>
      </c>
      <c r="N779" s="7">
        <f>'Option source'!C566</f>
        <v>731671.81</v>
      </c>
      <c r="O779" s="7">
        <f>'Option source'!G566</f>
        <v>5.2</v>
      </c>
      <c r="P779" s="7">
        <f>'Option source'!F566</f>
        <v>10</v>
      </c>
      <c r="Q779" s="1" t="s">
        <v>88</v>
      </c>
      <c r="R779" s="1">
        <v>561</v>
      </c>
    </row>
    <row r="780" spans="1:18" ht="21" customHeight="1">
      <c r="A780" s="8">
        <v>46260</v>
      </c>
      <c r="B780" s="1" t="s">
        <v>138</v>
      </c>
      <c r="C780" s="39" t="s">
        <v>87</v>
      </c>
      <c r="D780" s="7">
        <v>9200</v>
      </c>
      <c r="E780" s="7">
        <f>'Option source'!B433</f>
        <v>41.09</v>
      </c>
      <c r="F780" s="7">
        <v>7045</v>
      </c>
      <c r="G780" s="14">
        <v>51</v>
      </c>
      <c r="H780" s="7">
        <f t="shared" si="36"/>
        <v>0</v>
      </c>
      <c r="I780" s="7">
        <f t="shared" si="37"/>
        <v>41.09</v>
      </c>
      <c r="J780" s="9">
        <f t="shared" si="38"/>
        <v>1.3058907026259758</v>
      </c>
      <c r="K780" s="9">
        <v>0.41758615706661739</v>
      </c>
      <c r="L780" s="13">
        <v>8.6411440362760772E-2</v>
      </c>
      <c r="M780" s="13">
        <v>4.1486642157316309</v>
      </c>
      <c r="N780" s="7">
        <f>'Option source'!C433</f>
        <v>9481437</v>
      </c>
      <c r="O780" s="7">
        <f>'Option source'!G433</f>
        <v>38.5</v>
      </c>
      <c r="P780" s="7">
        <f>'Option source'!F433</f>
        <v>57.5</v>
      </c>
      <c r="Q780" s="1" t="s">
        <v>88</v>
      </c>
      <c r="R780" s="1">
        <v>428</v>
      </c>
    </row>
    <row r="781" spans="1:18" ht="21" customHeight="1">
      <c r="A781" s="8">
        <v>46260</v>
      </c>
      <c r="B781" s="1" t="s">
        <v>129</v>
      </c>
      <c r="C781" s="39" t="s">
        <v>87</v>
      </c>
      <c r="D781" s="7">
        <v>4800</v>
      </c>
      <c r="E781" s="7">
        <f>'Option source'!B65</f>
        <v>2280</v>
      </c>
      <c r="F781" s="7">
        <v>7045</v>
      </c>
      <c r="G781" s="14">
        <v>51</v>
      </c>
      <c r="H781" s="7">
        <f t="shared" si="36"/>
        <v>2245</v>
      </c>
      <c r="I781" s="7">
        <f t="shared" si="37"/>
        <v>35</v>
      </c>
      <c r="J781" s="9">
        <f t="shared" si="38"/>
        <v>0.68133427963094395</v>
      </c>
      <c r="K781" s="9"/>
      <c r="L781" s="13"/>
      <c r="M781" s="13"/>
      <c r="N781" s="7">
        <f>'Option source'!C65</f>
        <v>0</v>
      </c>
      <c r="O781" s="7">
        <f>'Option source'!G65</f>
        <v>2323.19</v>
      </c>
      <c r="P781" s="7">
        <f>'Option source'!F65</f>
        <v>2323.19</v>
      </c>
      <c r="Q781" s="1" t="s">
        <v>130</v>
      </c>
      <c r="R781" s="1">
        <v>60</v>
      </c>
    </row>
    <row r="782" spans="1:18" ht="21" customHeight="1">
      <c r="A782" s="8">
        <v>46260</v>
      </c>
      <c r="B782" s="1" t="s">
        <v>131</v>
      </c>
      <c r="C782" s="39" t="s">
        <v>90</v>
      </c>
      <c r="D782" s="7">
        <v>4800</v>
      </c>
      <c r="E782" s="7">
        <f>'Option source'!B547</f>
        <v>4.0999999999999996</v>
      </c>
      <c r="F782" s="7">
        <v>7045</v>
      </c>
      <c r="G782" s="14">
        <v>51</v>
      </c>
      <c r="H782" s="7">
        <f t="shared" si="36"/>
        <v>0</v>
      </c>
      <c r="I782" s="7">
        <f t="shared" si="37"/>
        <v>4.0999999999999996</v>
      </c>
      <c r="J782" s="9">
        <f t="shared" si="38"/>
        <v>0.68133427963094395</v>
      </c>
      <c r="K782" s="9">
        <v>0.49736675434058919</v>
      </c>
      <c r="L782" s="13">
        <v>-8.6029393162941892E-3</v>
      </c>
      <c r="M782" s="13">
        <v>0.61526843739827008</v>
      </c>
      <c r="N782" s="7">
        <f>'Option source'!C547</f>
        <v>116677</v>
      </c>
      <c r="O782" s="7">
        <f>'Option source'!G547</f>
        <v>3.8</v>
      </c>
      <c r="P782" s="7">
        <f>'Option source'!F547</f>
        <v>5</v>
      </c>
      <c r="Q782" s="1" t="s">
        <v>88</v>
      </c>
      <c r="R782" s="1">
        <v>542</v>
      </c>
    </row>
    <row r="783" spans="1:18" ht="21" customHeight="1">
      <c r="A783" s="8">
        <v>46260</v>
      </c>
      <c r="B783" s="1" t="s">
        <v>134</v>
      </c>
      <c r="C783" s="39" t="s">
        <v>87</v>
      </c>
      <c r="D783" s="7">
        <v>4600</v>
      </c>
      <c r="E783" s="7">
        <f>'Option source'!B48</f>
        <v>2493.23</v>
      </c>
      <c r="F783" s="7">
        <v>7045</v>
      </c>
      <c r="G783" s="14">
        <v>51</v>
      </c>
      <c r="H783" s="7">
        <f t="shared" si="36"/>
        <v>2445</v>
      </c>
      <c r="I783" s="7">
        <f t="shared" si="37"/>
        <v>48.230000000000018</v>
      </c>
      <c r="J783" s="9">
        <f t="shared" si="38"/>
        <v>0.65294535131298792</v>
      </c>
      <c r="K783" s="9"/>
      <c r="L783" s="13"/>
      <c r="M783" s="13"/>
      <c r="N783" s="7">
        <f>'Option source'!C48</f>
        <v>0</v>
      </c>
      <c r="O783" s="7">
        <f>'Option source'!G48</f>
        <v>2493.23</v>
      </c>
      <c r="P783" s="7">
        <f>'Option source'!F48</f>
        <v>2493.23</v>
      </c>
      <c r="Q783" s="1" t="s">
        <v>25</v>
      </c>
      <c r="R783" s="1">
        <v>43</v>
      </c>
    </row>
    <row r="784" spans="1:18" ht="21" customHeight="1">
      <c r="A784" s="8">
        <v>46260</v>
      </c>
      <c r="B784" s="1" t="s">
        <v>135</v>
      </c>
      <c r="C784" s="39" t="s">
        <v>90</v>
      </c>
      <c r="D784" s="7">
        <v>4600</v>
      </c>
      <c r="E784" s="7">
        <f>'Option source'!B528</f>
        <v>3.41</v>
      </c>
      <c r="F784" s="7">
        <v>7045</v>
      </c>
      <c r="G784" s="14">
        <v>51</v>
      </c>
      <c r="H784" s="7">
        <f t="shared" si="36"/>
        <v>0</v>
      </c>
      <c r="I784" s="7">
        <f t="shared" si="37"/>
        <v>3.41</v>
      </c>
      <c r="J784" s="9">
        <f t="shared" si="38"/>
        <v>0.65294535131298792</v>
      </c>
      <c r="K784" s="9">
        <v>0.53028404501817605</v>
      </c>
      <c r="L784" s="13">
        <v>-6.9269262452686942E-3</v>
      </c>
      <c r="M784" s="13">
        <v>0.50844048040806211</v>
      </c>
      <c r="N784" s="7">
        <f>'Option source'!C528</f>
        <v>175435</v>
      </c>
      <c r="O784" s="7">
        <f>'Option source'!G528</f>
        <v>2.56</v>
      </c>
      <c r="P784" s="7">
        <f>'Option source'!F528</f>
        <v>4</v>
      </c>
      <c r="Q784" s="1" t="s">
        <v>88</v>
      </c>
      <c r="R784" s="1">
        <v>523</v>
      </c>
    </row>
    <row r="785" spans="1:18" ht="21" customHeight="1">
      <c r="A785" s="8">
        <v>46260</v>
      </c>
      <c r="B785" s="1" t="s">
        <v>142</v>
      </c>
      <c r="C785" s="39" t="s">
        <v>87</v>
      </c>
      <c r="D785" s="7">
        <v>9500</v>
      </c>
      <c r="E785" s="7">
        <f>'Option source'!B452</f>
        <v>27.58</v>
      </c>
      <c r="F785" s="7">
        <v>7045</v>
      </c>
      <c r="G785" s="14">
        <v>51</v>
      </c>
      <c r="H785" s="7">
        <f t="shared" si="36"/>
        <v>0</v>
      </c>
      <c r="I785" s="7">
        <f t="shared" si="37"/>
        <v>27.58</v>
      </c>
      <c r="J785" s="9">
        <f t="shared" si="38"/>
        <v>1.3484740951029099</v>
      </c>
      <c r="K785" s="9">
        <v>0.42282141190180889</v>
      </c>
      <c r="L785" s="13">
        <v>6.0884421650827969E-2</v>
      </c>
      <c r="M785" s="13">
        <v>3.1731298920124003</v>
      </c>
      <c r="N785" s="7">
        <f>'Option source'!C452</f>
        <v>5708698.5</v>
      </c>
      <c r="O785" s="7">
        <f>'Option source'!G452</f>
        <v>25.66</v>
      </c>
      <c r="P785" s="7">
        <f>'Option source'!F452</f>
        <v>35</v>
      </c>
      <c r="Q785" s="1" t="s">
        <v>88</v>
      </c>
      <c r="R785" s="1">
        <v>447</v>
      </c>
    </row>
    <row r="786" spans="1:18" ht="21" customHeight="1">
      <c r="A786" s="8">
        <v>46260</v>
      </c>
      <c r="B786" s="1" t="s">
        <v>136</v>
      </c>
      <c r="C786" s="39" t="s">
        <v>87</v>
      </c>
      <c r="D786" s="7">
        <v>4400</v>
      </c>
      <c r="E786" s="7">
        <f>'Option source'!B29</f>
        <v>2387.12</v>
      </c>
      <c r="F786" s="7">
        <v>7045</v>
      </c>
      <c r="G786" s="14">
        <v>51</v>
      </c>
      <c r="H786" s="7">
        <f t="shared" si="36"/>
        <v>2645</v>
      </c>
      <c r="I786" s="7">
        <f t="shared" si="37"/>
        <v>-257.88000000000011</v>
      </c>
      <c r="J786" s="9">
        <f t="shared" si="38"/>
        <v>0.62455642299503189</v>
      </c>
      <c r="K786" s="9"/>
      <c r="L786" s="13"/>
      <c r="M786" s="13"/>
      <c r="N786" s="7">
        <f>'Option source'!C29</f>
        <v>0</v>
      </c>
      <c r="O786" s="7">
        <f>'Option source'!G29</f>
        <v>2366.48</v>
      </c>
      <c r="P786" s="7">
        <f>'Option source'!F29</f>
        <v>2376.5</v>
      </c>
      <c r="Q786" s="1" t="s">
        <v>145</v>
      </c>
      <c r="R786" s="1">
        <v>24</v>
      </c>
    </row>
    <row r="787" spans="1:18" ht="21" customHeight="1">
      <c r="A787" s="8">
        <v>46260</v>
      </c>
      <c r="B787" s="1" t="s">
        <v>137</v>
      </c>
      <c r="C787" s="39" t="s">
        <v>90</v>
      </c>
      <c r="D787" s="7">
        <v>4400</v>
      </c>
      <c r="E787" s="7">
        <f>'Option source'!B509</f>
        <v>2.68</v>
      </c>
      <c r="F787" s="7">
        <v>7045</v>
      </c>
      <c r="G787" s="14">
        <v>51</v>
      </c>
      <c r="H787" s="7">
        <f t="shared" si="36"/>
        <v>0</v>
      </c>
      <c r="I787" s="7">
        <f t="shared" si="37"/>
        <v>2.68</v>
      </c>
      <c r="J787" s="9">
        <f t="shared" si="38"/>
        <v>0.62455642299503189</v>
      </c>
      <c r="K787" s="9">
        <v>0.55983322644276767</v>
      </c>
      <c r="L787" s="13">
        <v>-5.3200096736203406E-3</v>
      </c>
      <c r="M787" s="13">
        <v>0.40240081708205239</v>
      </c>
      <c r="N787" s="7">
        <f>'Option source'!C509</f>
        <v>357127.69</v>
      </c>
      <c r="O787" s="7">
        <f>'Option source'!G509</f>
        <v>2.2000000000000002</v>
      </c>
      <c r="P787" s="7">
        <f>'Option source'!F509</f>
        <v>3.9</v>
      </c>
      <c r="Q787" s="1" t="s">
        <v>88</v>
      </c>
      <c r="R787" s="1">
        <v>504</v>
      </c>
    </row>
    <row r="788" spans="1:18" ht="21" customHeight="1">
      <c r="A788" s="8">
        <v>46260</v>
      </c>
      <c r="B788" s="1" t="s">
        <v>140</v>
      </c>
      <c r="C788" s="39" t="s">
        <v>87</v>
      </c>
      <c r="D788" s="7">
        <v>4200</v>
      </c>
      <c r="E788" s="7">
        <f>'Option source'!B10</f>
        <v>2914.64</v>
      </c>
      <c r="F788" s="7">
        <v>7045</v>
      </c>
      <c r="G788" s="14">
        <v>51</v>
      </c>
      <c r="H788" s="7">
        <f t="shared" si="36"/>
        <v>2845</v>
      </c>
      <c r="I788" s="7">
        <f t="shared" si="37"/>
        <v>69.639999999999873</v>
      </c>
      <c r="J788" s="9">
        <f t="shared" si="38"/>
        <v>0.59616749467707597</v>
      </c>
      <c r="K788" s="9"/>
      <c r="L788" s="13"/>
      <c r="M788" s="13"/>
      <c r="N788" s="7">
        <f>'Option source'!C10</f>
        <v>1761738</v>
      </c>
      <c r="O788" s="7">
        <f>'Option source'!G10</f>
        <v>2929.59</v>
      </c>
      <c r="P788" s="7">
        <f>'Option source'!F10</f>
        <v>2964.46</v>
      </c>
      <c r="Q788" s="1" t="s">
        <v>109</v>
      </c>
      <c r="R788" s="1">
        <v>5</v>
      </c>
    </row>
    <row r="789" spans="1:18" ht="21" customHeight="1">
      <c r="A789" s="8">
        <v>46260</v>
      </c>
      <c r="B789" s="1" t="s">
        <v>141</v>
      </c>
      <c r="C789" s="39" t="s">
        <v>90</v>
      </c>
      <c r="D789" s="7">
        <v>4200</v>
      </c>
      <c r="E789" s="7">
        <f>'Option source'!B490</f>
        <v>2.59</v>
      </c>
      <c r="F789" s="7">
        <v>7045</v>
      </c>
      <c r="G789" s="14">
        <v>51</v>
      </c>
      <c r="H789" s="7">
        <f t="shared" si="36"/>
        <v>0</v>
      </c>
      <c r="I789" s="7">
        <f t="shared" si="37"/>
        <v>2.59</v>
      </c>
      <c r="J789" s="9">
        <f t="shared" si="38"/>
        <v>0.59616749467707597</v>
      </c>
      <c r="K789" s="9">
        <v>0.60381465787139654</v>
      </c>
      <c r="L789" s="13">
        <v>-4.7959892127431569E-3</v>
      </c>
      <c r="M789" s="13">
        <v>0.36690845225396379</v>
      </c>
      <c r="N789" s="7">
        <f>'Option source'!C490</f>
        <v>339267.31</v>
      </c>
      <c r="O789" s="7">
        <f>'Option source'!G490</f>
        <v>1.71</v>
      </c>
      <c r="P789" s="7">
        <f>'Option source'!F490</f>
        <v>3.33</v>
      </c>
      <c r="Q789" s="1" t="s">
        <v>88</v>
      </c>
      <c r="R789" s="1">
        <v>485</v>
      </c>
    </row>
    <row r="790" spans="1:18" ht="21" customHeight="1">
      <c r="A790" s="8">
        <v>46260</v>
      </c>
      <c r="B790" s="1" t="s">
        <v>143</v>
      </c>
      <c r="C790" s="39" t="s">
        <v>87</v>
      </c>
      <c r="D790" s="7">
        <v>9900</v>
      </c>
      <c r="E790" s="7">
        <f>'Option source'!B471</f>
        <v>16.5</v>
      </c>
      <c r="F790" s="7">
        <v>7045</v>
      </c>
      <c r="G790" s="14">
        <v>51</v>
      </c>
      <c r="H790" s="7">
        <f t="shared" si="36"/>
        <v>0</v>
      </c>
      <c r="I790" s="7">
        <f t="shared" si="37"/>
        <v>16.5</v>
      </c>
      <c r="J790" s="9">
        <f t="shared" si="38"/>
        <v>1.4052519517388218</v>
      </c>
      <c r="K790" s="9">
        <v>0.43117607988267859</v>
      </c>
      <c r="L790" s="13">
        <v>3.8346265947711559E-2</v>
      </c>
      <c r="M790" s="13">
        <v>2.1926503827990618</v>
      </c>
      <c r="N790" s="7">
        <f>'Option source'!C471</f>
        <v>1567710.62</v>
      </c>
      <c r="O790" s="7">
        <f>'Option source'!G471</f>
        <v>15</v>
      </c>
      <c r="P790" s="7">
        <f>'Option source'!F471</f>
        <v>22</v>
      </c>
      <c r="Q790" s="1" t="s">
        <v>88</v>
      </c>
      <c r="R790" s="1">
        <v>466</v>
      </c>
    </row>
    <row r="791" spans="1:18" ht="21" customHeight="1">
      <c r="A791" s="8">
        <v>46259</v>
      </c>
      <c r="B791" s="1" t="s">
        <v>93</v>
      </c>
      <c r="C791" s="39" t="s">
        <v>87</v>
      </c>
      <c r="D791" s="7">
        <v>7000</v>
      </c>
      <c r="E791" s="7">
        <f>'Option source'!B261</f>
        <v>604.66</v>
      </c>
      <c r="F791" s="7">
        <v>7075</v>
      </c>
      <c r="G791" s="14">
        <v>52</v>
      </c>
      <c r="H791" s="7">
        <f t="shared" si="36"/>
        <v>75</v>
      </c>
      <c r="I791" s="7">
        <f t="shared" si="37"/>
        <v>529.66</v>
      </c>
      <c r="J791" s="9">
        <f t="shared" si="38"/>
        <v>0.98939929328621912</v>
      </c>
      <c r="K791" s="9">
        <v>0.37980973352066488</v>
      </c>
      <c r="L791" s="13">
        <v>0.67153389575037314</v>
      </c>
      <c r="M791" s="13">
        <v>9.6528324320123886</v>
      </c>
      <c r="N791" s="7">
        <f>'Option source'!C261</f>
        <v>487959488</v>
      </c>
      <c r="O791" s="7">
        <f>'Option source'!G261</f>
        <v>520</v>
      </c>
      <c r="P791" s="7">
        <f>'Option source'!F261</f>
        <v>615</v>
      </c>
      <c r="Q791" s="1" t="s">
        <v>88</v>
      </c>
      <c r="R791" s="1">
        <v>256</v>
      </c>
    </row>
    <row r="792" spans="1:18" ht="21" customHeight="1">
      <c r="A792" s="8">
        <v>46259</v>
      </c>
      <c r="B792" s="1" t="s">
        <v>94</v>
      </c>
      <c r="C792" s="39" t="s">
        <v>90</v>
      </c>
      <c r="D792" s="7">
        <v>7000</v>
      </c>
      <c r="E792" s="7">
        <f>'Option source'!B755</f>
        <v>333.44</v>
      </c>
      <c r="F792" s="7">
        <v>7075</v>
      </c>
      <c r="G792" s="14">
        <v>52</v>
      </c>
      <c r="H792" s="7">
        <f t="shared" si="36"/>
        <v>0</v>
      </c>
      <c r="I792" s="7">
        <f t="shared" si="37"/>
        <v>333.44</v>
      </c>
      <c r="J792" s="9">
        <f t="shared" si="38"/>
        <v>0.98939929328621912</v>
      </c>
      <c r="K792" s="9">
        <v>0.45075767305580433</v>
      </c>
      <c r="L792" s="13">
        <v>-0.34497758327368633</v>
      </c>
      <c r="M792" s="13">
        <v>9.8386670022630724</v>
      </c>
      <c r="N792" s="7">
        <f>'Option source'!C755</f>
        <v>147368496</v>
      </c>
      <c r="O792" s="7">
        <f>'Option source'!G755</f>
        <v>325.02</v>
      </c>
      <c r="P792" s="7">
        <f>'Option source'!F755</f>
        <v>429</v>
      </c>
      <c r="Q792" s="1" t="s">
        <v>88</v>
      </c>
      <c r="R792" s="1">
        <v>750</v>
      </c>
    </row>
    <row r="793" spans="1:18" ht="21" customHeight="1">
      <c r="A793" s="8">
        <v>46259</v>
      </c>
      <c r="B793" s="1" t="s">
        <v>97</v>
      </c>
      <c r="C793" s="39" t="s">
        <v>87</v>
      </c>
      <c r="D793" s="7">
        <v>7200</v>
      </c>
      <c r="E793" s="7">
        <f>'Option source'!B280</f>
        <v>501.24</v>
      </c>
      <c r="F793" s="7">
        <v>7075</v>
      </c>
      <c r="G793" s="14">
        <v>52</v>
      </c>
      <c r="H793" s="7">
        <f t="shared" si="36"/>
        <v>0</v>
      </c>
      <c r="I793" s="7">
        <f t="shared" si="37"/>
        <v>501.24</v>
      </c>
      <c r="J793" s="9">
        <f t="shared" si="38"/>
        <v>1.0176678445229681</v>
      </c>
      <c r="K793" s="9">
        <v>0.38727636822761541</v>
      </c>
      <c r="L793" s="13">
        <v>0.59702795164228728</v>
      </c>
      <c r="M793" s="13">
        <v>10.336820660432707</v>
      </c>
      <c r="N793" s="7">
        <f>'Option source'!C280</f>
        <v>350747936</v>
      </c>
      <c r="O793" s="7">
        <f>'Option source'!G280</f>
        <v>440</v>
      </c>
      <c r="P793" s="7">
        <f>'Option source'!F280</f>
        <v>513.01</v>
      </c>
      <c r="Q793" s="1" t="s">
        <v>88</v>
      </c>
      <c r="R793" s="1">
        <v>275</v>
      </c>
    </row>
    <row r="794" spans="1:18" ht="21" customHeight="1">
      <c r="A794" s="8">
        <v>46259</v>
      </c>
      <c r="B794" s="1" t="s">
        <v>98</v>
      </c>
      <c r="C794" s="39" t="s">
        <v>90</v>
      </c>
      <c r="D794" s="7">
        <v>7200</v>
      </c>
      <c r="E794" s="7">
        <f>'Option source'!B774</f>
        <v>428.03</v>
      </c>
      <c r="F794" s="7">
        <v>7075</v>
      </c>
      <c r="G794" s="14">
        <v>52</v>
      </c>
      <c r="H794" s="7">
        <f t="shared" si="36"/>
        <v>125</v>
      </c>
      <c r="I794" s="7">
        <f t="shared" si="37"/>
        <v>303.02999999999997</v>
      </c>
      <c r="J794" s="9">
        <f t="shared" si="38"/>
        <v>1.0176678445229681</v>
      </c>
      <c r="K794" s="9">
        <v>0.45005982657376198</v>
      </c>
      <c r="L794" s="13">
        <v>-0.40771129387617611</v>
      </c>
      <c r="M794" s="13">
        <v>10.367137220579302</v>
      </c>
      <c r="N794" s="7">
        <f>'Option source'!C774</f>
        <v>37851692</v>
      </c>
      <c r="O794" s="7">
        <f>'Option source'!G774</f>
        <v>428</v>
      </c>
      <c r="P794" s="7">
        <f>'Option source'!F774</f>
        <v>540</v>
      </c>
      <c r="Q794" s="1" t="s">
        <v>88</v>
      </c>
      <c r="R794" s="1">
        <v>769</v>
      </c>
    </row>
    <row r="795" spans="1:18" ht="21" customHeight="1">
      <c r="A795" s="8">
        <v>46259</v>
      </c>
      <c r="B795" s="1" t="s">
        <v>86</v>
      </c>
      <c r="C795" s="39" t="s">
        <v>87</v>
      </c>
      <c r="D795" s="7">
        <v>6800</v>
      </c>
      <c r="E795" s="7">
        <f>'Option source'!B242</f>
        <v>720.8</v>
      </c>
      <c r="F795" s="7">
        <v>7075</v>
      </c>
      <c r="G795" s="14">
        <v>52</v>
      </c>
      <c r="H795" s="7">
        <f t="shared" si="36"/>
        <v>275</v>
      </c>
      <c r="I795" s="7">
        <f t="shared" si="37"/>
        <v>445.79999999999995</v>
      </c>
      <c r="J795" s="9">
        <f t="shared" si="38"/>
        <v>0.96113074204946991</v>
      </c>
      <c r="K795" s="9">
        <v>0.3687543746264727</v>
      </c>
      <c r="L795" s="13">
        <v>0.74585394501785784</v>
      </c>
      <c r="M795" s="13">
        <v>8.5599681448419318</v>
      </c>
      <c r="N795" s="7">
        <f>'Option source'!C242</f>
        <v>187535632</v>
      </c>
      <c r="O795" s="7">
        <f>'Option source'!G242</f>
        <v>628</v>
      </c>
      <c r="P795" s="7">
        <f>'Option source'!F242</f>
        <v>749</v>
      </c>
      <c r="Q795" s="1" t="s">
        <v>88</v>
      </c>
      <c r="R795" s="1">
        <v>237</v>
      </c>
    </row>
    <row r="796" spans="1:18" ht="21" customHeight="1">
      <c r="A796" s="8">
        <v>46259</v>
      </c>
      <c r="B796" s="1" t="s">
        <v>89</v>
      </c>
      <c r="C796" s="39" t="s">
        <v>90</v>
      </c>
      <c r="D796" s="7">
        <v>6800</v>
      </c>
      <c r="E796" s="7">
        <f>'Option source'!B736</f>
        <v>251.5</v>
      </c>
      <c r="F796" s="7">
        <v>7075</v>
      </c>
      <c r="G796" s="14">
        <v>52</v>
      </c>
      <c r="H796" s="7">
        <f t="shared" si="36"/>
        <v>0</v>
      </c>
      <c r="I796" s="7">
        <f t="shared" si="37"/>
        <v>251.5</v>
      </c>
      <c r="J796" s="9">
        <f t="shared" si="38"/>
        <v>0.96113074204946991</v>
      </c>
      <c r="K796" s="9">
        <v>0.44916542339315596</v>
      </c>
      <c r="L796" s="13">
        <v>-0.28409821290797577</v>
      </c>
      <c r="M796" s="13">
        <v>9.0524224053588966</v>
      </c>
      <c r="N796" s="7">
        <f>'Option source'!C736</f>
        <v>144849968</v>
      </c>
      <c r="O796" s="7">
        <f>'Option source'!G736</f>
        <v>240</v>
      </c>
      <c r="P796" s="7">
        <f>'Option source'!F736</f>
        <v>335</v>
      </c>
      <c r="Q796" s="1" t="s">
        <v>88</v>
      </c>
      <c r="R796" s="1">
        <v>731</v>
      </c>
    </row>
    <row r="797" spans="1:18" ht="21" customHeight="1">
      <c r="A797" s="8">
        <v>46259</v>
      </c>
      <c r="B797" s="1" t="s">
        <v>102</v>
      </c>
      <c r="C797" s="39" t="s">
        <v>87</v>
      </c>
      <c r="D797" s="7">
        <v>7400</v>
      </c>
      <c r="E797" s="7">
        <f>'Option source'!B299</f>
        <v>414.81</v>
      </c>
      <c r="F797" s="7">
        <v>7075</v>
      </c>
      <c r="G797" s="14">
        <v>52</v>
      </c>
      <c r="H797" s="7">
        <f t="shared" si="36"/>
        <v>0</v>
      </c>
      <c r="I797" s="7">
        <f t="shared" si="37"/>
        <v>414.81</v>
      </c>
      <c r="J797" s="9">
        <f t="shared" si="38"/>
        <v>1.0459363957597174</v>
      </c>
      <c r="K797" s="9">
        <v>0.39648538289926311</v>
      </c>
      <c r="L797" s="13">
        <v>0.52404433945122142</v>
      </c>
      <c r="M797" s="13">
        <v>10.634130993781262</v>
      </c>
      <c r="N797" s="7">
        <f>'Option source'!C299</f>
        <v>250697120</v>
      </c>
      <c r="O797" s="7">
        <f>'Option source'!G299</f>
        <v>358</v>
      </c>
      <c r="P797" s="7">
        <f>'Option source'!F299</f>
        <v>425</v>
      </c>
      <c r="Q797" s="1" t="s">
        <v>88</v>
      </c>
      <c r="R797" s="1">
        <v>294</v>
      </c>
    </row>
    <row r="798" spans="1:18" ht="21" customHeight="1">
      <c r="A798" s="8">
        <v>46259</v>
      </c>
      <c r="B798" s="1" t="s">
        <v>103</v>
      </c>
      <c r="C798" s="39" t="s">
        <v>90</v>
      </c>
      <c r="D798" s="7">
        <v>7400</v>
      </c>
      <c r="E798" s="7">
        <f>'Option source'!B793</f>
        <v>535.79999999999995</v>
      </c>
      <c r="F798" s="7">
        <v>7075</v>
      </c>
      <c r="G798" s="14">
        <v>52</v>
      </c>
      <c r="H798" s="7">
        <f t="shared" si="36"/>
        <v>325</v>
      </c>
      <c r="I798" s="7">
        <f t="shared" si="37"/>
        <v>210.79999999999995</v>
      </c>
      <c r="J798" s="9">
        <f t="shared" si="38"/>
        <v>1.0459363957597174</v>
      </c>
      <c r="K798" s="9">
        <v>0.44708072662739834</v>
      </c>
      <c r="L798" s="13">
        <v>-0.47150055465972429</v>
      </c>
      <c r="M798" s="13">
        <v>10.626290606080765</v>
      </c>
      <c r="N798" s="7">
        <f>'Option source'!C793</f>
        <v>35472140</v>
      </c>
      <c r="O798" s="7">
        <f>'Option source'!G793</f>
        <v>534.01</v>
      </c>
      <c r="P798" s="7">
        <f>'Option source'!F793</f>
        <v>664</v>
      </c>
      <c r="Q798" s="1" t="s">
        <v>88</v>
      </c>
      <c r="R798" s="1">
        <v>788</v>
      </c>
    </row>
    <row r="799" spans="1:18" ht="21" customHeight="1">
      <c r="A799" s="8">
        <v>46259</v>
      </c>
      <c r="B799" s="1" t="s">
        <v>91</v>
      </c>
      <c r="C799" s="39" t="s">
        <v>87</v>
      </c>
      <c r="D799" s="7">
        <v>6600</v>
      </c>
      <c r="E799" s="7">
        <f>'Option source'!B223</f>
        <v>852.31</v>
      </c>
      <c r="F799" s="7">
        <v>7075</v>
      </c>
      <c r="G799" s="14">
        <v>52</v>
      </c>
      <c r="H799" s="7">
        <f t="shared" si="36"/>
        <v>475</v>
      </c>
      <c r="I799" s="7">
        <f t="shared" si="37"/>
        <v>377.30999999999995</v>
      </c>
      <c r="J799" s="9">
        <f t="shared" si="38"/>
        <v>0.93286219081272082</v>
      </c>
      <c r="K799" s="9">
        <v>0.35575168270690222</v>
      </c>
      <c r="L799" s="13">
        <v>0.8167378622821686</v>
      </c>
      <c r="M799" s="13">
        <v>7.0864175471713864</v>
      </c>
      <c r="N799" s="7">
        <f>'Option source'!C223</f>
        <v>139653152</v>
      </c>
      <c r="O799" s="7">
        <f>'Option source'!G223</f>
        <v>650</v>
      </c>
      <c r="P799" s="7">
        <f>'Option source'!F223</f>
        <v>859.9</v>
      </c>
      <c r="Q799" s="1" t="s">
        <v>88</v>
      </c>
      <c r="R799" s="1">
        <v>218</v>
      </c>
    </row>
    <row r="800" spans="1:18" ht="21" customHeight="1">
      <c r="A800" s="8">
        <v>46259</v>
      </c>
      <c r="B800" s="1" t="s">
        <v>92</v>
      </c>
      <c r="C800" s="39" t="s">
        <v>90</v>
      </c>
      <c r="D800" s="7">
        <v>6600</v>
      </c>
      <c r="E800" s="7">
        <f>'Option source'!B717</f>
        <v>188.16</v>
      </c>
      <c r="F800" s="7">
        <v>7075</v>
      </c>
      <c r="G800" s="14">
        <v>52</v>
      </c>
      <c r="H800" s="7">
        <f t="shared" si="36"/>
        <v>0</v>
      </c>
      <c r="I800" s="7">
        <f t="shared" si="37"/>
        <v>188.16</v>
      </c>
      <c r="J800" s="9">
        <f t="shared" si="38"/>
        <v>0.93286219081272082</v>
      </c>
      <c r="K800" s="9">
        <v>0.45275159054874498</v>
      </c>
      <c r="L800" s="13">
        <v>-0.2289742592462396</v>
      </c>
      <c r="M800" s="13">
        <v>8.0884340052687413</v>
      </c>
      <c r="N800" s="7">
        <f>'Option source'!C717</f>
        <v>212049856</v>
      </c>
      <c r="O800" s="7">
        <f>'Option source'!G717</f>
        <v>183</v>
      </c>
      <c r="P800" s="7">
        <f>'Option source'!F717</f>
        <v>263</v>
      </c>
      <c r="Q800" s="1" t="s">
        <v>88</v>
      </c>
      <c r="R800" s="1">
        <v>712</v>
      </c>
    </row>
    <row r="801" spans="1:18" ht="21" customHeight="1">
      <c r="A801" s="8">
        <v>46259</v>
      </c>
      <c r="B801" s="1" t="s">
        <v>106</v>
      </c>
      <c r="C801" s="39" t="s">
        <v>87</v>
      </c>
      <c r="D801" s="7">
        <v>7600</v>
      </c>
      <c r="E801" s="7">
        <f>'Option source'!B318</f>
        <v>334.73</v>
      </c>
      <c r="F801" s="7">
        <v>7075</v>
      </c>
      <c r="G801" s="14">
        <v>52</v>
      </c>
      <c r="H801" s="7">
        <f t="shared" si="36"/>
        <v>0</v>
      </c>
      <c r="I801" s="7">
        <f t="shared" si="37"/>
        <v>334.73</v>
      </c>
      <c r="J801" s="9">
        <f t="shared" si="38"/>
        <v>1.0742049469964665</v>
      </c>
      <c r="K801" s="9">
        <v>0.39852106834196227</v>
      </c>
      <c r="L801" s="13">
        <v>0.45361767844787104</v>
      </c>
      <c r="M801" s="13">
        <v>10.581402549513426</v>
      </c>
      <c r="N801" s="7">
        <f>'Option source'!C318</f>
        <v>250671824</v>
      </c>
      <c r="O801" s="7">
        <f>'Option source'!G318</f>
        <v>285</v>
      </c>
      <c r="P801" s="7">
        <f>'Option source'!F318</f>
        <v>344</v>
      </c>
      <c r="Q801" s="1" t="s">
        <v>88</v>
      </c>
      <c r="R801" s="1">
        <v>313</v>
      </c>
    </row>
    <row r="802" spans="1:18" ht="21" customHeight="1">
      <c r="A802" s="8">
        <v>46259</v>
      </c>
      <c r="B802" s="1" t="s">
        <v>107</v>
      </c>
      <c r="C802" s="39" t="s">
        <v>90</v>
      </c>
      <c r="D802" s="7">
        <v>7600</v>
      </c>
      <c r="E802" s="7">
        <f>'Option source'!B812</f>
        <v>660</v>
      </c>
      <c r="F802" s="7">
        <v>7075</v>
      </c>
      <c r="G802" s="14">
        <v>52</v>
      </c>
      <c r="H802" s="7">
        <f t="shared" si="36"/>
        <v>525</v>
      </c>
      <c r="I802" s="7">
        <f t="shared" si="37"/>
        <v>135</v>
      </c>
      <c r="J802" s="9">
        <f t="shared" si="38"/>
        <v>1.0742049469964665</v>
      </c>
      <c r="K802" s="9">
        <v>0.44425515086145889</v>
      </c>
      <c r="L802" s="13">
        <v>-0.53512401553348576</v>
      </c>
      <c r="M802" s="13">
        <v>10.612169046421611</v>
      </c>
      <c r="N802" s="7">
        <f>'Option source'!C812</f>
        <v>3193109</v>
      </c>
      <c r="O802" s="7">
        <f>'Option source'!G812</f>
        <v>660</v>
      </c>
      <c r="P802" s="7">
        <f>'Option source'!F812</f>
        <v>739.87</v>
      </c>
      <c r="Q802" s="1" t="s">
        <v>88</v>
      </c>
      <c r="R802" s="1">
        <v>807</v>
      </c>
    </row>
    <row r="803" spans="1:18" ht="21" customHeight="1">
      <c r="A803" s="8">
        <v>46259</v>
      </c>
      <c r="B803" s="1" t="s">
        <v>95</v>
      </c>
      <c r="C803" s="39" t="s">
        <v>87</v>
      </c>
      <c r="D803" s="7">
        <v>6400</v>
      </c>
      <c r="E803" s="7">
        <f>'Option source'!B204</f>
        <v>982.67</v>
      </c>
      <c r="F803" s="7">
        <v>7075</v>
      </c>
      <c r="G803" s="14">
        <v>52</v>
      </c>
      <c r="H803" s="7">
        <f t="shared" si="36"/>
        <v>675</v>
      </c>
      <c r="I803" s="7">
        <f t="shared" si="37"/>
        <v>307.66999999999996</v>
      </c>
      <c r="J803" s="9">
        <f t="shared" si="38"/>
        <v>0.90459363957597172</v>
      </c>
      <c r="K803" s="9">
        <v>0.30708375505214541</v>
      </c>
      <c r="L803" s="13">
        <v>0.90178227112994369</v>
      </c>
      <c r="M803" s="13">
        <v>4.6253279935097895</v>
      </c>
      <c r="N803" s="7">
        <f>'Option source'!C204</f>
        <v>31800552</v>
      </c>
      <c r="O803" s="7">
        <f>'Option source'!G204</f>
        <v>850.01</v>
      </c>
      <c r="P803" s="7">
        <f>'Option source'!F204</f>
        <v>1025.0999999999999</v>
      </c>
      <c r="Q803" s="1" t="s">
        <v>88</v>
      </c>
      <c r="R803" s="1">
        <v>199</v>
      </c>
    </row>
    <row r="804" spans="1:18" ht="21" customHeight="1">
      <c r="A804" s="8">
        <v>46259</v>
      </c>
      <c r="B804" s="1" t="s">
        <v>96</v>
      </c>
      <c r="C804" s="39" t="s">
        <v>90</v>
      </c>
      <c r="D804" s="7">
        <v>6400</v>
      </c>
      <c r="E804" s="7">
        <f>'Option source'!B698</f>
        <v>133.02000000000001</v>
      </c>
      <c r="F804" s="7">
        <v>7075</v>
      </c>
      <c r="G804" s="14">
        <v>52</v>
      </c>
      <c r="H804" s="7">
        <f t="shared" si="36"/>
        <v>0</v>
      </c>
      <c r="I804" s="7">
        <f t="shared" si="37"/>
        <v>133.02000000000001</v>
      </c>
      <c r="J804" s="9">
        <f t="shared" si="38"/>
        <v>0.90459363957597172</v>
      </c>
      <c r="K804" s="9">
        <v>0.45008855831124067</v>
      </c>
      <c r="L804" s="13">
        <v>-0.17702931939233668</v>
      </c>
      <c r="M804" s="13">
        <v>6.934150056941859</v>
      </c>
      <c r="N804" s="7">
        <f>'Option source'!C698</f>
        <v>166157664</v>
      </c>
      <c r="O804" s="7">
        <f>'Option source'!G698</f>
        <v>130</v>
      </c>
      <c r="P804" s="7">
        <f>'Option source'!F698</f>
        <v>200</v>
      </c>
      <c r="Q804" s="1" t="s">
        <v>88</v>
      </c>
      <c r="R804" s="1">
        <v>693</v>
      </c>
    </row>
    <row r="805" spans="1:18" ht="21" customHeight="1">
      <c r="A805" s="8">
        <v>46259</v>
      </c>
      <c r="B805" s="1" t="s">
        <v>111</v>
      </c>
      <c r="C805" s="39" t="s">
        <v>87</v>
      </c>
      <c r="D805" s="7">
        <v>7800</v>
      </c>
      <c r="E805" s="7">
        <f>'Option source'!B337</f>
        <v>267.97000000000003</v>
      </c>
      <c r="F805" s="7">
        <v>7075</v>
      </c>
      <c r="G805" s="14">
        <v>52</v>
      </c>
      <c r="H805" s="7">
        <f t="shared" si="36"/>
        <v>0</v>
      </c>
      <c r="I805" s="7">
        <f t="shared" si="37"/>
        <v>267.97000000000003</v>
      </c>
      <c r="J805" s="9">
        <f t="shared" si="38"/>
        <v>1.1024734982332156</v>
      </c>
      <c r="K805" s="9">
        <v>0.4010678904645773</v>
      </c>
      <c r="L805" s="13">
        <v>0.38727912602442516</v>
      </c>
      <c r="M805" s="13">
        <v>10.225347109519024</v>
      </c>
      <c r="N805" s="7">
        <f>'Option source'!C337</f>
        <v>166736800</v>
      </c>
      <c r="O805" s="7">
        <f>'Option source'!G337</f>
        <v>180</v>
      </c>
      <c r="P805" s="7">
        <f>'Option source'!F337</f>
        <v>280</v>
      </c>
      <c r="Q805" s="1" t="s">
        <v>88</v>
      </c>
      <c r="R805" s="1">
        <v>332</v>
      </c>
    </row>
    <row r="806" spans="1:18" ht="21" customHeight="1">
      <c r="A806" s="8">
        <v>46259</v>
      </c>
      <c r="B806" s="1" t="s">
        <v>112</v>
      </c>
      <c r="C806" s="39" t="s">
        <v>90</v>
      </c>
      <c r="D806" s="7">
        <v>7800</v>
      </c>
      <c r="E806" s="7">
        <f>'Option source'!B831</f>
        <v>771</v>
      </c>
      <c r="F806" s="7">
        <v>7075</v>
      </c>
      <c r="G806" s="14">
        <v>52</v>
      </c>
      <c r="H806" s="7">
        <f t="shared" si="36"/>
        <v>725</v>
      </c>
      <c r="I806" s="7">
        <f t="shared" si="37"/>
        <v>46</v>
      </c>
      <c r="J806" s="9">
        <f t="shared" si="38"/>
        <v>1.1024734982332156</v>
      </c>
      <c r="K806" s="9"/>
      <c r="L806" s="13"/>
      <c r="M806" s="13"/>
      <c r="N806" s="7">
        <f>'Option source'!C831</f>
        <v>2489300</v>
      </c>
      <c r="O806" s="7">
        <f>'Option source'!G831</f>
        <v>840</v>
      </c>
      <c r="P806" s="7">
        <f>'Option source'!F831</f>
        <v>900</v>
      </c>
      <c r="Q806" s="1" t="s">
        <v>109</v>
      </c>
      <c r="R806" s="1">
        <v>826</v>
      </c>
    </row>
    <row r="807" spans="1:18" ht="21" customHeight="1">
      <c r="A807" s="8">
        <v>46259</v>
      </c>
      <c r="B807" s="1" t="s">
        <v>99</v>
      </c>
      <c r="C807" s="39" t="s">
        <v>87</v>
      </c>
      <c r="D807" s="7">
        <v>6200</v>
      </c>
      <c r="E807" s="7">
        <f>'Option source'!B185</f>
        <v>1000</v>
      </c>
      <c r="F807" s="7">
        <v>7075</v>
      </c>
      <c r="G807" s="14">
        <v>52</v>
      </c>
      <c r="H807" s="7">
        <f t="shared" si="36"/>
        <v>875</v>
      </c>
      <c r="I807" s="7">
        <f t="shared" si="37"/>
        <v>125</v>
      </c>
      <c r="J807" s="9">
        <f t="shared" si="38"/>
        <v>0.87632508833922262</v>
      </c>
      <c r="K807" s="9"/>
      <c r="L807" s="13"/>
      <c r="M807" s="13"/>
      <c r="N807" s="7">
        <f>'Option source'!C185</f>
        <v>200000.09</v>
      </c>
      <c r="O807" s="7">
        <f>'Option source'!G185</f>
        <v>1000</v>
      </c>
      <c r="P807" s="7">
        <f>'Option source'!F185</f>
        <v>1000</v>
      </c>
      <c r="Q807" s="1" t="s">
        <v>100</v>
      </c>
      <c r="R807" s="1">
        <v>180</v>
      </c>
    </row>
    <row r="808" spans="1:18" ht="21" customHeight="1">
      <c r="A808" s="8">
        <v>46259</v>
      </c>
      <c r="B808" s="1" t="s">
        <v>101</v>
      </c>
      <c r="C808" s="39" t="s">
        <v>90</v>
      </c>
      <c r="D808" s="7">
        <v>6200</v>
      </c>
      <c r="E808" s="7">
        <f>'Option source'!B679</f>
        <v>90.81</v>
      </c>
      <c r="F808" s="7">
        <v>7075</v>
      </c>
      <c r="G808" s="14">
        <v>52</v>
      </c>
      <c r="H808" s="7">
        <f t="shared" si="36"/>
        <v>0</v>
      </c>
      <c r="I808" s="7">
        <f t="shared" si="37"/>
        <v>90.81</v>
      </c>
      <c r="J808" s="9">
        <f t="shared" si="38"/>
        <v>0.87632508833922262</v>
      </c>
      <c r="K808" s="9">
        <v>0.44769368895687039</v>
      </c>
      <c r="L808" s="13">
        <v>-0.13163819313746938</v>
      </c>
      <c r="M808" s="13">
        <v>5.6982775412816098</v>
      </c>
      <c r="N808" s="7">
        <f>'Option source'!C679</f>
        <v>66468080</v>
      </c>
      <c r="O808" s="7">
        <f>'Option source'!G679</f>
        <v>90.15</v>
      </c>
      <c r="P808" s="7">
        <f>'Option source'!F679</f>
        <v>168</v>
      </c>
      <c r="Q808" s="1" t="s">
        <v>88</v>
      </c>
      <c r="R808" s="1">
        <v>674</v>
      </c>
    </row>
    <row r="809" spans="1:18" ht="21" customHeight="1">
      <c r="A809" s="8">
        <v>46259</v>
      </c>
      <c r="B809" s="1" t="s">
        <v>116</v>
      </c>
      <c r="C809" s="39" t="s">
        <v>87</v>
      </c>
      <c r="D809" s="7">
        <v>8000</v>
      </c>
      <c r="E809" s="7">
        <f>'Option source'!B356</f>
        <v>217.29</v>
      </c>
      <c r="F809" s="7">
        <v>7075</v>
      </c>
      <c r="G809" s="14">
        <v>52</v>
      </c>
      <c r="H809" s="7">
        <f t="shared" si="36"/>
        <v>0</v>
      </c>
      <c r="I809" s="7">
        <f t="shared" si="37"/>
        <v>217.29</v>
      </c>
      <c r="J809" s="9">
        <f t="shared" si="38"/>
        <v>1.1307420494699647</v>
      </c>
      <c r="K809" s="9">
        <v>0.40835905701037589</v>
      </c>
      <c r="L809" s="13">
        <v>0.32894251270540176</v>
      </c>
      <c r="M809" s="13">
        <v>9.6584746350442057</v>
      </c>
      <c r="N809" s="7">
        <f>'Option source'!C356</f>
        <v>492926656</v>
      </c>
      <c r="O809" s="7">
        <f>'Option source'!G356</f>
        <v>170.5</v>
      </c>
      <c r="P809" s="7">
        <f>'Option source'!F356</f>
        <v>223</v>
      </c>
      <c r="Q809" s="1" t="s">
        <v>88</v>
      </c>
      <c r="R809" s="1">
        <v>351</v>
      </c>
    </row>
    <row r="810" spans="1:18" ht="21" customHeight="1">
      <c r="A810" s="8">
        <v>46259</v>
      </c>
      <c r="B810" s="1" t="s">
        <v>117</v>
      </c>
      <c r="C810" s="39" t="s">
        <v>90</v>
      </c>
      <c r="D810" s="7">
        <v>8000</v>
      </c>
      <c r="E810" s="7">
        <f>'Option source'!B850</f>
        <v>1024</v>
      </c>
      <c r="F810" s="7">
        <v>7075</v>
      </c>
      <c r="G810" s="14">
        <v>52</v>
      </c>
      <c r="H810" s="7">
        <f t="shared" si="36"/>
        <v>925</v>
      </c>
      <c r="I810" s="7">
        <f t="shared" si="37"/>
        <v>99</v>
      </c>
      <c r="J810" s="9">
        <f t="shared" si="38"/>
        <v>1.1307420494699647</v>
      </c>
      <c r="K810" s="9">
        <v>0.52880008296372516</v>
      </c>
      <c r="L810" s="13">
        <v>-0.61855607793566914</v>
      </c>
      <c r="M810" s="13">
        <v>10.179526944198827</v>
      </c>
      <c r="N810" s="7">
        <f>'Option source'!C850</f>
        <v>2905407.5</v>
      </c>
      <c r="O810" s="7">
        <f>'Option source'!G850</f>
        <v>955</v>
      </c>
      <c r="P810" s="7">
        <f>'Option source'!F850</f>
        <v>1040</v>
      </c>
      <c r="Q810" s="1" t="s">
        <v>88</v>
      </c>
      <c r="R810" s="1">
        <v>845</v>
      </c>
    </row>
    <row r="811" spans="1:18" ht="21" customHeight="1">
      <c r="A811" s="8">
        <v>46259</v>
      </c>
      <c r="B811" s="1" t="s">
        <v>104</v>
      </c>
      <c r="C811" s="39" t="s">
        <v>87</v>
      </c>
      <c r="D811" s="7">
        <v>6000</v>
      </c>
      <c r="E811" s="7">
        <f>'Option source'!B166</f>
        <v>1200</v>
      </c>
      <c r="F811" s="7">
        <v>7075</v>
      </c>
      <c r="G811" s="14">
        <v>52</v>
      </c>
      <c r="H811" s="7">
        <f t="shared" si="36"/>
        <v>1075</v>
      </c>
      <c r="I811" s="7">
        <f t="shared" si="37"/>
        <v>125</v>
      </c>
      <c r="J811" s="9">
        <f t="shared" si="38"/>
        <v>0.84805653710247353</v>
      </c>
      <c r="K811" s="9"/>
      <c r="L811" s="13"/>
      <c r="M811" s="13"/>
      <c r="N811" s="7">
        <f>'Option source'!C166</f>
        <v>120000</v>
      </c>
      <c r="O811" s="7">
        <f>'Option source'!G166</f>
        <v>0</v>
      </c>
      <c r="P811" s="7">
        <f>'Option source'!F166</f>
        <v>0</v>
      </c>
      <c r="Q811" s="1" t="s">
        <v>109</v>
      </c>
      <c r="R811" s="1">
        <v>161</v>
      </c>
    </row>
    <row r="812" spans="1:18" ht="21" customHeight="1">
      <c r="A812" s="8">
        <v>46259</v>
      </c>
      <c r="B812" s="1" t="s">
        <v>105</v>
      </c>
      <c r="C812" s="39" t="s">
        <v>90</v>
      </c>
      <c r="D812" s="7">
        <v>6000</v>
      </c>
      <c r="E812" s="7">
        <f>'Option source'!B660</f>
        <v>60.32</v>
      </c>
      <c r="F812" s="7">
        <v>7075</v>
      </c>
      <c r="G812" s="14">
        <v>52</v>
      </c>
      <c r="H812" s="7">
        <f t="shared" si="36"/>
        <v>0</v>
      </c>
      <c r="I812" s="7">
        <f t="shared" si="37"/>
        <v>60.32</v>
      </c>
      <c r="J812" s="9">
        <f t="shared" si="38"/>
        <v>0.84805653710247353</v>
      </c>
      <c r="K812" s="9">
        <v>0.44820703863145267</v>
      </c>
      <c r="L812" s="13">
        <v>-9.4858627787597571E-2</v>
      </c>
      <c r="M812" s="13">
        <v>4.5085753699601607</v>
      </c>
      <c r="N812" s="7">
        <f>'Option source'!C660</f>
        <v>59795428</v>
      </c>
      <c r="O812" s="7">
        <f>'Option source'!G660</f>
        <v>59.51</v>
      </c>
      <c r="P812" s="7">
        <f>'Option source'!F660</f>
        <v>110</v>
      </c>
      <c r="Q812" s="1" t="s">
        <v>88</v>
      </c>
      <c r="R812" s="1">
        <v>655</v>
      </c>
    </row>
    <row r="813" spans="1:18" ht="21" customHeight="1">
      <c r="A813" s="8">
        <v>46259</v>
      </c>
      <c r="B813" s="1" t="s">
        <v>121</v>
      </c>
      <c r="C813" s="39" t="s">
        <v>87</v>
      </c>
      <c r="D813" s="7">
        <v>8300</v>
      </c>
      <c r="E813" s="7">
        <f>'Option source'!B375</f>
        <v>152.22999999999999</v>
      </c>
      <c r="F813" s="7">
        <v>7075</v>
      </c>
      <c r="G813" s="14">
        <v>52</v>
      </c>
      <c r="H813" s="7">
        <f t="shared" si="36"/>
        <v>0</v>
      </c>
      <c r="I813" s="7">
        <f t="shared" si="37"/>
        <v>152.22999999999999</v>
      </c>
      <c r="J813" s="9">
        <f t="shared" si="38"/>
        <v>1.1731448763250882</v>
      </c>
      <c r="K813" s="9">
        <v>0.41203854187384054</v>
      </c>
      <c r="L813" s="13">
        <v>0.25008902827062029</v>
      </c>
      <c r="M813" s="13">
        <v>8.4876136424931037</v>
      </c>
      <c r="N813" s="7">
        <f>'Option source'!C375</f>
        <v>95345512</v>
      </c>
      <c r="O813" s="7">
        <f>'Option source'!G375</f>
        <v>120</v>
      </c>
      <c r="P813" s="7">
        <f>'Option source'!F375</f>
        <v>157</v>
      </c>
      <c r="Q813" s="1" t="s">
        <v>88</v>
      </c>
      <c r="R813" s="1">
        <v>370</v>
      </c>
    </row>
    <row r="814" spans="1:18" ht="21" customHeight="1">
      <c r="A814" s="8">
        <v>46259</v>
      </c>
      <c r="B814" s="1" t="s">
        <v>122</v>
      </c>
      <c r="C814" s="39" t="s">
        <v>90</v>
      </c>
      <c r="D814" s="7">
        <v>8300</v>
      </c>
      <c r="E814" s="7">
        <f>'Option source'!B869</f>
        <v>1176.8399999999999</v>
      </c>
      <c r="F814" s="7">
        <v>7075</v>
      </c>
      <c r="G814" s="14">
        <v>52</v>
      </c>
      <c r="H814" s="7">
        <f t="shared" si="36"/>
        <v>1225</v>
      </c>
      <c r="I814" s="7">
        <f t="shared" si="37"/>
        <v>-48.160000000000082</v>
      </c>
      <c r="J814" s="9">
        <f t="shared" si="38"/>
        <v>1.1731448763250882</v>
      </c>
      <c r="K814" s="9"/>
      <c r="L814" s="13"/>
      <c r="M814" s="13"/>
      <c r="N814" s="7">
        <f>'Option source'!C869</f>
        <v>2028466</v>
      </c>
      <c r="O814" s="7">
        <f>'Option source'!G869</f>
        <v>1181.8399999999999</v>
      </c>
      <c r="P814" s="7">
        <f>'Option source'!F869</f>
        <v>1310</v>
      </c>
      <c r="Q814" s="1" t="s">
        <v>113</v>
      </c>
      <c r="R814" s="1">
        <v>864</v>
      </c>
    </row>
    <row r="815" spans="1:18" ht="21" customHeight="1">
      <c r="A815" s="8">
        <v>46259</v>
      </c>
      <c r="B815" s="1" t="s">
        <v>110</v>
      </c>
      <c r="C815" s="39" t="s">
        <v>90</v>
      </c>
      <c r="D815" s="7">
        <v>5800</v>
      </c>
      <c r="E815" s="7">
        <f>'Option source'!B641</f>
        <v>38.97</v>
      </c>
      <c r="F815" s="7">
        <v>7075</v>
      </c>
      <c r="G815" s="14">
        <v>52</v>
      </c>
      <c r="H815" s="7">
        <f t="shared" si="36"/>
        <v>0</v>
      </c>
      <c r="I815" s="7">
        <f t="shared" si="37"/>
        <v>38.97</v>
      </c>
      <c r="J815" s="9">
        <f t="shared" si="38"/>
        <v>0.81978798586572443</v>
      </c>
      <c r="K815" s="9">
        <v>0.44970905762080238</v>
      </c>
      <c r="L815" s="13">
        <v>-6.5863428894775811E-2</v>
      </c>
      <c r="M815" s="13">
        <v>3.420784222136827</v>
      </c>
      <c r="N815" s="7">
        <f>'Option source'!C641</f>
        <v>13776543</v>
      </c>
      <c r="O815" s="7">
        <f>'Option source'!G641</f>
        <v>36.01</v>
      </c>
      <c r="P815" s="7">
        <f>'Option source'!F641</f>
        <v>69</v>
      </c>
      <c r="Q815" s="1" t="s">
        <v>88</v>
      </c>
      <c r="R815" s="1">
        <v>636</v>
      </c>
    </row>
    <row r="816" spans="1:18" ht="21" customHeight="1">
      <c r="A816" s="8">
        <v>46259</v>
      </c>
      <c r="B816" s="1" t="s">
        <v>114</v>
      </c>
      <c r="C816" s="39" t="s">
        <v>87</v>
      </c>
      <c r="D816" s="7">
        <v>5600</v>
      </c>
      <c r="E816" s="7">
        <f>'Option source'!B137</f>
        <v>1550.9</v>
      </c>
      <c r="F816" s="7">
        <v>7075</v>
      </c>
      <c r="G816" s="14">
        <v>52</v>
      </c>
      <c r="H816" s="7">
        <f t="shared" si="36"/>
        <v>1475</v>
      </c>
      <c r="I816" s="7">
        <f t="shared" si="37"/>
        <v>75.900000000000091</v>
      </c>
      <c r="J816" s="9">
        <f t="shared" si="38"/>
        <v>0.79151943462897523</v>
      </c>
      <c r="K816" s="9"/>
      <c r="L816" s="13"/>
      <c r="M816" s="13"/>
      <c r="N816" s="7">
        <f>'Option source'!C137</f>
        <v>465269.59</v>
      </c>
      <c r="O816" s="7">
        <f>'Option source'!G137</f>
        <v>1566.63</v>
      </c>
      <c r="P816" s="7">
        <f>'Option source'!F137</f>
        <v>1566.63</v>
      </c>
      <c r="Q816" s="1" t="s">
        <v>109</v>
      </c>
      <c r="R816" s="1">
        <v>132</v>
      </c>
    </row>
    <row r="817" spans="1:18" ht="21" customHeight="1">
      <c r="A817" s="8">
        <v>46259</v>
      </c>
      <c r="B817" s="1" t="s">
        <v>115</v>
      </c>
      <c r="C817" s="39" t="s">
        <v>90</v>
      </c>
      <c r="D817" s="7">
        <v>5600</v>
      </c>
      <c r="E817" s="7">
        <f>'Option source'!B622</f>
        <v>24.16</v>
      </c>
      <c r="F817" s="7">
        <v>7075</v>
      </c>
      <c r="G817" s="14">
        <v>52</v>
      </c>
      <c r="H817" s="7">
        <f t="shared" si="36"/>
        <v>0</v>
      </c>
      <c r="I817" s="7">
        <f t="shared" si="37"/>
        <v>24.16</v>
      </c>
      <c r="J817" s="9">
        <f t="shared" si="38"/>
        <v>0.79151943462897523</v>
      </c>
      <c r="K817" s="9">
        <v>0.45140268661475497</v>
      </c>
      <c r="L817" s="13">
        <v>-4.3793269232751397E-2</v>
      </c>
      <c r="M817" s="13">
        <v>2.4763769850381738</v>
      </c>
      <c r="N817" s="7">
        <f>'Option source'!C622</f>
        <v>5709733</v>
      </c>
      <c r="O817" s="7">
        <f>'Option source'!G622</f>
        <v>24</v>
      </c>
      <c r="P817" s="7">
        <f>'Option source'!F622</f>
        <v>44.99</v>
      </c>
      <c r="Q817" s="1" t="s">
        <v>88</v>
      </c>
      <c r="R817" s="1">
        <v>617</v>
      </c>
    </row>
    <row r="818" spans="1:18" ht="21" customHeight="1">
      <c r="A818" s="8">
        <v>46259</v>
      </c>
      <c r="B818" s="1" t="s">
        <v>127</v>
      </c>
      <c r="C818" s="39" t="s">
        <v>87</v>
      </c>
      <c r="D818" s="7">
        <v>8600</v>
      </c>
      <c r="E818" s="7">
        <f>'Option source'!B394</f>
        <v>104.86</v>
      </c>
      <c r="F818" s="7">
        <v>7075</v>
      </c>
      <c r="G818" s="14">
        <v>52</v>
      </c>
      <c r="H818" s="7">
        <f t="shared" si="36"/>
        <v>0</v>
      </c>
      <c r="I818" s="7">
        <f t="shared" si="37"/>
        <v>104.86</v>
      </c>
      <c r="J818" s="9">
        <f t="shared" si="38"/>
        <v>1.215547703180212</v>
      </c>
      <c r="K818" s="9">
        <v>0.41533849815197632</v>
      </c>
      <c r="L818" s="13">
        <v>0.18563307155311143</v>
      </c>
      <c r="M818" s="13">
        <v>7.1433083749421735</v>
      </c>
      <c r="N818" s="7">
        <f>'Option source'!C394</f>
        <v>136113936</v>
      </c>
      <c r="O818" s="7">
        <f>'Option source'!G394</f>
        <v>83</v>
      </c>
      <c r="P818" s="7">
        <f>'Option source'!F394</f>
        <v>108</v>
      </c>
      <c r="Q818" s="1" t="s">
        <v>88</v>
      </c>
      <c r="R818" s="1">
        <v>389</v>
      </c>
    </row>
    <row r="819" spans="1:18" ht="21" customHeight="1">
      <c r="A819" s="8">
        <v>46259</v>
      </c>
      <c r="B819" s="1" t="s">
        <v>128</v>
      </c>
      <c r="C819" s="39" t="s">
        <v>90</v>
      </c>
      <c r="D819" s="7">
        <v>8600</v>
      </c>
      <c r="E819" s="7">
        <f>'Option source'!B888</f>
        <v>1460</v>
      </c>
      <c r="F819" s="7">
        <v>7075</v>
      </c>
      <c r="G819" s="14">
        <v>52</v>
      </c>
      <c r="H819" s="7">
        <f t="shared" si="36"/>
        <v>1525</v>
      </c>
      <c r="I819" s="7">
        <f t="shared" si="37"/>
        <v>-65</v>
      </c>
      <c r="J819" s="9">
        <f t="shared" si="38"/>
        <v>1.215547703180212</v>
      </c>
      <c r="K819" s="9"/>
      <c r="L819" s="13"/>
      <c r="M819" s="13"/>
      <c r="N819" s="7">
        <f>'Option source'!C888</f>
        <v>727213</v>
      </c>
      <c r="O819" s="7">
        <f>'Option source'!G888</f>
        <v>1432.13</v>
      </c>
      <c r="P819" s="7">
        <f>'Option source'!F888</f>
        <v>1460</v>
      </c>
      <c r="Q819" s="1" t="s">
        <v>144</v>
      </c>
      <c r="R819" s="1">
        <v>883</v>
      </c>
    </row>
    <row r="820" spans="1:18" ht="21" customHeight="1">
      <c r="A820" s="8">
        <v>46259</v>
      </c>
      <c r="B820" s="1" t="s">
        <v>119</v>
      </c>
      <c r="C820" s="39" t="s">
        <v>87</v>
      </c>
      <c r="D820" s="7">
        <v>5400</v>
      </c>
      <c r="E820" s="7">
        <f>'Option source'!B119</f>
        <v>1752.86</v>
      </c>
      <c r="F820" s="7">
        <v>7075</v>
      </c>
      <c r="G820" s="14">
        <v>52</v>
      </c>
      <c r="H820" s="7">
        <f t="shared" si="36"/>
        <v>1675</v>
      </c>
      <c r="I820" s="7">
        <f t="shared" si="37"/>
        <v>77.8599999999999</v>
      </c>
      <c r="J820" s="9">
        <f t="shared" si="38"/>
        <v>0.76325088339222613</v>
      </c>
      <c r="K820" s="9"/>
      <c r="L820" s="13"/>
      <c r="M820" s="13"/>
      <c r="N820" s="7">
        <f>'Option source'!C119</f>
        <v>75597752</v>
      </c>
      <c r="O820" s="7">
        <f>'Option source'!G119</f>
        <v>1697.73</v>
      </c>
      <c r="P820" s="7">
        <f>'Option source'!F119</f>
        <v>1766.86</v>
      </c>
      <c r="Q820" s="1" t="s">
        <v>100</v>
      </c>
      <c r="R820" s="1">
        <v>114</v>
      </c>
    </row>
    <row r="821" spans="1:18" ht="21" customHeight="1">
      <c r="A821" s="8">
        <v>46259</v>
      </c>
      <c r="B821" s="1" t="s">
        <v>120</v>
      </c>
      <c r="C821" s="39" t="s">
        <v>90</v>
      </c>
      <c r="D821" s="7">
        <v>5400</v>
      </c>
      <c r="E821" s="7">
        <f>'Option source'!B603</f>
        <v>15.88</v>
      </c>
      <c r="F821" s="7">
        <v>7075</v>
      </c>
      <c r="G821" s="14">
        <v>52</v>
      </c>
      <c r="H821" s="7">
        <f t="shared" si="36"/>
        <v>0</v>
      </c>
      <c r="I821" s="7">
        <f t="shared" si="37"/>
        <v>15.88</v>
      </c>
      <c r="J821" s="9">
        <f t="shared" si="38"/>
        <v>0.76325088339222613</v>
      </c>
      <c r="K821" s="9">
        <v>0.46254390598269396</v>
      </c>
      <c r="L821" s="13">
        <v>-3.0082346995293996E-2</v>
      </c>
      <c r="M821" s="13">
        <v>1.821149290029342</v>
      </c>
      <c r="N821" s="7">
        <f>'Option source'!C603</f>
        <v>2358763.25</v>
      </c>
      <c r="O821" s="7">
        <f>'Option source'!G603</f>
        <v>15</v>
      </c>
      <c r="P821" s="7">
        <f>'Option source'!F603</f>
        <v>40</v>
      </c>
      <c r="Q821" s="1" t="s">
        <v>88</v>
      </c>
      <c r="R821" s="1">
        <v>598</v>
      </c>
    </row>
    <row r="822" spans="1:18" ht="21" customHeight="1">
      <c r="A822" s="8">
        <v>46259</v>
      </c>
      <c r="B822" s="1" t="s">
        <v>132</v>
      </c>
      <c r="C822" s="39" t="s">
        <v>87</v>
      </c>
      <c r="D822" s="7">
        <v>8900</v>
      </c>
      <c r="E822" s="7">
        <f>'Option source'!B413</f>
        <v>65.33</v>
      </c>
      <c r="F822" s="7">
        <v>7075</v>
      </c>
      <c r="G822" s="14">
        <v>52</v>
      </c>
      <c r="H822" s="7">
        <f t="shared" si="36"/>
        <v>0</v>
      </c>
      <c r="I822" s="7">
        <f t="shared" si="37"/>
        <v>65.33</v>
      </c>
      <c r="J822" s="9">
        <f t="shared" si="38"/>
        <v>1.2579505300353357</v>
      </c>
      <c r="K822" s="9">
        <v>0.40813241102298353</v>
      </c>
      <c r="L822" s="13">
        <v>0.12814127058482999</v>
      </c>
      <c r="M822" s="13">
        <v>5.593041898631042</v>
      </c>
      <c r="N822" s="7">
        <f>'Option source'!C413</f>
        <v>19130654</v>
      </c>
      <c r="O822" s="7">
        <f>'Option source'!G413</f>
        <v>51</v>
      </c>
      <c r="P822" s="7">
        <f>'Option source'!F413</f>
        <v>71</v>
      </c>
      <c r="Q822" s="1" t="s">
        <v>88</v>
      </c>
      <c r="R822" s="1">
        <v>408</v>
      </c>
    </row>
    <row r="823" spans="1:18" ht="21" customHeight="1">
      <c r="A823" s="8">
        <v>46259</v>
      </c>
      <c r="B823" s="1" t="s">
        <v>123</v>
      </c>
      <c r="C823" s="39" t="s">
        <v>87</v>
      </c>
      <c r="D823" s="7">
        <v>5200</v>
      </c>
      <c r="E823" s="7">
        <f>'Option source'!B100</f>
        <v>1953.12</v>
      </c>
      <c r="F823" s="7">
        <v>7075</v>
      </c>
      <c r="G823" s="14">
        <v>52</v>
      </c>
      <c r="H823" s="7">
        <f t="shared" si="36"/>
        <v>1875</v>
      </c>
      <c r="I823" s="7">
        <f t="shared" si="37"/>
        <v>78.119999999999891</v>
      </c>
      <c r="J823" s="9">
        <f t="shared" si="38"/>
        <v>0.73498233215547704</v>
      </c>
      <c r="K823" s="9"/>
      <c r="L823" s="13"/>
      <c r="M823" s="13"/>
      <c r="N823" s="7">
        <f>'Option source'!C100</f>
        <v>40872712</v>
      </c>
      <c r="O823" s="7">
        <f>'Option source'!G100</f>
        <v>1888.46</v>
      </c>
      <c r="P823" s="7">
        <f>'Option source'!F100</f>
        <v>1958.63</v>
      </c>
      <c r="Q823" s="1" t="s">
        <v>100</v>
      </c>
      <c r="R823" s="1">
        <v>95</v>
      </c>
    </row>
    <row r="824" spans="1:18" ht="21" customHeight="1">
      <c r="A824" s="8">
        <v>46259</v>
      </c>
      <c r="B824" s="1" t="s">
        <v>124</v>
      </c>
      <c r="C824" s="39" t="s">
        <v>90</v>
      </c>
      <c r="D824" s="7">
        <v>5200</v>
      </c>
      <c r="E824" s="7">
        <f>'Option source'!B584</f>
        <v>10.52</v>
      </c>
      <c r="F824" s="7">
        <v>7075</v>
      </c>
      <c r="G824" s="14">
        <v>52</v>
      </c>
      <c r="H824" s="7">
        <f t="shared" si="36"/>
        <v>0</v>
      </c>
      <c r="I824" s="7">
        <f t="shared" si="37"/>
        <v>10.52</v>
      </c>
      <c r="J824" s="9">
        <f t="shared" si="38"/>
        <v>0.73498233215547704</v>
      </c>
      <c r="K824" s="9">
        <v>0.47555807200066219</v>
      </c>
      <c r="L824" s="13">
        <v>-2.0513944519951144E-2</v>
      </c>
      <c r="M824" s="13">
        <v>1.3210883205868142</v>
      </c>
      <c r="N824" s="7">
        <f>'Option source'!C584</f>
        <v>1278074.25</v>
      </c>
      <c r="O824" s="7">
        <f>'Option source'!G584</f>
        <v>10.01</v>
      </c>
      <c r="P824" s="7">
        <f>'Option source'!F584</f>
        <v>19</v>
      </c>
      <c r="Q824" s="1" t="s">
        <v>88</v>
      </c>
      <c r="R824" s="1">
        <v>579</v>
      </c>
    </row>
    <row r="825" spans="1:18" ht="21" customHeight="1">
      <c r="A825" s="8">
        <v>46259</v>
      </c>
      <c r="B825" s="1" t="s">
        <v>125</v>
      </c>
      <c r="C825" s="39" t="s">
        <v>87</v>
      </c>
      <c r="D825" s="7">
        <v>5000</v>
      </c>
      <c r="E825" s="7">
        <f>'Option source'!B81</f>
        <v>2100</v>
      </c>
      <c r="F825" s="7">
        <v>7075</v>
      </c>
      <c r="G825" s="14">
        <v>52</v>
      </c>
      <c r="H825" s="7">
        <f t="shared" si="36"/>
        <v>2075</v>
      </c>
      <c r="I825" s="7">
        <f t="shared" si="37"/>
        <v>25</v>
      </c>
      <c r="J825" s="9">
        <f t="shared" si="38"/>
        <v>0.70671378091872794</v>
      </c>
      <c r="K825" s="9"/>
      <c r="L825" s="13"/>
      <c r="M825" s="13"/>
      <c r="N825" s="7">
        <f>'Option source'!C81</f>
        <v>1467228</v>
      </c>
      <c r="O825" s="7">
        <f>'Option source'!G81</f>
        <v>2095.38</v>
      </c>
      <c r="P825" s="7">
        <f>'Option source'!F81</f>
        <v>2100</v>
      </c>
      <c r="Q825" s="1" t="s">
        <v>100</v>
      </c>
      <c r="R825" s="1">
        <v>76</v>
      </c>
    </row>
    <row r="826" spans="1:18" ht="21" customHeight="1">
      <c r="A826" s="8">
        <v>46259</v>
      </c>
      <c r="B826" s="1" t="s">
        <v>126</v>
      </c>
      <c r="C826" s="39" t="s">
        <v>90</v>
      </c>
      <c r="D826" s="7">
        <v>5000</v>
      </c>
      <c r="E826" s="7">
        <f>'Option source'!B565</f>
        <v>7.17</v>
      </c>
      <c r="F826" s="7">
        <v>7075</v>
      </c>
      <c r="G826" s="14">
        <v>52</v>
      </c>
      <c r="H826" s="7">
        <f t="shared" si="36"/>
        <v>0</v>
      </c>
      <c r="I826" s="7">
        <f t="shared" si="37"/>
        <v>7.17</v>
      </c>
      <c r="J826" s="9">
        <f t="shared" si="38"/>
        <v>0.70671378091872794</v>
      </c>
      <c r="K826" s="9">
        <v>0.49193811922191905</v>
      </c>
      <c r="L826" s="13">
        <v>-1.4170957320990718E-2</v>
      </c>
      <c r="M826" s="13">
        <v>0.96301451586150111</v>
      </c>
      <c r="N826" s="7">
        <f>'Option source'!C565</f>
        <v>1546788.5</v>
      </c>
      <c r="O826" s="7">
        <f>'Option source'!G565</f>
        <v>7</v>
      </c>
      <c r="P826" s="7">
        <f>'Option source'!F565</f>
        <v>12.95</v>
      </c>
      <c r="Q826" s="1" t="s">
        <v>88</v>
      </c>
      <c r="R826" s="1">
        <v>560</v>
      </c>
    </row>
    <row r="827" spans="1:18" ht="21" customHeight="1">
      <c r="A827" s="8">
        <v>46259</v>
      </c>
      <c r="B827" s="1" t="s">
        <v>138</v>
      </c>
      <c r="C827" s="39" t="s">
        <v>87</v>
      </c>
      <c r="D827" s="7">
        <v>9200</v>
      </c>
      <c r="E827" s="7">
        <f>'Option source'!B432</f>
        <v>45.53</v>
      </c>
      <c r="F827" s="7">
        <v>7075</v>
      </c>
      <c r="G827" s="14">
        <v>52</v>
      </c>
      <c r="H827" s="7">
        <f t="shared" si="36"/>
        <v>0</v>
      </c>
      <c r="I827" s="7">
        <f t="shared" si="37"/>
        <v>45.53</v>
      </c>
      <c r="J827" s="9">
        <f t="shared" si="38"/>
        <v>1.3003533568904593</v>
      </c>
      <c r="K827" s="9">
        <v>0.41646223452778414</v>
      </c>
      <c r="L827" s="13">
        <v>9.3366559650636657E-2</v>
      </c>
      <c r="M827" s="13">
        <v>4.456145669802507</v>
      </c>
      <c r="N827" s="7">
        <f>'Option source'!C432</f>
        <v>18251286</v>
      </c>
      <c r="O827" s="7">
        <f>'Option source'!G432</f>
        <v>36</v>
      </c>
      <c r="P827" s="7">
        <f>'Option source'!F432</f>
        <v>48</v>
      </c>
      <c r="Q827" s="1" t="s">
        <v>88</v>
      </c>
      <c r="R827" s="1">
        <v>427</v>
      </c>
    </row>
    <row r="828" spans="1:18" ht="21" customHeight="1">
      <c r="A828" s="8">
        <v>46259</v>
      </c>
      <c r="B828" s="1" t="s">
        <v>129</v>
      </c>
      <c r="C828" s="39" t="s">
        <v>87</v>
      </c>
      <c r="D828" s="7">
        <v>4800</v>
      </c>
      <c r="E828" s="7">
        <f>'Option source'!B64</f>
        <v>2280</v>
      </c>
      <c r="F828" s="7">
        <v>7075</v>
      </c>
      <c r="G828" s="14">
        <v>52</v>
      </c>
      <c r="H828" s="7">
        <f t="shared" si="36"/>
        <v>2275</v>
      </c>
      <c r="I828" s="7">
        <f t="shared" si="37"/>
        <v>5</v>
      </c>
      <c r="J828" s="9">
        <f t="shared" si="38"/>
        <v>0.67844522968197885</v>
      </c>
      <c r="K828" s="9"/>
      <c r="L828" s="13"/>
      <c r="M828" s="13"/>
      <c r="N828" s="7">
        <f>'Option source'!C64</f>
        <v>464638</v>
      </c>
      <c r="O828" s="7">
        <f>'Option source'!G64</f>
        <v>2323.19</v>
      </c>
      <c r="P828" s="7">
        <f>'Option source'!F64</f>
        <v>2323.19</v>
      </c>
      <c r="Q828" s="1" t="s">
        <v>109</v>
      </c>
      <c r="R828" s="1">
        <v>59</v>
      </c>
    </row>
    <row r="829" spans="1:18" ht="21" customHeight="1">
      <c r="A829" s="8">
        <v>46259</v>
      </c>
      <c r="B829" s="1" t="s">
        <v>131</v>
      </c>
      <c r="C829" s="39" t="s">
        <v>90</v>
      </c>
      <c r="D829" s="7">
        <v>4800</v>
      </c>
      <c r="E829" s="7">
        <f>'Option source'!B546</f>
        <v>4.7</v>
      </c>
      <c r="F829" s="7">
        <v>7075</v>
      </c>
      <c r="G829" s="14">
        <v>52</v>
      </c>
      <c r="H829" s="7">
        <f t="shared" si="36"/>
        <v>0</v>
      </c>
      <c r="I829" s="7">
        <f t="shared" si="37"/>
        <v>4.7</v>
      </c>
      <c r="J829" s="9">
        <f t="shared" si="38"/>
        <v>0.67844522968197885</v>
      </c>
      <c r="K829" s="9">
        <v>0.50672322957271843</v>
      </c>
      <c r="L829" s="13">
        <v>-9.4503624337554104E-3</v>
      </c>
      <c r="M829" s="13">
        <v>0.67742832148230459</v>
      </c>
      <c r="N829" s="7">
        <f>'Option source'!C546</f>
        <v>271898.59000000003</v>
      </c>
      <c r="O829" s="7">
        <f>'Option source'!G546</f>
        <v>4.5</v>
      </c>
      <c r="P829" s="7">
        <f>'Option source'!F546</f>
        <v>8</v>
      </c>
      <c r="Q829" s="1" t="s">
        <v>88</v>
      </c>
      <c r="R829" s="1">
        <v>541</v>
      </c>
    </row>
    <row r="830" spans="1:18" ht="21" customHeight="1">
      <c r="A830" s="8">
        <v>46259</v>
      </c>
      <c r="B830" s="1" t="s">
        <v>142</v>
      </c>
      <c r="C830" s="39" t="s">
        <v>87</v>
      </c>
      <c r="D830" s="7">
        <v>9500</v>
      </c>
      <c r="E830" s="7">
        <f>'Option source'!B451</f>
        <v>28.95</v>
      </c>
      <c r="F830" s="7">
        <v>7075</v>
      </c>
      <c r="G830" s="14">
        <v>52</v>
      </c>
      <c r="H830" s="7">
        <f t="shared" si="36"/>
        <v>0</v>
      </c>
      <c r="I830" s="7">
        <f t="shared" si="37"/>
        <v>28.95</v>
      </c>
      <c r="J830" s="9">
        <f t="shared" si="38"/>
        <v>1.342756183745583</v>
      </c>
      <c r="K830" s="9">
        <v>0.4161816212250759</v>
      </c>
      <c r="L830" s="13">
        <v>6.3558069734924838E-2</v>
      </c>
      <c r="M830" s="13">
        <v>3.3274294797615802</v>
      </c>
      <c r="N830" s="7">
        <f>'Option source'!C451</f>
        <v>5792175</v>
      </c>
      <c r="O830" s="7">
        <f>'Option source'!G451</f>
        <v>24</v>
      </c>
      <c r="P830" s="7">
        <f>'Option source'!F451</f>
        <v>31.67</v>
      </c>
      <c r="Q830" s="1" t="s">
        <v>88</v>
      </c>
      <c r="R830" s="1">
        <v>446</v>
      </c>
    </row>
    <row r="831" spans="1:18" ht="21" customHeight="1">
      <c r="A831" s="8">
        <v>46259</v>
      </c>
      <c r="B831" s="1" t="s">
        <v>134</v>
      </c>
      <c r="C831" s="39" t="s">
        <v>87</v>
      </c>
      <c r="D831" s="7">
        <v>4600</v>
      </c>
      <c r="E831" s="7">
        <f>'Option source'!B47</f>
        <v>2493.23</v>
      </c>
      <c r="F831" s="7">
        <v>7075</v>
      </c>
      <c r="G831" s="14">
        <v>52</v>
      </c>
      <c r="H831" s="7">
        <f t="shared" si="36"/>
        <v>2475</v>
      </c>
      <c r="I831" s="7">
        <f t="shared" si="37"/>
        <v>18.230000000000018</v>
      </c>
      <c r="J831" s="9">
        <f t="shared" si="38"/>
        <v>0.65017667844522964</v>
      </c>
      <c r="K831" s="9"/>
      <c r="L831" s="13"/>
      <c r="M831" s="13"/>
      <c r="N831" s="7">
        <f>'Option source'!C47</f>
        <v>498646</v>
      </c>
      <c r="O831" s="7">
        <f>'Option source'!G47</f>
        <v>0</v>
      </c>
      <c r="P831" s="7">
        <f>'Option source'!F47</f>
        <v>0</v>
      </c>
      <c r="Q831" s="1" t="s">
        <v>109</v>
      </c>
      <c r="R831" s="1">
        <v>42</v>
      </c>
    </row>
    <row r="832" spans="1:18" ht="21" customHeight="1">
      <c r="A832" s="8">
        <v>46259</v>
      </c>
      <c r="B832" s="1" t="s">
        <v>135</v>
      </c>
      <c r="C832" s="39" t="s">
        <v>90</v>
      </c>
      <c r="D832" s="7">
        <v>4600</v>
      </c>
      <c r="E832" s="7">
        <f>'Option source'!B527</f>
        <v>3.47</v>
      </c>
      <c r="F832" s="7">
        <v>7075</v>
      </c>
      <c r="G832" s="14">
        <v>52</v>
      </c>
      <c r="H832" s="7">
        <f t="shared" si="36"/>
        <v>0</v>
      </c>
      <c r="I832" s="7">
        <f t="shared" si="37"/>
        <v>3.47</v>
      </c>
      <c r="J832" s="9">
        <f t="shared" si="38"/>
        <v>0.65017667844522964</v>
      </c>
      <c r="K832" s="9">
        <v>0.53122349808963554</v>
      </c>
      <c r="L832" s="13">
        <v>-6.9370037006297736E-3</v>
      </c>
      <c r="M832" s="13">
        <v>0.51624945032780123</v>
      </c>
      <c r="N832" s="7">
        <f>'Option source'!C527</f>
        <v>132079.41</v>
      </c>
      <c r="O832" s="7">
        <f>'Option source'!G527</f>
        <v>2.59</v>
      </c>
      <c r="P832" s="7">
        <f>'Option source'!F527</f>
        <v>6</v>
      </c>
      <c r="Q832" s="1" t="s">
        <v>88</v>
      </c>
      <c r="R832" s="1">
        <v>522</v>
      </c>
    </row>
    <row r="833" spans="1:18" ht="21" customHeight="1">
      <c r="A833" s="8">
        <v>46259</v>
      </c>
      <c r="B833" s="1" t="s">
        <v>136</v>
      </c>
      <c r="C833" s="39" t="s">
        <v>87</v>
      </c>
      <c r="D833" s="7">
        <v>4400</v>
      </c>
      <c r="E833" s="7">
        <f>'Option source'!B28</f>
        <v>2387.12</v>
      </c>
      <c r="F833" s="7">
        <v>7075</v>
      </c>
      <c r="G833" s="14">
        <v>52</v>
      </c>
      <c r="H833" s="7">
        <f t="shared" si="36"/>
        <v>2675</v>
      </c>
      <c r="I833" s="7">
        <f t="shared" si="37"/>
        <v>-287.88000000000011</v>
      </c>
      <c r="J833" s="9">
        <f t="shared" si="38"/>
        <v>0.62190812720848054</v>
      </c>
      <c r="K833" s="9"/>
      <c r="L833" s="13"/>
      <c r="M833" s="13"/>
      <c r="N833" s="7">
        <f>'Option source'!C28</f>
        <v>0</v>
      </c>
      <c r="O833" s="7">
        <f>'Option source'!G28</f>
        <v>2366.48</v>
      </c>
      <c r="P833" s="7">
        <f>'Option source'!F28</f>
        <v>2376.5</v>
      </c>
      <c r="Q833" s="1" t="s">
        <v>145</v>
      </c>
      <c r="R833" s="1">
        <v>23</v>
      </c>
    </row>
    <row r="834" spans="1:18" ht="21" customHeight="1">
      <c r="A834" s="8">
        <v>46259</v>
      </c>
      <c r="B834" s="1" t="s">
        <v>137</v>
      </c>
      <c r="C834" s="39" t="s">
        <v>90</v>
      </c>
      <c r="D834" s="7">
        <v>4400</v>
      </c>
      <c r="E834" s="7">
        <f>'Option source'!B508</f>
        <v>3.02</v>
      </c>
      <c r="F834" s="7">
        <v>7075</v>
      </c>
      <c r="G834" s="14">
        <v>52</v>
      </c>
      <c r="H834" s="7">
        <f t="shared" si="36"/>
        <v>0</v>
      </c>
      <c r="I834" s="7">
        <f t="shared" si="37"/>
        <v>3.02</v>
      </c>
      <c r="J834" s="9">
        <f t="shared" si="38"/>
        <v>0.62190812720848054</v>
      </c>
      <c r="K834" s="9">
        <v>0.56647861384263065</v>
      </c>
      <c r="L834" s="13">
        <v>-5.7329625919250171E-3</v>
      </c>
      <c r="M834" s="13">
        <v>0.43607927252013906</v>
      </c>
      <c r="N834" s="7">
        <f>'Option source'!C508</f>
        <v>351163.59</v>
      </c>
      <c r="O834" s="7">
        <f>'Option source'!G508</f>
        <v>2.71</v>
      </c>
      <c r="P834" s="7">
        <f>'Option source'!F508</f>
        <v>4.5999999999999996</v>
      </c>
      <c r="Q834" s="1" t="s">
        <v>88</v>
      </c>
      <c r="R834" s="1">
        <v>503</v>
      </c>
    </row>
    <row r="835" spans="1:18" ht="21" customHeight="1">
      <c r="A835" s="8">
        <v>46259</v>
      </c>
      <c r="B835" s="1" t="s">
        <v>143</v>
      </c>
      <c r="C835" s="39" t="s">
        <v>87</v>
      </c>
      <c r="D835" s="7">
        <v>9900</v>
      </c>
      <c r="E835" s="7">
        <f>'Option source'!B470</f>
        <v>17.28</v>
      </c>
      <c r="F835" s="7">
        <v>7075</v>
      </c>
      <c r="G835" s="14">
        <v>52</v>
      </c>
      <c r="H835" s="7">
        <f t="shared" si="36"/>
        <v>0</v>
      </c>
      <c r="I835" s="7">
        <f t="shared" si="37"/>
        <v>17.28</v>
      </c>
      <c r="J835" s="9">
        <f t="shared" si="38"/>
        <v>1.3992932862190812</v>
      </c>
      <c r="K835" s="9">
        <v>0.4243152785597834</v>
      </c>
      <c r="L835" s="13">
        <v>3.9989645299187054E-2</v>
      </c>
      <c r="M835" s="13">
        <v>2.300728778054526</v>
      </c>
      <c r="N835" s="7">
        <f>'Option source'!C470</f>
        <v>1264340.3799999999</v>
      </c>
      <c r="O835" s="7">
        <f>'Option source'!G470</f>
        <v>12.99</v>
      </c>
      <c r="P835" s="7">
        <f>'Option source'!F470</f>
        <v>19</v>
      </c>
      <c r="Q835" s="1" t="s">
        <v>88</v>
      </c>
      <c r="R835" s="1">
        <v>465</v>
      </c>
    </row>
    <row r="836" spans="1:18" ht="21" customHeight="1">
      <c r="A836" s="8">
        <v>46259</v>
      </c>
      <c r="B836" s="1" t="s">
        <v>140</v>
      </c>
      <c r="C836" s="39" t="s">
        <v>87</v>
      </c>
      <c r="D836" s="7">
        <v>4200</v>
      </c>
      <c r="E836" s="7">
        <f>'Option source'!B9</f>
        <v>2865.46</v>
      </c>
      <c r="F836" s="7">
        <v>7075</v>
      </c>
      <c r="G836" s="14">
        <v>52</v>
      </c>
      <c r="H836" s="7">
        <f t="shared" si="36"/>
        <v>2875</v>
      </c>
      <c r="I836" s="7">
        <f t="shared" si="37"/>
        <v>-9.5399999999999636</v>
      </c>
      <c r="J836" s="9">
        <f t="shared" si="38"/>
        <v>0.59363957597173145</v>
      </c>
      <c r="K836" s="9"/>
      <c r="L836" s="13"/>
      <c r="M836" s="13"/>
      <c r="N836" s="7">
        <f>'Option source'!C9</f>
        <v>3405823</v>
      </c>
      <c r="O836" s="7">
        <f>'Option source'!G9</f>
        <v>2800</v>
      </c>
      <c r="P836" s="7">
        <f>'Option source'!F9</f>
        <v>2874.05</v>
      </c>
      <c r="Q836" s="1" t="s">
        <v>144</v>
      </c>
      <c r="R836" s="1">
        <v>4</v>
      </c>
    </row>
    <row r="837" spans="1:18" ht="21" customHeight="1">
      <c r="A837" s="8">
        <v>46259</v>
      </c>
      <c r="B837" s="1" t="s">
        <v>141</v>
      </c>
      <c r="C837" s="39" t="s">
        <v>90</v>
      </c>
      <c r="D837" s="7">
        <v>4200</v>
      </c>
      <c r="E837" s="7">
        <f>'Option source'!B489</f>
        <v>2.46</v>
      </c>
      <c r="F837" s="7">
        <v>7075</v>
      </c>
      <c r="G837" s="14">
        <v>52</v>
      </c>
      <c r="H837" s="7">
        <f t="shared" si="36"/>
        <v>0</v>
      </c>
      <c r="I837" s="7">
        <f t="shared" si="37"/>
        <v>2.46</v>
      </c>
      <c r="J837" s="9">
        <f t="shared" si="38"/>
        <v>0.59363957597173145</v>
      </c>
      <c r="K837" s="9">
        <v>0.59876314688923982</v>
      </c>
      <c r="L837" s="13">
        <v>-4.5330678104520405E-3</v>
      </c>
      <c r="M837" s="13">
        <v>0.35381227372259838</v>
      </c>
      <c r="N837" s="7">
        <f>'Option source'!C489</f>
        <v>349267.91</v>
      </c>
      <c r="O837" s="7">
        <f>'Option source'!G489</f>
        <v>2</v>
      </c>
      <c r="P837" s="7">
        <f>'Option source'!F489</f>
        <v>3.8</v>
      </c>
      <c r="Q837" s="1" t="s">
        <v>88</v>
      </c>
      <c r="R837" s="1">
        <v>484</v>
      </c>
    </row>
    <row r="838" spans="1:18" ht="21" customHeight="1">
      <c r="A838" s="8">
        <v>46258</v>
      </c>
      <c r="B838" s="1" t="s">
        <v>93</v>
      </c>
      <c r="C838" s="39" t="s">
        <v>87</v>
      </c>
      <c r="D838" s="7">
        <v>7000</v>
      </c>
      <c r="E838" s="7">
        <f>'Option source'!B260</f>
        <v>579.21</v>
      </c>
      <c r="F838" s="7">
        <v>6950</v>
      </c>
      <c r="G838" s="14">
        <v>53</v>
      </c>
      <c r="H838" s="7">
        <f t="shared" si="36"/>
        <v>0</v>
      </c>
      <c r="I838" s="7">
        <f t="shared" si="37"/>
        <v>579.21</v>
      </c>
      <c r="J838" s="9">
        <f t="shared" si="38"/>
        <v>1.0071942446043165</v>
      </c>
      <c r="K838" s="9">
        <v>0.42841321615853312</v>
      </c>
      <c r="L838" s="13">
        <v>0.61964691368748948</v>
      </c>
      <c r="M838" s="13">
        <v>10.086612557099508</v>
      </c>
      <c r="N838" s="7">
        <f>'Option source'!C260</f>
        <v>904627648</v>
      </c>
      <c r="O838" s="7">
        <f>'Option source'!G260</f>
        <v>385</v>
      </c>
      <c r="P838" s="7">
        <f>'Option source'!F260</f>
        <v>618</v>
      </c>
      <c r="Q838" s="1" t="s">
        <v>88</v>
      </c>
      <c r="R838" s="1">
        <v>255</v>
      </c>
    </row>
    <row r="839" spans="1:18" ht="21" customHeight="1">
      <c r="A839" s="8">
        <v>46258</v>
      </c>
      <c r="B839" s="1" t="s">
        <v>94</v>
      </c>
      <c r="C839" s="39" t="s">
        <v>90</v>
      </c>
      <c r="D839" s="7">
        <v>7000</v>
      </c>
      <c r="E839" s="7">
        <f>'Option source'!B754</f>
        <v>400.7</v>
      </c>
      <c r="F839" s="7">
        <v>6950</v>
      </c>
      <c r="G839" s="14">
        <v>53</v>
      </c>
      <c r="H839" s="7">
        <f t="shared" ref="H839:H902" si="39">MAX(IF(C839="call",F839-D839,D839-F839),0)</f>
        <v>50</v>
      </c>
      <c r="I839" s="7">
        <f t="shared" ref="I839:I902" si="40">E839-H839</f>
        <v>350.7</v>
      </c>
      <c r="J839" s="9">
        <f t="shared" ref="J839:J902" si="41">D839/F839</f>
        <v>1.0071942446043165</v>
      </c>
      <c r="K839" s="9">
        <v>0.46411065201699131</v>
      </c>
      <c r="L839" s="13">
        <v>-0.38429937658957625</v>
      </c>
      <c r="M839" s="13">
        <v>10.117901118925859</v>
      </c>
      <c r="N839" s="7">
        <f>'Option source'!C754</f>
        <v>622850880</v>
      </c>
      <c r="O839" s="7">
        <f>'Option source'!G754</f>
        <v>370.01</v>
      </c>
      <c r="P839" s="7">
        <f>'Option source'!F754</f>
        <v>570</v>
      </c>
      <c r="Q839" s="1" t="s">
        <v>88</v>
      </c>
      <c r="R839" s="1">
        <v>749</v>
      </c>
    </row>
    <row r="840" spans="1:18" ht="21" customHeight="1">
      <c r="A840" s="8">
        <v>46258</v>
      </c>
      <c r="B840" s="1" t="s">
        <v>86</v>
      </c>
      <c r="C840" s="39" t="s">
        <v>87</v>
      </c>
      <c r="D840" s="7">
        <v>6800</v>
      </c>
      <c r="E840" s="7">
        <f>'Option source'!B241</f>
        <v>686.77</v>
      </c>
      <c r="F840" s="7">
        <v>6950</v>
      </c>
      <c r="G840" s="14">
        <v>53</v>
      </c>
      <c r="H840" s="7">
        <f t="shared" si="39"/>
        <v>150</v>
      </c>
      <c r="I840" s="7">
        <f t="shared" si="40"/>
        <v>536.77</v>
      </c>
      <c r="J840" s="9">
        <f t="shared" si="41"/>
        <v>0.97841726618705038</v>
      </c>
      <c r="K840" s="9">
        <v>0.42251204040731716</v>
      </c>
      <c r="L840" s="13">
        <v>0.68672473410903434</v>
      </c>
      <c r="M840" s="13">
        <v>9.3858355604335753</v>
      </c>
      <c r="N840" s="7">
        <f>'Option source'!C241</f>
        <v>612210304</v>
      </c>
      <c r="O840" s="7">
        <f>'Option source'!G241</f>
        <v>482</v>
      </c>
      <c r="P840" s="7">
        <f>'Option source'!F241</f>
        <v>725</v>
      </c>
      <c r="Q840" s="1" t="s">
        <v>88</v>
      </c>
      <c r="R840" s="1">
        <v>236</v>
      </c>
    </row>
    <row r="841" spans="1:18" ht="21" customHeight="1">
      <c r="A841" s="8">
        <v>46258</v>
      </c>
      <c r="B841" s="1" t="s">
        <v>89</v>
      </c>
      <c r="C841" s="39" t="s">
        <v>90</v>
      </c>
      <c r="D841" s="7">
        <v>6800</v>
      </c>
      <c r="E841" s="7">
        <f>'Option source'!B735</f>
        <v>309</v>
      </c>
      <c r="F841" s="7">
        <v>6950</v>
      </c>
      <c r="G841" s="14">
        <v>53</v>
      </c>
      <c r="H841" s="7">
        <f t="shared" si="39"/>
        <v>0</v>
      </c>
      <c r="I841" s="7">
        <f t="shared" si="40"/>
        <v>309</v>
      </c>
      <c r="J841" s="9">
        <f t="shared" si="41"/>
        <v>0.97841726618705038</v>
      </c>
      <c r="K841" s="9">
        <v>0.46286290482977965</v>
      </c>
      <c r="L841" s="13">
        <v>-0.32316217540667647</v>
      </c>
      <c r="M841" s="13">
        <v>9.509607789945095</v>
      </c>
      <c r="N841" s="7">
        <f>'Option source'!C735</f>
        <v>160321328</v>
      </c>
      <c r="O841" s="7">
        <f>'Option source'!G735</f>
        <v>290</v>
      </c>
      <c r="P841" s="7">
        <f>'Option source'!F735</f>
        <v>450</v>
      </c>
      <c r="Q841" s="1" t="s">
        <v>88</v>
      </c>
      <c r="R841" s="1">
        <v>730</v>
      </c>
    </row>
    <row r="842" spans="1:18" ht="21" customHeight="1">
      <c r="A842" s="8">
        <v>46258</v>
      </c>
      <c r="B842" s="1" t="s">
        <v>97</v>
      </c>
      <c r="C842" s="39" t="s">
        <v>87</v>
      </c>
      <c r="D842" s="7">
        <v>7200</v>
      </c>
      <c r="E842" s="7">
        <f>'Option source'!B279</f>
        <v>485.19</v>
      </c>
      <c r="F842" s="7">
        <v>6950</v>
      </c>
      <c r="G842" s="14">
        <v>53</v>
      </c>
      <c r="H842" s="7">
        <f t="shared" si="39"/>
        <v>0</v>
      </c>
      <c r="I842" s="7">
        <f t="shared" si="40"/>
        <v>485.19</v>
      </c>
      <c r="J842" s="9">
        <f t="shared" si="41"/>
        <v>1.0359712230215827</v>
      </c>
      <c r="K842" s="9">
        <v>0.43402943138240035</v>
      </c>
      <c r="L842" s="13">
        <v>0.55266983363849087</v>
      </c>
      <c r="M842" s="13">
        <v>10.473197242976346</v>
      </c>
      <c r="N842" s="7">
        <f>'Option source'!C279</f>
        <v>274389984</v>
      </c>
      <c r="O842" s="7">
        <f>'Option source'!G279</f>
        <v>300</v>
      </c>
      <c r="P842" s="7">
        <f>'Option source'!F279</f>
        <v>511</v>
      </c>
      <c r="Q842" s="1" t="s">
        <v>88</v>
      </c>
      <c r="R842" s="1">
        <v>274</v>
      </c>
    </row>
    <row r="843" spans="1:18" ht="21" customHeight="1">
      <c r="A843" s="8">
        <v>46258</v>
      </c>
      <c r="B843" s="1" t="s">
        <v>98</v>
      </c>
      <c r="C843" s="39" t="s">
        <v>90</v>
      </c>
      <c r="D843" s="7">
        <v>7200</v>
      </c>
      <c r="E843" s="7">
        <f>'Option source'!B773</f>
        <v>509.16</v>
      </c>
      <c r="F843" s="7">
        <v>6950</v>
      </c>
      <c r="G843" s="14">
        <v>53</v>
      </c>
      <c r="H843" s="7">
        <f t="shared" si="39"/>
        <v>250</v>
      </c>
      <c r="I843" s="7">
        <f t="shared" si="40"/>
        <v>259.16000000000003</v>
      </c>
      <c r="J843" s="9">
        <f t="shared" si="41"/>
        <v>1.0359712230215827</v>
      </c>
      <c r="K843" s="9">
        <v>0.46727895152073906</v>
      </c>
      <c r="L843" s="13">
        <v>-0.446224051900311</v>
      </c>
      <c r="M843" s="13">
        <v>10.469277484133448</v>
      </c>
      <c r="N843" s="7">
        <f>'Option source'!C773</f>
        <v>29652486</v>
      </c>
      <c r="O843" s="7">
        <f>'Option source'!G773</f>
        <v>453.25</v>
      </c>
      <c r="P843" s="7">
        <f>'Option source'!F773</f>
        <v>633</v>
      </c>
      <c r="Q843" s="1" t="s">
        <v>88</v>
      </c>
      <c r="R843" s="1">
        <v>768</v>
      </c>
    </row>
    <row r="844" spans="1:18" ht="21" customHeight="1">
      <c r="A844" s="8">
        <v>46258</v>
      </c>
      <c r="B844" s="1" t="s">
        <v>91</v>
      </c>
      <c r="C844" s="39" t="s">
        <v>87</v>
      </c>
      <c r="D844" s="7">
        <v>6600</v>
      </c>
      <c r="E844" s="7">
        <f>'Option source'!B222</f>
        <v>801.3</v>
      </c>
      <c r="F844" s="7">
        <v>6950</v>
      </c>
      <c r="G844" s="14">
        <v>53</v>
      </c>
      <c r="H844" s="7">
        <f t="shared" si="39"/>
        <v>350</v>
      </c>
      <c r="I844" s="7">
        <f t="shared" si="40"/>
        <v>451.29999999999995</v>
      </c>
      <c r="J844" s="9">
        <f t="shared" si="41"/>
        <v>0.94964028776978415</v>
      </c>
      <c r="K844" s="9">
        <v>0.40797740773927682</v>
      </c>
      <c r="L844" s="13">
        <v>0.75500088212515903</v>
      </c>
      <c r="M844" s="13">
        <v>8.3254777873970074</v>
      </c>
      <c r="N844" s="7">
        <f>'Option source'!C222</f>
        <v>133091224</v>
      </c>
      <c r="O844" s="7">
        <f>'Option source'!G222</f>
        <v>484</v>
      </c>
      <c r="P844" s="7">
        <f>'Option source'!F222</f>
        <v>860</v>
      </c>
      <c r="Q844" s="1" t="s">
        <v>88</v>
      </c>
      <c r="R844" s="1">
        <v>217</v>
      </c>
    </row>
    <row r="845" spans="1:18" ht="21" customHeight="1">
      <c r="A845" s="8">
        <v>46258</v>
      </c>
      <c r="B845" s="1" t="s">
        <v>92</v>
      </c>
      <c r="C845" s="39" t="s">
        <v>90</v>
      </c>
      <c r="D845" s="7">
        <v>6600</v>
      </c>
      <c r="E845" s="7">
        <f>'Option source'!B716</f>
        <v>235.77</v>
      </c>
      <c r="F845" s="7">
        <v>6950</v>
      </c>
      <c r="G845" s="14">
        <v>53</v>
      </c>
      <c r="H845" s="7">
        <f t="shared" si="39"/>
        <v>0</v>
      </c>
      <c r="I845" s="7">
        <f t="shared" si="40"/>
        <v>235.77</v>
      </c>
      <c r="J845" s="9">
        <f t="shared" si="41"/>
        <v>0.94964028776978415</v>
      </c>
      <c r="K845" s="9">
        <v>0.46587779408976071</v>
      </c>
      <c r="L845" s="13">
        <v>-0.26591646919546286</v>
      </c>
      <c r="M845" s="13">
        <v>8.6897262790079086</v>
      </c>
      <c r="N845" s="7">
        <f>'Option source'!C716</f>
        <v>349124160</v>
      </c>
      <c r="O845" s="7">
        <f>'Option source'!G716</f>
        <v>220</v>
      </c>
      <c r="P845" s="7">
        <f>'Option source'!F716</f>
        <v>420</v>
      </c>
      <c r="Q845" s="1" t="s">
        <v>88</v>
      </c>
      <c r="R845" s="1">
        <v>711</v>
      </c>
    </row>
    <row r="846" spans="1:18" ht="21" customHeight="1">
      <c r="A846" s="8">
        <v>46258</v>
      </c>
      <c r="B846" s="1" t="s">
        <v>102</v>
      </c>
      <c r="C846" s="39" t="s">
        <v>87</v>
      </c>
      <c r="D846" s="7">
        <v>7400</v>
      </c>
      <c r="E846" s="7">
        <f>'Option source'!B298</f>
        <v>396.15</v>
      </c>
      <c r="F846" s="7">
        <v>6950</v>
      </c>
      <c r="G846" s="14">
        <v>53</v>
      </c>
      <c r="H846" s="7">
        <f t="shared" si="39"/>
        <v>0</v>
      </c>
      <c r="I846" s="7">
        <f t="shared" si="40"/>
        <v>396.15</v>
      </c>
      <c r="J846" s="9">
        <f t="shared" si="41"/>
        <v>1.064748201438849</v>
      </c>
      <c r="K846" s="9">
        <v>0.43199510685283737</v>
      </c>
      <c r="L846" s="13">
        <v>0.48636429487831334</v>
      </c>
      <c r="M846" s="13">
        <v>10.559238328949093</v>
      </c>
      <c r="N846" s="7">
        <f>'Option source'!C298</f>
        <v>237999520</v>
      </c>
      <c r="O846" s="7">
        <f>'Option source'!G298</f>
        <v>260</v>
      </c>
      <c r="P846" s="7">
        <f>'Option source'!F298</f>
        <v>421</v>
      </c>
      <c r="Q846" s="1" t="s">
        <v>88</v>
      </c>
      <c r="R846" s="1">
        <v>293</v>
      </c>
    </row>
    <row r="847" spans="1:18" ht="21" customHeight="1">
      <c r="A847" s="8">
        <v>46258</v>
      </c>
      <c r="B847" s="1" t="s">
        <v>103</v>
      </c>
      <c r="C847" s="39" t="s">
        <v>90</v>
      </c>
      <c r="D847" s="7">
        <v>7400</v>
      </c>
      <c r="E847" s="7">
        <f>'Option source'!B792</f>
        <v>620</v>
      </c>
      <c r="F847" s="7">
        <v>6950</v>
      </c>
      <c r="G847" s="14">
        <v>53</v>
      </c>
      <c r="H847" s="7">
        <f t="shared" si="39"/>
        <v>450</v>
      </c>
      <c r="I847" s="7">
        <f t="shared" si="40"/>
        <v>170</v>
      </c>
      <c r="J847" s="9">
        <f t="shared" si="41"/>
        <v>1.064748201438849</v>
      </c>
      <c r="K847" s="9">
        <v>0.45750373707478531</v>
      </c>
      <c r="L847" s="13">
        <v>-0.50910742484249671</v>
      </c>
      <c r="M847" s="13">
        <v>10.56265718594085</v>
      </c>
      <c r="N847" s="7">
        <f>'Option source'!C792</f>
        <v>28839538</v>
      </c>
      <c r="O847" s="7">
        <f>'Option source'!G792</f>
        <v>577</v>
      </c>
      <c r="P847" s="7">
        <f>'Option source'!F792</f>
        <v>700</v>
      </c>
      <c r="Q847" s="1" t="s">
        <v>88</v>
      </c>
      <c r="R847" s="1">
        <v>787</v>
      </c>
    </row>
    <row r="848" spans="1:18" ht="21" customHeight="1">
      <c r="A848" s="8">
        <v>46258</v>
      </c>
      <c r="B848" s="1" t="s">
        <v>95</v>
      </c>
      <c r="C848" s="39" t="s">
        <v>87</v>
      </c>
      <c r="D848" s="7">
        <v>6400</v>
      </c>
      <c r="E848" s="7">
        <f>'Option source'!B203</f>
        <v>918.25</v>
      </c>
      <c r="F848" s="7">
        <v>6950</v>
      </c>
      <c r="G848" s="14">
        <v>53</v>
      </c>
      <c r="H848" s="7">
        <f t="shared" si="39"/>
        <v>550</v>
      </c>
      <c r="I848" s="7">
        <f t="shared" si="40"/>
        <v>368.25</v>
      </c>
      <c r="J848" s="9">
        <f t="shared" si="41"/>
        <v>0.92086330935251803</v>
      </c>
      <c r="K848" s="9">
        <v>0.37316743419467568</v>
      </c>
      <c r="L848" s="13">
        <v>0.83077226373379121</v>
      </c>
      <c r="M848" s="13">
        <v>6.6822115897479453</v>
      </c>
      <c r="N848" s="7">
        <f>'Option source'!C203</f>
        <v>66371088</v>
      </c>
      <c r="O848" s="7">
        <f>'Option source'!G203</f>
        <v>750</v>
      </c>
      <c r="P848" s="7">
        <f>'Option source'!F203</f>
        <v>982.25</v>
      </c>
      <c r="Q848" s="1" t="s">
        <v>88</v>
      </c>
      <c r="R848" s="1">
        <v>198</v>
      </c>
    </row>
    <row r="849" spans="1:18" ht="21" customHeight="1">
      <c r="A849" s="8">
        <v>46258</v>
      </c>
      <c r="B849" s="1" t="s">
        <v>96</v>
      </c>
      <c r="C849" s="39" t="s">
        <v>90</v>
      </c>
      <c r="D849" s="7">
        <v>6400</v>
      </c>
      <c r="E849" s="7">
        <f>'Option source'!B697</f>
        <v>175.6</v>
      </c>
      <c r="F849" s="7">
        <v>6950</v>
      </c>
      <c r="G849" s="14">
        <v>53</v>
      </c>
      <c r="H849" s="7">
        <f t="shared" si="39"/>
        <v>0</v>
      </c>
      <c r="I849" s="7">
        <f t="shared" si="40"/>
        <v>175.6</v>
      </c>
      <c r="J849" s="9">
        <f t="shared" si="41"/>
        <v>0.92086330935251803</v>
      </c>
      <c r="K849" s="9">
        <v>0.46800489560049263</v>
      </c>
      <c r="L849" s="13">
        <v>-0.21309589017704977</v>
      </c>
      <c r="M849" s="13">
        <v>7.6982744615231011</v>
      </c>
      <c r="N849" s="7">
        <f>'Option source'!C697</f>
        <v>269393792</v>
      </c>
      <c r="O849" s="7">
        <f>'Option source'!G697</f>
        <v>161</v>
      </c>
      <c r="P849" s="7">
        <f>'Option source'!F697</f>
        <v>350</v>
      </c>
      <c r="Q849" s="1" t="s">
        <v>88</v>
      </c>
      <c r="R849" s="1">
        <v>692</v>
      </c>
    </row>
    <row r="850" spans="1:18" ht="21" customHeight="1">
      <c r="A850" s="8">
        <v>46258</v>
      </c>
      <c r="B850" s="1" t="s">
        <v>106</v>
      </c>
      <c r="C850" s="39" t="s">
        <v>87</v>
      </c>
      <c r="D850" s="7">
        <v>7600</v>
      </c>
      <c r="E850" s="7">
        <f>'Option source'!B317</f>
        <v>327.63</v>
      </c>
      <c r="F850" s="7">
        <v>6950</v>
      </c>
      <c r="G850" s="14">
        <v>53</v>
      </c>
      <c r="H850" s="7">
        <f t="shared" si="39"/>
        <v>0</v>
      </c>
      <c r="I850" s="7">
        <f t="shared" si="40"/>
        <v>327.63</v>
      </c>
      <c r="J850" s="9">
        <f t="shared" si="41"/>
        <v>1.0935251798561152</v>
      </c>
      <c r="K850" s="9">
        <v>0.437893074740904</v>
      </c>
      <c r="L850" s="13">
        <v>0.42413944471374931</v>
      </c>
      <c r="M850" s="13">
        <v>10.373814600066382</v>
      </c>
      <c r="N850" s="7">
        <f>'Option source'!C317</f>
        <v>451646272</v>
      </c>
      <c r="O850" s="7">
        <f>'Option source'!G317</f>
        <v>195</v>
      </c>
      <c r="P850" s="7">
        <f>'Option source'!F317</f>
        <v>345</v>
      </c>
      <c r="Q850" s="1" t="s">
        <v>88</v>
      </c>
      <c r="R850" s="1">
        <v>312</v>
      </c>
    </row>
    <row r="851" spans="1:18" ht="21" customHeight="1">
      <c r="A851" s="8">
        <v>46258</v>
      </c>
      <c r="B851" s="1" t="s">
        <v>107</v>
      </c>
      <c r="C851" s="39" t="s">
        <v>90</v>
      </c>
      <c r="D851" s="7">
        <v>7600</v>
      </c>
      <c r="E851" s="7">
        <f>'Option source'!B811</f>
        <v>711</v>
      </c>
      <c r="F851" s="7">
        <v>6950</v>
      </c>
      <c r="G851" s="14">
        <v>53</v>
      </c>
      <c r="H851" s="7">
        <f t="shared" si="39"/>
        <v>650</v>
      </c>
      <c r="I851" s="7">
        <f t="shared" si="40"/>
        <v>61</v>
      </c>
      <c r="J851" s="9">
        <f t="shared" si="41"/>
        <v>1.0935251798561152</v>
      </c>
      <c r="K851" s="9">
        <v>0.40249172000204492</v>
      </c>
      <c r="L851" s="13">
        <v>-0.58793076352592033</v>
      </c>
      <c r="M851" s="13">
        <v>10.307723304829802</v>
      </c>
      <c r="N851" s="7">
        <f>'Option source'!C811</f>
        <v>1864000</v>
      </c>
      <c r="O851" s="7">
        <f>'Option source'!G811</f>
        <v>672</v>
      </c>
      <c r="P851" s="7">
        <f>'Option source'!F811</f>
        <v>800</v>
      </c>
      <c r="Q851" s="1" t="s">
        <v>88</v>
      </c>
      <c r="R851" s="1">
        <v>806</v>
      </c>
    </row>
    <row r="852" spans="1:18" ht="21" customHeight="1">
      <c r="A852" s="8">
        <v>46258</v>
      </c>
      <c r="B852" s="1" t="s">
        <v>99</v>
      </c>
      <c r="C852" s="39" t="s">
        <v>87</v>
      </c>
      <c r="D852" s="7">
        <v>6200</v>
      </c>
      <c r="E852" s="7">
        <f>'Option source'!B184</f>
        <v>1075</v>
      </c>
      <c r="F852" s="7">
        <v>6950</v>
      </c>
      <c r="G852" s="14">
        <v>53</v>
      </c>
      <c r="H852" s="7">
        <f t="shared" si="39"/>
        <v>750</v>
      </c>
      <c r="I852" s="7">
        <f t="shared" si="40"/>
        <v>325</v>
      </c>
      <c r="J852" s="9">
        <f t="shared" si="41"/>
        <v>0.8920863309352518</v>
      </c>
      <c r="K852" s="9"/>
      <c r="L852" s="13"/>
      <c r="M852" s="13"/>
      <c r="N852" s="7">
        <f>'Option source'!C184</f>
        <v>3516235.75</v>
      </c>
      <c r="O852" s="7">
        <f>'Option source'!G184</f>
        <v>924.51</v>
      </c>
      <c r="P852" s="7">
        <f>'Option source'!F184</f>
        <v>1042.5</v>
      </c>
      <c r="Q852" s="1" t="s">
        <v>109</v>
      </c>
      <c r="R852" s="1">
        <v>179</v>
      </c>
    </row>
    <row r="853" spans="1:18" ht="21" customHeight="1">
      <c r="A853" s="8">
        <v>46258</v>
      </c>
      <c r="B853" s="1" t="s">
        <v>101</v>
      </c>
      <c r="C853" s="39" t="s">
        <v>90</v>
      </c>
      <c r="D853" s="7">
        <v>6200</v>
      </c>
      <c r="E853" s="7">
        <f>'Option source'!B678</f>
        <v>127.23</v>
      </c>
      <c r="F853" s="7">
        <v>6950</v>
      </c>
      <c r="G853" s="14">
        <v>53</v>
      </c>
      <c r="H853" s="7">
        <f t="shared" si="39"/>
        <v>0</v>
      </c>
      <c r="I853" s="7">
        <f t="shared" si="40"/>
        <v>127.23</v>
      </c>
      <c r="J853" s="9">
        <f t="shared" si="41"/>
        <v>0.8920863309352518</v>
      </c>
      <c r="K853" s="9">
        <v>0.47005730503969412</v>
      </c>
      <c r="L853" s="13">
        <v>-0.16595343971326226</v>
      </c>
      <c r="M853" s="13">
        <v>6.5986411086724059</v>
      </c>
      <c r="N853" s="7">
        <f>'Option source'!C678</f>
        <v>90261000</v>
      </c>
      <c r="O853" s="7">
        <f>'Option source'!G678</f>
        <v>110</v>
      </c>
      <c r="P853" s="7">
        <f>'Option source'!F678</f>
        <v>245</v>
      </c>
      <c r="Q853" s="1" t="s">
        <v>88</v>
      </c>
      <c r="R853" s="1">
        <v>673</v>
      </c>
    </row>
    <row r="854" spans="1:18" ht="21" customHeight="1">
      <c r="A854" s="8">
        <v>46258</v>
      </c>
      <c r="B854" s="1" t="s">
        <v>111</v>
      </c>
      <c r="C854" s="39" t="s">
        <v>87</v>
      </c>
      <c r="D854" s="7">
        <v>7800</v>
      </c>
      <c r="E854" s="7">
        <f>'Option source'!B336</f>
        <v>260.44</v>
      </c>
      <c r="F854" s="7">
        <v>6950</v>
      </c>
      <c r="G854" s="14">
        <v>53</v>
      </c>
      <c r="H854" s="7">
        <f t="shared" si="39"/>
        <v>0</v>
      </c>
      <c r="I854" s="7">
        <f t="shared" si="40"/>
        <v>260.44</v>
      </c>
      <c r="J854" s="9">
        <f t="shared" si="41"/>
        <v>1.1223021582733812</v>
      </c>
      <c r="K854" s="9">
        <v>0.43414529568008986</v>
      </c>
      <c r="L854" s="13">
        <v>0.36263879552902095</v>
      </c>
      <c r="M854" s="13">
        <v>9.932771181146876</v>
      </c>
      <c r="N854" s="7">
        <f>'Option source'!C336</f>
        <v>237724912</v>
      </c>
      <c r="O854" s="7">
        <f>'Option source'!G336</f>
        <v>160</v>
      </c>
      <c r="P854" s="7">
        <f>'Option source'!F336</f>
        <v>280.89999999999998</v>
      </c>
      <c r="Q854" s="1" t="s">
        <v>88</v>
      </c>
      <c r="R854" s="1">
        <v>331</v>
      </c>
    </row>
    <row r="855" spans="1:18" ht="21" customHeight="1">
      <c r="A855" s="8">
        <v>46258</v>
      </c>
      <c r="B855" s="1" t="s">
        <v>112</v>
      </c>
      <c r="C855" s="39" t="s">
        <v>90</v>
      </c>
      <c r="D855" s="7">
        <v>7800</v>
      </c>
      <c r="E855" s="7">
        <f>'Option source'!B830</f>
        <v>871</v>
      </c>
      <c r="F855" s="7">
        <v>6950</v>
      </c>
      <c r="G855" s="14">
        <v>53</v>
      </c>
      <c r="H855" s="7">
        <f t="shared" si="39"/>
        <v>850</v>
      </c>
      <c r="I855" s="7">
        <f t="shared" si="40"/>
        <v>21</v>
      </c>
      <c r="J855" s="9">
        <f t="shared" si="41"/>
        <v>1.1223021582733812</v>
      </c>
      <c r="K855" s="9">
        <v>0.3993431976719739</v>
      </c>
      <c r="L855" s="13">
        <v>-0.6539028229363566</v>
      </c>
      <c r="M855" s="13">
        <v>9.7691107202223524</v>
      </c>
      <c r="N855" s="7">
        <f>'Option source'!C830</f>
        <v>10129480</v>
      </c>
      <c r="O855" s="7">
        <f>'Option source'!G830</f>
        <v>866</v>
      </c>
      <c r="P855" s="7">
        <f>'Option source'!F830</f>
        <v>1000</v>
      </c>
      <c r="Q855" s="1" t="s">
        <v>88</v>
      </c>
      <c r="R855" s="1">
        <v>825</v>
      </c>
    </row>
    <row r="856" spans="1:18" ht="21" customHeight="1">
      <c r="A856" s="8">
        <v>46258</v>
      </c>
      <c r="B856" s="1" t="s">
        <v>104</v>
      </c>
      <c r="C856" s="39" t="s">
        <v>87</v>
      </c>
      <c r="D856" s="7">
        <v>6000</v>
      </c>
      <c r="E856" s="7">
        <f>'Option source'!B165</f>
        <v>1350</v>
      </c>
      <c r="F856" s="7">
        <v>6950</v>
      </c>
      <c r="G856" s="14">
        <v>53</v>
      </c>
      <c r="H856" s="7">
        <f t="shared" si="39"/>
        <v>950</v>
      </c>
      <c r="I856" s="7">
        <f t="shared" si="40"/>
        <v>400</v>
      </c>
      <c r="J856" s="9">
        <f t="shared" si="41"/>
        <v>0.86330935251798557</v>
      </c>
      <c r="K856" s="9"/>
      <c r="L856" s="13"/>
      <c r="M856" s="13"/>
      <c r="N856" s="7">
        <f>'Option source'!C165</f>
        <v>17557000</v>
      </c>
      <c r="O856" s="7">
        <f>'Option source'!G165</f>
        <v>995</v>
      </c>
      <c r="P856" s="7">
        <f>'Option source'!F165</f>
        <v>1248</v>
      </c>
      <c r="Q856" s="1" t="s">
        <v>109</v>
      </c>
      <c r="R856" s="1">
        <v>160</v>
      </c>
    </row>
    <row r="857" spans="1:18" ht="21" customHeight="1">
      <c r="A857" s="8">
        <v>46258</v>
      </c>
      <c r="B857" s="1" t="s">
        <v>105</v>
      </c>
      <c r="C857" s="39" t="s">
        <v>90</v>
      </c>
      <c r="D857" s="7">
        <v>6000</v>
      </c>
      <c r="E857" s="7">
        <f>'Option source'!B659</f>
        <v>91.55</v>
      </c>
      <c r="F857" s="7">
        <v>6950</v>
      </c>
      <c r="G857" s="14">
        <v>53</v>
      </c>
      <c r="H857" s="7">
        <f t="shared" si="39"/>
        <v>0</v>
      </c>
      <c r="I857" s="7">
        <f t="shared" si="40"/>
        <v>91.55</v>
      </c>
      <c r="J857" s="9">
        <f t="shared" si="41"/>
        <v>0.86330935251798557</v>
      </c>
      <c r="K857" s="9">
        <v>0.47604203400325562</v>
      </c>
      <c r="L857" s="13">
        <v>-0.12691247454603682</v>
      </c>
      <c r="M857" s="13">
        <v>5.5097633535854413</v>
      </c>
      <c r="N857" s="7">
        <f>'Option source'!C659</f>
        <v>106887776</v>
      </c>
      <c r="O857" s="7">
        <f>'Option source'!G659</f>
        <v>83</v>
      </c>
      <c r="P857" s="7">
        <f>'Option source'!F659</f>
        <v>179</v>
      </c>
      <c r="Q857" s="1" t="s">
        <v>88</v>
      </c>
      <c r="R857" s="1">
        <v>654</v>
      </c>
    </row>
    <row r="858" spans="1:18" ht="21" customHeight="1">
      <c r="A858" s="8">
        <v>46258</v>
      </c>
      <c r="B858" s="1" t="s">
        <v>116</v>
      </c>
      <c r="C858" s="39" t="s">
        <v>87</v>
      </c>
      <c r="D858" s="7">
        <v>8000</v>
      </c>
      <c r="E858" s="7">
        <f>'Option source'!B355</f>
        <v>204.83</v>
      </c>
      <c r="F858" s="7">
        <v>6950</v>
      </c>
      <c r="G858" s="14">
        <v>53</v>
      </c>
      <c r="H858" s="7">
        <f t="shared" si="39"/>
        <v>0</v>
      </c>
      <c r="I858" s="7">
        <f t="shared" si="40"/>
        <v>204.83</v>
      </c>
      <c r="J858" s="9">
        <f t="shared" si="41"/>
        <v>1.1510791366906474</v>
      </c>
      <c r="K858" s="9">
        <v>0.43128597383561673</v>
      </c>
      <c r="L858" s="13">
        <v>0.30541469734757154</v>
      </c>
      <c r="M858" s="13">
        <v>9.2822226743462508</v>
      </c>
      <c r="N858" s="7">
        <f>'Option source'!C355</f>
        <v>348469600</v>
      </c>
      <c r="O858" s="7">
        <f>'Option source'!G355</f>
        <v>127</v>
      </c>
      <c r="P858" s="7">
        <f>'Option source'!F355</f>
        <v>218</v>
      </c>
      <c r="Q858" s="1" t="s">
        <v>88</v>
      </c>
      <c r="R858" s="1">
        <v>350</v>
      </c>
    </row>
    <row r="859" spans="1:18" ht="21" customHeight="1">
      <c r="A859" s="8">
        <v>46258</v>
      </c>
      <c r="B859" s="1" t="s">
        <v>117</v>
      </c>
      <c r="C859" s="39" t="s">
        <v>90</v>
      </c>
      <c r="D859" s="7">
        <v>8000</v>
      </c>
      <c r="E859" s="7">
        <f>'Option source'!B849</f>
        <v>1000</v>
      </c>
      <c r="F859" s="7">
        <v>6950</v>
      </c>
      <c r="G859" s="14">
        <v>53</v>
      </c>
      <c r="H859" s="7">
        <f t="shared" si="39"/>
        <v>1050</v>
      </c>
      <c r="I859" s="7">
        <f t="shared" si="40"/>
        <v>-50</v>
      </c>
      <c r="J859" s="9">
        <f t="shared" si="41"/>
        <v>1.1510791366906474</v>
      </c>
      <c r="K859" s="9"/>
      <c r="L859" s="13"/>
      <c r="M859" s="13"/>
      <c r="N859" s="7">
        <f>'Option source'!C849</f>
        <v>2361522</v>
      </c>
      <c r="O859" s="7">
        <f>'Option source'!G849</f>
        <v>1000.1</v>
      </c>
      <c r="P859" s="7">
        <f>'Option source'!F849</f>
        <v>1105</v>
      </c>
      <c r="Q859" s="1" t="s">
        <v>113</v>
      </c>
      <c r="R859" s="1">
        <v>844</v>
      </c>
    </row>
    <row r="860" spans="1:18" ht="21" customHeight="1">
      <c r="A860" s="8">
        <v>46258</v>
      </c>
      <c r="B860" s="1" t="s">
        <v>110</v>
      </c>
      <c r="C860" s="39" t="s">
        <v>90</v>
      </c>
      <c r="D860" s="7">
        <v>5800</v>
      </c>
      <c r="E860" s="7">
        <f>'Option source'!B640</f>
        <v>61.45</v>
      </c>
      <c r="F860" s="7">
        <v>6950</v>
      </c>
      <c r="G860" s="14">
        <v>53</v>
      </c>
      <c r="H860" s="7">
        <f t="shared" si="39"/>
        <v>0</v>
      </c>
      <c r="I860" s="7">
        <f t="shared" si="40"/>
        <v>61.45</v>
      </c>
      <c r="J860" s="9">
        <f t="shared" si="41"/>
        <v>0.83453237410071945</v>
      </c>
      <c r="K860" s="9">
        <v>0.47653489195713794</v>
      </c>
      <c r="L860" s="13">
        <v>-9.2285623801981354E-2</v>
      </c>
      <c r="M860" s="13">
        <v>4.38141587851179</v>
      </c>
      <c r="N860" s="7">
        <f>'Option source'!C640</f>
        <v>16733828</v>
      </c>
      <c r="O860" s="7">
        <f>'Option source'!G640</f>
        <v>57.01</v>
      </c>
      <c r="P860" s="7">
        <f>'Option source'!F640</f>
        <v>98</v>
      </c>
      <c r="Q860" s="1" t="s">
        <v>88</v>
      </c>
      <c r="R860" s="1">
        <v>635</v>
      </c>
    </row>
    <row r="861" spans="1:18" ht="21" customHeight="1">
      <c r="A861" s="8">
        <v>46258</v>
      </c>
      <c r="B861" s="1" t="s">
        <v>114</v>
      </c>
      <c r="C861" s="39" t="s">
        <v>87</v>
      </c>
      <c r="D861" s="7">
        <v>5600</v>
      </c>
      <c r="E861" s="7">
        <f>'Option source'!B136</f>
        <v>1460.62</v>
      </c>
      <c r="F861" s="7">
        <v>6950</v>
      </c>
      <c r="G861" s="14">
        <v>53</v>
      </c>
      <c r="H861" s="7">
        <f t="shared" si="39"/>
        <v>1350</v>
      </c>
      <c r="I861" s="7">
        <f t="shared" si="40"/>
        <v>110.61999999999989</v>
      </c>
      <c r="J861" s="9">
        <f t="shared" si="41"/>
        <v>0.80575539568345322</v>
      </c>
      <c r="K861" s="9"/>
      <c r="L861" s="13"/>
      <c r="M861" s="13"/>
      <c r="N861" s="7">
        <f>'Option source'!C136</f>
        <v>292123.81</v>
      </c>
      <c r="O861" s="7">
        <f>'Option source'!G136</f>
        <v>0</v>
      </c>
      <c r="P861" s="7">
        <f>'Option source'!F136</f>
        <v>0</v>
      </c>
      <c r="Q861" s="1" t="s">
        <v>109</v>
      </c>
      <c r="R861" s="1">
        <v>131</v>
      </c>
    </row>
    <row r="862" spans="1:18" ht="21" customHeight="1">
      <c r="A862" s="8">
        <v>46258</v>
      </c>
      <c r="B862" s="1" t="s">
        <v>121</v>
      </c>
      <c r="C862" s="39" t="s">
        <v>87</v>
      </c>
      <c r="D862" s="7">
        <v>8300</v>
      </c>
      <c r="E862" s="7">
        <f>'Option source'!B374</f>
        <v>139.29</v>
      </c>
      <c r="F862" s="7">
        <v>6950</v>
      </c>
      <c r="G862" s="14">
        <v>53</v>
      </c>
      <c r="H862" s="7">
        <f t="shared" si="39"/>
        <v>0</v>
      </c>
      <c r="I862" s="7">
        <f t="shared" si="40"/>
        <v>139.29</v>
      </c>
      <c r="J862" s="9">
        <f t="shared" si="41"/>
        <v>1.1942446043165467</v>
      </c>
      <c r="K862" s="9">
        <v>0.4270916416281183</v>
      </c>
      <c r="L862" s="13">
        <v>0.22913528636513134</v>
      </c>
      <c r="M862" s="13">
        <v>8.0247284670545138</v>
      </c>
      <c r="N862" s="7">
        <f>'Option source'!C374</f>
        <v>93147472</v>
      </c>
      <c r="O862" s="7">
        <f>'Option source'!G374</f>
        <v>88</v>
      </c>
      <c r="P862" s="7">
        <f>'Option source'!F374</f>
        <v>149</v>
      </c>
      <c r="Q862" s="1" t="s">
        <v>88</v>
      </c>
      <c r="R862" s="1">
        <v>369</v>
      </c>
    </row>
    <row r="863" spans="1:18" ht="21" customHeight="1">
      <c r="A863" s="8">
        <v>46258</v>
      </c>
      <c r="B863" s="1" t="s">
        <v>115</v>
      </c>
      <c r="C863" s="39" t="s">
        <v>90</v>
      </c>
      <c r="D863" s="7">
        <v>5600</v>
      </c>
      <c r="E863" s="7">
        <f>'Option source'!B621</f>
        <v>39.35</v>
      </c>
      <c r="F863" s="7">
        <v>6950</v>
      </c>
      <c r="G863" s="14">
        <v>53</v>
      </c>
      <c r="H863" s="7">
        <f t="shared" si="39"/>
        <v>0</v>
      </c>
      <c r="I863" s="7">
        <f t="shared" si="40"/>
        <v>39.35</v>
      </c>
      <c r="J863" s="9">
        <f t="shared" si="41"/>
        <v>0.80575539568345322</v>
      </c>
      <c r="K863" s="9">
        <v>0.47492765023966643</v>
      </c>
      <c r="L863" s="13">
        <v>-6.368083632240451E-2</v>
      </c>
      <c r="M863" s="13">
        <v>3.3048790363426015</v>
      </c>
      <c r="N863" s="7">
        <f>'Option source'!C621</f>
        <v>13687142</v>
      </c>
      <c r="O863" s="7">
        <f>'Option source'!G621</f>
        <v>35.01</v>
      </c>
      <c r="P863" s="7">
        <f>'Option source'!F621</f>
        <v>79</v>
      </c>
      <c r="Q863" s="1" t="s">
        <v>88</v>
      </c>
      <c r="R863" s="1">
        <v>616</v>
      </c>
    </row>
    <row r="864" spans="1:18" ht="21" customHeight="1">
      <c r="A864" s="8">
        <v>46258</v>
      </c>
      <c r="B864" s="1" t="s">
        <v>122</v>
      </c>
      <c r="C864" s="39" t="s">
        <v>90</v>
      </c>
      <c r="D864" s="7">
        <v>8300</v>
      </c>
      <c r="E864" s="7">
        <f>'Option source'!B868</f>
        <v>1310</v>
      </c>
      <c r="F864" s="7">
        <v>6950</v>
      </c>
      <c r="G864" s="14">
        <v>53</v>
      </c>
      <c r="H864" s="7">
        <f t="shared" si="39"/>
        <v>1350</v>
      </c>
      <c r="I864" s="7">
        <f t="shared" si="40"/>
        <v>-40</v>
      </c>
      <c r="J864" s="9">
        <f t="shared" si="41"/>
        <v>1.1942446043165467</v>
      </c>
      <c r="K864" s="9"/>
      <c r="L864" s="13"/>
      <c r="M864" s="13"/>
      <c r="N864" s="7">
        <f>'Option source'!C868</f>
        <v>9934083</v>
      </c>
      <c r="O864" s="7">
        <f>'Option source'!G868</f>
        <v>1260</v>
      </c>
      <c r="P864" s="7">
        <f>'Option source'!F868</f>
        <v>1700</v>
      </c>
      <c r="Q864" s="1" t="s">
        <v>144</v>
      </c>
      <c r="R864" s="1">
        <v>863</v>
      </c>
    </row>
    <row r="865" spans="1:18" ht="21" customHeight="1">
      <c r="A865" s="8">
        <v>46258</v>
      </c>
      <c r="B865" s="1" t="s">
        <v>119</v>
      </c>
      <c r="C865" s="39" t="s">
        <v>87</v>
      </c>
      <c r="D865" s="7">
        <v>5400</v>
      </c>
      <c r="E865" s="7">
        <f>'Option source'!B118</f>
        <v>1781.31</v>
      </c>
      <c r="F865" s="7">
        <v>6950</v>
      </c>
      <c r="G865" s="14">
        <v>53</v>
      </c>
      <c r="H865" s="7">
        <f t="shared" si="39"/>
        <v>1550</v>
      </c>
      <c r="I865" s="7">
        <f t="shared" si="40"/>
        <v>231.30999999999995</v>
      </c>
      <c r="J865" s="9">
        <f t="shared" si="41"/>
        <v>0.7769784172661871</v>
      </c>
      <c r="K865" s="9"/>
      <c r="L865" s="13"/>
      <c r="M865" s="13"/>
      <c r="N865" s="7">
        <f>'Option source'!C118</f>
        <v>7706996.5</v>
      </c>
      <c r="O865" s="7">
        <f>'Option source'!G118</f>
        <v>1667.76</v>
      </c>
      <c r="P865" s="7">
        <f>'Option source'!F118</f>
        <v>1778.96</v>
      </c>
      <c r="Q865" s="1" t="s">
        <v>109</v>
      </c>
      <c r="R865" s="1">
        <v>113</v>
      </c>
    </row>
    <row r="866" spans="1:18" ht="21" customHeight="1">
      <c r="A866" s="8">
        <v>46258</v>
      </c>
      <c r="B866" s="1" t="s">
        <v>120</v>
      </c>
      <c r="C866" s="39" t="s">
        <v>90</v>
      </c>
      <c r="D866" s="7">
        <v>5400</v>
      </c>
      <c r="E866" s="7">
        <f>'Option source'!B602</f>
        <v>26.64</v>
      </c>
      <c r="F866" s="7">
        <v>6950</v>
      </c>
      <c r="G866" s="14">
        <v>53</v>
      </c>
      <c r="H866" s="7">
        <f t="shared" si="39"/>
        <v>0</v>
      </c>
      <c r="I866" s="7">
        <f t="shared" si="40"/>
        <v>26.64</v>
      </c>
      <c r="J866" s="9">
        <f t="shared" si="41"/>
        <v>0.7769784172661871</v>
      </c>
      <c r="K866" s="9">
        <v>0.48451183411054366</v>
      </c>
      <c r="L866" s="13">
        <v>-4.5035288874771373E-2</v>
      </c>
      <c r="M866" s="13">
        <v>2.5118756001367673</v>
      </c>
      <c r="N866" s="7">
        <f>'Option source'!C602</f>
        <v>4312769</v>
      </c>
      <c r="O866" s="7">
        <f>'Option source'!G602</f>
        <v>22.1</v>
      </c>
      <c r="P866" s="7">
        <f>'Option source'!F602</f>
        <v>47</v>
      </c>
      <c r="Q866" s="1" t="s">
        <v>88</v>
      </c>
      <c r="R866" s="1">
        <v>597</v>
      </c>
    </row>
    <row r="867" spans="1:18" ht="21" customHeight="1">
      <c r="A867" s="8">
        <v>46258</v>
      </c>
      <c r="B867" s="1" t="s">
        <v>127</v>
      </c>
      <c r="C867" s="39" t="s">
        <v>87</v>
      </c>
      <c r="D867" s="7">
        <v>8600</v>
      </c>
      <c r="E867" s="7">
        <f>'Option source'!B393</f>
        <v>95.25</v>
      </c>
      <c r="F867" s="7">
        <v>6950</v>
      </c>
      <c r="G867" s="14">
        <v>53</v>
      </c>
      <c r="H867" s="7">
        <f t="shared" si="39"/>
        <v>0</v>
      </c>
      <c r="I867" s="7">
        <f t="shared" si="40"/>
        <v>95.25</v>
      </c>
      <c r="J867" s="9">
        <f t="shared" si="41"/>
        <v>1.2374100719424461</v>
      </c>
      <c r="K867" s="9">
        <v>0.42812126341933465</v>
      </c>
      <c r="L867" s="13">
        <v>0.16924109329826106</v>
      </c>
      <c r="M867" s="13">
        <v>6.6825501895550437</v>
      </c>
      <c r="N867" s="7">
        <f>'Option source'!C393</f>
        <v>143720016</v>
      </c>
      <c r="O867" s="7">
        <f>'Option source'!G393</f>
        <v>65.5</v>
      </c>
      <c r="P867" s="7">
        <f>'Option source'!F393</f>
        <v>101</v>
      </c>
      <c r="Q867" s="1" t="s">
        <v>88</v>
      </c>
      <c r="R867" s="1">
        <v>388</v>
      </c>
    </row>
    <row r="868" spans="1:18" ht="21" customHeight="1">
      <c r="A868" s="8">
        <v>46258</v>
      </c>
      <c r="B868" s="1" t="s">
        <v>128</v>
      </c>
      <c r="C868" s="39" t="s">
        <v>90</v>
      </c>
      <c r="D868" s="7">
        <v>8600</v>
      </c>
      <c r="E868" s="7">
        <f>'Option source'!B887</f>
        <v>1173.55</v>
      </c>
      <c r="F868" s="7">
        <v>6950</v>
      </c>
      <c r="G868" s="14">
        <v>53</v>
      </c>
      <c r="H868" s="7">
        <f t="shared" si="39"/>
        <v>1650</v>
      </c>
      <c r="I868" s="7">
        <f t="shared" si="40"/>
        <v>-476.45000000000005</v>
      </c>
      <c r="J868" s="9">
        <f t="shared" si="41"/>
        <v>1.2374100719424461</v>
      </c>
      <c r="K868" s="9"/>
      <c r="L868" s="13"/>
      <c r="M868" s="13"/>
      <c r="N868" s="7">
        <f>'Option source'!C887</f>
        <v>0</v>
      </c>
      <c r="O868" s="7">
        <f>'Option source'!G887</f>
        <v>1060</v>
      </c>
      <c r="P868" s="7">
        <f>'Option source'!F887</f>
        <v>1343.98</v>
      </c>
      <c r="Q868" s="1" t="s">
        <v>118</v>
      </c>
      <c r="R868" s="1">
        <v>882</v>
      </c>
    </row>
    <row r="869" spans="1:18" ht="21" customHeight="1">
      <c r="A869" s="8">
        <v>46258</v>
      </c>
      <c r="B869" s="1" t="s">
        <v>123</v>
      </c>
      <c r="C869" s="39" t="s">
        <v>87</v>
      </c>
      <c r="D869" s="7">
        <v>5200</v>
      </c>
      <c r="E869" s="7">
        <f>'Option source'!B99</f>
        <v>1962</v>
      </c>
      <c r="F869" s="7">
        <v>6950</v>
      </c>
      <c r="G869" s="14">
        <v>53</v>
      </c>
      <c r="H869" s="7">
        <f t="shared" si="39"/>
        <v>1750</v>
      </c>
      <c r="I869" s="7">
        <f t="shared" si="40"/>
        <v>212</v>
      </c>
      <c r="J869" s="9">
        <f t="shared" si="41"/>
        <v>0.74820143884892087</v>
      </c>
      <c r="K869" s="9"/>
      <c r="L869" s="13"/>
      <c r="M869" s="13"/>
      <c r="N869" s="7">
        <f>'Option source'!C99</f>
        <v>567549.81000000006</v>
      </c>
      <c r="O869" s="7">
        <f>'Option source'!G99</f>
        <v>1856.75</v>
      </c>
      <c r="P869" s="7">
        <f>'Option source'!F99</f>
        <v>1856.75</v>
      </c>
      <c r="Q869" s="1" t="s">
        <v>109</v>
      </c>
      <c r="R869" s="1">
        <v>94</v>
      </c>
    </row>
    <row r="870" spans="1:18" ht="21" customHeight="1">
      <c r="A870" s="8">
        <v>46258</v>
      </c>
      <c r="B870" s="1" t="s">
        <v>124</v>
      </c>
      <c r="C870" s="39" t="s">
        <v>90</v>
      </c>
      <c r="D870" s="7">
        <v>5200</v>
      </c>
      <c r="E870" s="7">
        <f>'Option source'!B583</f>
        <v>16.73</v>
      </c>
      <c r="F870" s="7">
        <v>6950</v>
      </c>
      <c r="G870" s="14">
        <v>53</v>
      </c>
      <c r="H870" s="7">
        <f t="shared" si="39"/>
        <v>0</v>
      </c>
      <c r="I870" s="7">
        <f t="shared" si="40"/>
        <v>16.73</v>
      </c>
      <c r="J870" s="9">
        <f t="shared" si="41"/>
        <v>0.74820143884892087</v>
      </c>
      <c r="K870" s="9">
        <v>0.49037884844375845</v>
      </c>
      <c r="L870" s="13">
        <v>-3.0126611777682277E-2</v>
      </c>
      <c r="M870" s="13">
        <v>1.8082962972719188</v>
      </c>
      <c r="N870" s="7">
        <f>'Option source'!C583</f>
        <v>1567938.62</v>
      </c>
      <c r="O870" s="7">
        <f>'Option source'!G583</f>
        <v>16.5</v>
      </c>
      <c r="P870" s="7">
        <f>'Option source'!F583</f>
        <v>25</v>
      </c>
      <c r="Q870" s="1" t="s">
        <v>88</v>
      </c>
      <c r="R870" s="1">
        <v>578</v>
      </c>
    </row>
    <row r="871" spans="1:18" ht="21" customHeight="1">
      <c r="A871" s="8">
        <v>46258</v>
      </c>
      <c r="B871" s="1" t="s">
        <v>132</v>
      </c>
      <c r="C871" s="39" t="s">
        <v>87</v>
      </c>
      <c r="D871" s="7">
        <v>8900</v>
      </c>
      <c r="E871" s="7">
        <f>'Option source'!B412</f>
        <v>63.96</v>
      </c>
      <c r="F871" s="7">
        <v>6950</v>
      </c>
      <c r="G871" s="14">
        <v>53</v>
      </c>
      <c r="H871" s="7">
        <f t="shared" si="39"/>
        <v>0</v>
      </c>
      <c r="I871" s="7">
        <f t="shared" si="40"/>
        <v>63.96</v>
      </c>
      <c r="J871" s="9">
        <f t="shared" si="41"/>
        <v>1.2805755395683454</v>
      </c>
      <c r="K871" s="9">
        <v>0.4289687901615219</v>
      </c>
      <c r="L871" s="13">
        <v>0.12206567385352278</v>
      </c>
      <c r="M871" s="13">
        <v>5.3617814255105358</v>
      </c>
      <c r="N871" s="7">
        <f>'Option source'!C412</f>
        <v>16858530</v>
      </c>
      <c r="O871" s="7">
        <f>'Option source'!G412</f>
        <v>48.5</v>
      </c>
      <c r="P871" s="7">
        <f>'Option source'!F412</f>
        <v>70</v>
      </c>
      <c r="Q871" s="1" t="s">
        <v>88</v>
      </c>
      <c r="R871" s="1">
        <v>407</v>
      </c>
    </row>
    <row r="872" spans="1:18" ht="21" customHeight="1">
      <c r="A872" s="8">
        <v>46258</v>
      </c>
      <c r="B872" s="1" t="s">
        <v>126</v>
      </c>
      <c r="C872" s="39" t="s">
        <v>90</v>
      </c>
      <c r="D872" s="7">
        <v>5000</v>
      </c>
      <c r="E872" s="7">
        <f>'Option source'!B564</f>
        <v>11.17</v>
      </c>
      <c r="F872" s="7">
        <v>6950</v>
      </c>
      <c r="G872" s="14">
        <v>53</v>
      </c>
      <c r="H872" s="7">
        <f t="shared" si="39"/>
        <v>0</v>
      </c>
      <c r="I872" s="7">
        <f t="shared" si="40"/>
        <v>11.17</v>
      </c>
      <c r="J872" s="9">
        <f t="shared" si="41"/>
        <v>0.71942446043165464</v>
      </c>
      <c r="K872" s="9">
        <v>0.50331878260414853</v>
      </c>
      <c r="L872" s="13">
        <v>-2.0675576325518641E-2</v>
      </c>
      <c r="M872" s="13">
        <v>1.3189057770406682</v>
      </c>
      <c r="N872" s="7">
        <f>'Option source'!C564</f>
        <v>983325.12</v>
      </c>
      <c r="O872" s="7">
        <f>'Option source'!G564</f>
        <v>10</v>
      </c>
      <c r="P872" s="7">
        <f>'Option source'!F564</f>
        <v>12.9</v>
      </c>
      <c r="Q872" s="1" t="s">
        <v>88</v>
      </c>
      <c r="R872" s="1">
        <v>559</v>
      </c>
    </row>
    <row r="873" spans="1:18" ht="21" customHeight="1">
      <c r="A873" s="8">
        <v>46258</v>
      </c>
      <c r="B873" s="1" t="s">
        <v>131</v>
      </c>
      <c r="C873" s="39" t="s">
        <v>90</v>
      </c>
      <c r="D873" s="7">
        <v>4800</v>
      </c>
      <c r="E873" s="7">
        <f>'Option source'!B545</f>
        <v>6</v>
      </c>
      <c r="F873" s="7">
        <v>6950</v>
      </c>
      <c r="G873" s="14">
        <v>53</v>
      </c>
      <c r="H873" s="7">
        <f t="shared" si="39"/>
        <v>0</v>
      </c>
      <c r="I873" s="7">
        <f t="shared" si="40"/>
        <v>6</v>
      </c>
      <c r="J873" s="9">
        <f t="shared" si="41"/>
        <v>0.69064748201438853</v>
      </c>
      <c r="K873" s="9">
        <v>0.50161272010537206</v>
      </c>
      <c r="L873" s="13">
        <v>-1.1915410609598442E-2</v>
      </c>
      <c r="M873" s="13">
        <v>0.82212232892349857</v>
      </c>
      <c r="N873" s="7">
        <f>'Option source'!C545</f>
        <v>373208.19</v>
      </c>
      <c r="O873" s="7">
        <f>'Option source'!G545</f>
        <v>5</v>
      </c>
      <c r="P873" s="7">
        <f>'Option source'!F545</f>
        <v>7</v>
      </c>
      <c r="Q873" s="1" t="s">
        <v>88</v>
      </c>
      <c r="R873" s="1">
        <v>540</v>
      </c>
    </row>
    <row r="874" spans="1:18" ht="21" customHeight="1">
      <c r="A874" s="8">
        <v>46258</v>
      </c>
      <c r="B874" s="1" t="s">
        <v>138</v>
      </c>
      <c r="C874" s="39" t="s">
        <v>87</v>
      </c>
      <c r="D874" s="7">
        <v>9200</v>
      </c>
      <c r="E874" s="7">
        <f>'Option source'!B431</f>
        <v>43.1</v>
      </c>
      <c r="F874" s="7">
        <v>6950</v>
      </c>
      <c r="G874" s="14">
        <v>53</v>
      </c>
      <c r="H874" s="7">
        <f t="shared" si="39"/>
        <v>0</v>
      </c>
      <c r="I874" s="7">
        <f t="shared" si="40"/>
        <v>43.1</v>
      </c>
      <c r="J874" s="9">
        <f t="shared" si="41"/>
        <v>1.3237410071942446</v>
      </c>
      <c r="K874" s="9">
        <v>0.43176067249462824</v>
      </c>
      <c r="L874" s="13">
        <v>8.7290251543952521E-2</v>
      </c>
      <c r="M874" s="13">
        <v>4.2038604521873086</v>
      </c>
      <c r="N874" s="7">
        <f>'Option source'!C431</f>
        <v>19611924</v>
      </c>
      <c r="O874" s="7">
        <f>'Option source'!G431</f>
        <v>32.01</v>
      </c>
      <c r="P874" s="7">
        <f>'Option source'!F431</f>
        <v>48</v>
      </c>
      <c r="Q874" s="1" t="s">
        <v>88</v>
      </c>
      <c r="R874" s="1">
        <v>426</v>
      </c>
    </row>
    <row r="875" spans="1:18" ht="21" customHeight="1">
      <c r="A875" s="8">
        <v>46258</v>
      </c>
      <c r="B875" s="1" t="s">
        <v>134</v>
      </c>
      <c r="C875" s="39" t="s">
        <v>87</v>
      </c>
      <c r="D875" s="7">
        <v>4600</v>
      </c>
      <c r="E875" s="7">
        <f>'Option source'!B46</f>
        <v>2195.25</v>
      </c>
      <c r="F875" s="7">
        <v>6950</v>
      </c>
      <c r="G875" s="14">
        <v>53</v>
      </c>
      <c r="H875" s="7">
        <f t="shared" si="39"/>
        <v>2350</v>
      </c>
      <c r="I875" s="7">
        <f t="shared" si="40"/>
        <v>-154.75</v>
      </c>
      <c r="J875" s="9">
        <f t="shared" si="41"/>
        <v>0.66187050359712229</v>
      </c>
      <c r="K875" s="9"/>
      <c r="L875" s="13"/>
      <c r="M875" s="13"/>
      <c r="N875" s="7">
        <f>'Option source'!C46</f>
        <v>0</v>
      </c>
      <c r="O875" s="7">
        <f>'Option source'!G46</f>
        <v>2196.92</v>
      </c>
      <c r="P875" s="7">
        <f>'Option source'!F46</f>
        <v>2196.92</v>
      </c>
      <c r="Q875" s="1" t="s">
        <v>145</v>
      </c>
      <c r="R875" s="1">
        <v>41</v>
      </c>
    </row>
    <row r="876" spans="1:18" ht="21" customHeight="1">
      <c r="A876" s="8">
        <v>46258</v>
      </c>
      <c r="B876" s="1" t="s">
        <v>135</v>
      </c>
      <c r="C876" s="39" t="s">
        <v>90</v>
      </c>
      <c r="D876" s="7">
        <v>4600</v>
      </c>
      <c r="E876" s="7">
        <f>'Option source'!B526</f>
        <v>4.68</v>
      </c>
      <c r="F876" s="7">
        <v>6950</v>
      </c>
      <c r="G876" s="14">
        <v>53</v>
      </c>
      <c r="H876" s="7">
        <f t="shared" si="39"/>
        <v>0</v>
      </c>
      <c r="I876" s="7">
        <f t="shared" si="40"/>
        <v>4.68</v>
      </c>
      <c r="J876" s="9">
        <f t="shared" si="41"/>
        <v>0.66187050359712229</v>
      </c>
      <c r="K876" s="9">
        <v>0.52948479231784218</v>
      </c>
      <c r="L876" s="13">
        <v>-9.0842553053727126E-3</v>
      </c>
      <c r="M876" s="13">
        <v>0.64899626096935803</v>
      </c>
      <c r="N876" s="7">
        <f>'Option source'!C526</f>
        <v>136094.09</v>
      </c>
      <c r="O876" s="7">
        <f>'Option source'!G526</f>
        <v>2</v>
      </c>
      <c r="P876" s="7">
        <f>'Option source'!F526</f>
        <v>5.5</v>
      </c>
      <c r="Q876" s="1" t="s">
        <v>88</v>
      </c>
      <c r="R876" s="1">
        <v>521</v>
      </c>
    </row>
    <row r="877" spans="1:18" ht="21" customHeight="1">
      <c r="A877" s="8">
        <v>46258</v>
      </c>
      <c r="B877" s="1" t="s">
        <v>136</v>
      </c>
      <c r="C877" s="39" t="s">
        <v>87</v>
      </c>
      <c r="D877" s="7">
        <v>4400</v>
      </c>
      <c r="E877" s="7">
        <f>'Option source'!B27</f>
        <v>2387.12</v>
      </c>
      <c r="F877" s="7">
        <v>6950</v>
      </c>
      <c r="G877" s="14">
        <v>53</v>
      </c>
      <c r="H877" s="7">
        <f t="shared" si="39"/>
        <v>2550</v>
      </c>
      <c r="I877" s="7">
        <f t="shared" si="40"/>
        <v>-162.88000000000011</v>
      </c>
      <c r="J877" s="9">
        <f t="shared" si="41"/>
        <v>0.63309352517985606</v>
      </c>
      <c r="K877" s="9"/>
      <c r="L877" s="13"/>
      <c r="M877" s="13"/>
      <c r="N877" s="7">
        <f>'Option source'!C27</f>
        <v>0</v>
      </c>
      <c r="O877" s="7">
        <f>'Option source'!G27</f>
        <v>2366.48</v>
      </c>
      <c r="P877" s="7">
        <f>'Option source'!F27</f>
        <v>2376.5</v>
      </c>
      <c r="Q877" s="1" t="s">
        <v>145</v>
      </c>
      <c r="R877" s="1">
        <v>22</v>
      </c>
    </row>
    <row r="878" spans="1:18" ht="21" customHeight="1">
      <c r="A878" s="8">
        <v>46258</v>
      </c>
      <c r="B878" s="1" t="s">
        <v>142</v>
      </c>
      <c r="C878" s="39" t="s">
        <v>87</v>
      </c>
      <c r="D878" s="7">
        <v>9500</v>
      </c>
      <c r="E878" s="7">
        <f>'Option source'!B450</f>
        <v>28.72</v>
      </c>
      <c r="F878" s="7">
        <v>6950</v>
      </c>
      <c r="G878" s="14">
        <v>53</v>
      </c>
      <c r="H878" s="7">
        <f t="shared" si="39"/>
        <v>0</v>
      </c>
      <c r="I878" s="7">
        <f t="shared" si="40"/>
        <v>28.72</v>
      </c>
      <c r="J878" s="9">
        <f t="shared" si="41"/>
        <v>1.3669064748201438</v>
      </c>
      <c r="K878" s="9">
        <v>0.43428468430754064</v>
      </c>
      <c r="L878" s="13">
        <v>6.1453743157202208E-2</v>
      </c>
      <c r="M878" s="13">
        <v>3.2144255627196321</v>
      </c>
      <c r="N878" s="7">
        <f>'Option source'!C450</f>
        <v>7221771</v>
      </c>
      <c r="O878" s="7">
        <f>'Option source'!G450</f>
        <v>24</v>
      </c>
      <c r="P878" s="7">
        <f>'Option source'!F450</f>
        <v>32</v>
      </c>
      <c r="Q878" s="1" t="s">
        <v>88</v>
      </c>
      <c r="R878" s="1">
        <v>445</v>
      </c>
    </row>
    <row r="879" spans="1:18" ht="21" customHeight="1">
      <c r="A879" s="8">
        <v>46258</v>
      </c>
      <c r="B879" s="1" t="s">
        <v>137</v>
      </c>
      <c r="C879" s="39" t="s">
        <v>90</v>
      </c>
      <c r="D879" s="7">
        <v>4400</v>
      </c>
      <c r="E879" s="7">
        <f>'Option source'!B507</f>
        <v>3.67</v>
      </c>
      <c r="F879" s="7">
        <v>6950</v>
      </c>
      <c r="G879" s="14">
        <v>53</v>
      </c>
      <c r="H879" s="7">
        <f t="shared" si="39"/>
        <v>0</v>
      </c>
      <c r="I879" s="7">
        <f t="shared" si="40"/>
        <v>3.67</v>
      </c>
      <c r="J879" s="9">
        <f t="shared" si="41"/>
        <v>0.63309352517985606</v>
      </c>
      <c r="K879" s="9">
        <v>0.5590346048518352</v>
      </c>
      <c r="L879" s="13">
        <v>-7.0063628142262857E-3</v>
      </c>
      <c r="M879" s="13">
        <v>0.51649781409695295</v>
      </c>
      <c r="N879" s="7">
        <f>'Option source'!C507</f>
        <v>688801.88</v>
      </c>
      <c r="O879" s="7">
        <f>'Option source'!G507</f>
        <v>2</v>
      </c>
      <c r="P879" s="7">
        <f>'Option source'!F507</f>
        <v>4.8</v>
      </c>
      <c r="Q879" s="1" t="s">
        <v>88</v>
      </c>
      <c r="R879" s="1">
        <v>502</v>
      </c>
    </row>
    <row r="880" spans="1:18" ht="21" customHeight="1">
      <c r="A880" s="8">
        <v>46258</v>
      </c>
      <c r="B880" s="1" t="s">
        <v>140</v>
      </c>
      <c r="C880" s="39" t="s">
        <v>87</v>
      </c>
      <c r="D880" s="7">
        <v>4200</v>
      </c>
      <c r="E880" s="7">
        <f>'Option source'!B8</f>
        <v>2844.35</v>
      </c>
      <c r="F880" s="7">
        <v>6950</v>
      </c>
      <c r="G880" s="14">
        <v>53</v>
      </c>
      <c r="H880" s="7">
        <f t="shared" si="39"/>
        <v>2750</v>
      </c>
      <c r="I880" s="7">
        <f t="shared" si="40"/>
        <v>94.349999999999909</v>
      </c>
      <c r="J880" s="9">
        <f t="shared" si="41"/>
        <v>0.60431654676258995</v>
      </c>
      <c r="K880" s="9"/>
      <c r="L880" s="13"/>
      <c r="M880" s="13"/>
      <c r="N880" s="7">
        <f>'Option source'!C8</f>
        <v>96763072</v>
      </c>
      <c r="O880" s="7">
        <f>'Option source'!G8</f>
        <v>2550</v>
      </c>
      <c r="P880" s="7">
        <f>'Option source'!F8</f>
        <v>2839.36</v>
      </c>
      <c r="Q880" s="1" t="s">
        <v>109</v>
      </c>
      <c r="R880" s="1">
        <v>3</v>
      </c>
    </row>
    <row r="881" spans="1:18" ht="21" customHeight="1">
      <c r="A881" s="8">
        <v>46258</v>
      </c>
      <c r="B881" s="1" t="s">
        <v>141</v>
      </c>
      <c r="C881" s="39" t="s">
        <v>90</v>
      </c>
      <c r="D881" s="7">
        <v>4200</v>
      </c>
      <c r="E881" s="7">
        <f>'Option source'!B488</f>
        <v>2.44</v>
      </c>
      <c r="F881" s="7">
        <v>6950</v>
      </c>
      <c r="G881" s="14">
        <v>53</v>
      </c>
      <c r="H881" s="7">
        <f t="shared" si="39"/>
        <v>0</v>
      </c>
      <c r="I881" s="7">
        <f t="shared" si="40"/>
        <v>2.44</v>
      </c>
      <c r="J881" s="9">
        <f t="shared" si="41"/>
        <v>0.60431654676258995</v>
      </c>
      <c r="K881" s="9">
        <v>0.57755588615838349</v>
      </c>
      <c r="L881" s="13">
        <v>-4.7093991587623396E-3</v>
      </c>
      <c r="M881" s="13">
        <v>0.36304276075234582</v>
      </c>
      <c r="N881" s="7">
        <f>'Option source'!C488</f>
        <v>257370.8</v>
      </c>
      <c r="O881" s="7">
        <f>'Option source'!G488</f>
        <v>1</v>
      </c>
      <c r="P881" s="7">
        <f>'Option source'!F488</f>
        <v>7</v>
      </c>
      <c r="Q881" s="1" t="s">
        <v>88</v>
      </c>
      <c r="R881" s="1">
        <v>483</v>
      </c>
    </row>
    <row r="882" spans="1:18" ht="21" customHeight="1">
      <c r="A882" s="8">
        <v>46258</v>
      </c>
      <c r="B882" s="1" t="s">
        <v>143</v>
      </c>
      <c r="C882" s="39" t="s">
        <v>87</v>
      </c>
      <c r="D882" s="7">
        <v>9900</v>
      </c>
      <c r="E882" s="7">
        <f>'Option source'!B469</f>
        <v>17.04</v>
      </c>
      <c r="F882" s="7">
        <v>6950</v>
      </c>
      <c r="G882" s="14">
        <v>53</v>
      </c>
      <c r="H882" s="7">
        <f t="shared" si="39"/>
        <v>0</v>
      </c>
      <c r="I882" s="7">
        <f t="shared" si="40"/>
        <v>17.04</v>
      </c>
      <c r="J882" s="9">
        <f t="shared" si="41"/>
        <v>1.4244604316546763</v>
      </c>
      <c r="K882" s="9">
        <v>0.43994291788958628</v>
      </c>
      <c r="L882" s="13">
        <v>3.8637902975384747E-2</v>
      </c>
      <c r="M882" s="13">
        <v>2.2187474480002169</v>
      </c>
      <c r="N882" s="7">
        <f>'Option source'!C469</f>
        <v>1945112.5</v>
      </c>
      <c r="O882" s="7">
        <f>'Option source'!G469</f>
        <v>15.1</v>
      </c>
      <c r="P882" s="7">
        <f>'Option source'!F469</f>
        <v>22</v>
      </c>
      <c r="Q882" s="1" t="s">
        <v>88</v>
      </c>
      <c r="R882" s="1">
        <v>464</v>
      </c>
    </row>
    <row r="883" spans="1:18" ht="21" customHeight="1">
      <c r="A883" s="8">
        <v>46255</v>
      </c>
      <c r="B883" s="1" t="s">
        <v>91</v>
      </c>
      <c r="C883" s="39" t="s">
        <v>87</v>
      </c>
      <c r="D883" s="7">
        <v>6600</v>
      </c>
      <c r="E883" s="7">
        <f>'Option source'!B221</f>
        <v>630</v>
      </c>
      <c r="F883" s="7">
        <v>6620</v>
      </c>
      <c r="G883" s="14">
        <v>56</v>
      </c>
      <c r="H883" s="7">
        <f t="shared" si="39"/>
        <v>20</v>
      </c>
      <c r="I883" s="7">
        <f t="shared" si="40"/>
        <v>610</v>
      </c>
      <c r="J883" s="9">
        <f t="shared" si="41"/>
        <v>0.99697885196374625</v>
      </c>
      <c r="K883" s="9">
        <v>0.45037439699872034</v>
      </c>
      <c r="L883" s="13">
        <v>0.64291781277550153</v>
      </c>
      <c r="M883" s="13">
        <v>9.6735234822539695</v>
      </c>
      <c r="N883" s="7">
        <f>'Option source'!C221</f>
        <v>64370992</v>
      </c>
      <c r="O883" s="7">
        <f>'Option source'!G221</f>
        <v>576</v>
      </c>
      <c r="P883" s="7">
        <f>'Option source'!F221</f>
        <v>716.22</v>
      </c>
      <c r="Q883" s="1" t="s">
        <v>88</v>
      </c>
      <c r="R883" s="1">
        <v>216</v>
      </c>
    </row>
    <row r="884" spans="1:18" ht="21" customHeight="1">
      <c r="A884" s="8">
        <v>46255</v>
      </c>
      <c r="B884" s="1" t="s">
        <v>92</v>
      </c>
      <c r="C884" s="39" t="s">
        <v>90</v>
      </c>
      <c r="D884" s="7">
        <v>6600</v>
      </c>
      <c r="E884" s="7">
        <f>'Option source'!B715</f>
        <v>374.07</v>
      </c>
      <c r="F884" s="7">
        <v>6620</v>
      </c>
      <c r="G884" s="14">
        <v>56</v>
      </c>
      <c r="H884" s="7">
        <f t="shared" si="39"/>
        <v>0</v>
      </c>
      <c r="I884" s="7">
        <f t="shared" si="40"/>
        <v>374.07</v>
      </c>
      <c r="J884" s="9">
        <f t="shared" si="41"/>
        <v>0.99697885196374625</v>
      </c>
      <c r="K884" s="9">
        <v>0.48218148726754506</v>
      </c>
      <c r="L884" s="13">
        <v>-0.36161106201622317</v>
      </c>
      <c r="M884" s="13">
        <v>9.7158243447702972</v>
      </c>
      <c r="N884" s="7">
        <f>'Option source'!C715</f>
        <v>110064368</v>
      </c>
      <c r="O884" s="7">
        <f>'Option source'!G715</f>
        <v>290</v>
      </c>
      <c r="P884" s="7">
        <f>'Option source'!F715</f>
        <v>390</v>
      </c>
      <c r="Q884" s="1" t="s">
        <v>88</v>
      </c>
      <c r="R884" s="1">
        <v>710</v>
      </c>
    </row>
    <row r="885" spans="1:18" ht="21" customHeight="1">
      <c r="A885" s="8">
        <v>46255</v>
      </c>
      <c r="B885" s="1" t="s">
        <v>86</v>
      </c>
      <c r="C885" s="39" t="s">
        <v>87</v>
      </c>
      <c r="D885" s="7">
        <v>6800</v>
      </c>
      <c r="E885" s="7">
        <f>'Option source'!B240</f>
        <v>520</v>
      </c>
      <c r="F885" s="7">
        <v>6620</v>
      </c>
      <c r="G885" s="14">
        <v>56</v>
      </c>
      <c r="H885" s="7">
        <f t="shared" si="39"/>
        <v>0</v>
      </c>
      <c r="I885" s="7">
        <f t="shared" si="40"/>
        <v>520</v>
      </c>
      <c r="J885" s="9">
        <f t="shared" si="41"/>
        <v>1.0271903323262841</v>
      </c>
      <c r="K885" s="9">
        <v>0.44393323414538993</v>
      </c>
      <c r="L885" s="13">
        <v>0.5782274874424328</v>
      </c>
      <c r="M885" s="13">
        <v>10.14512617820375</v>
      </c>
      <c r="N885" s="7">
        <f>'Option source'!C240</f>
        <v>103459176</v>
      </c>
      <c r="O885" s="7">
        <f>'Option source'!G240</f>
        <v>485</v>
      </c>
      <c r="P885" s="7">
        <f>'Option source'!F240</f>
        <v>625</v>
      </c>
      <c r="Q885" s="1" t="s">
        <v>88</v>
      </c>
      <c r="R885" s="1">
        <v>235</v>
      </c>
    </row>
    <row r="886" spans="1:18" ht="21" customHeight="1">
      <c r="A886" s="8">
        <v>46255</v>
      </c>
      <c r="B886" s="1" t="s">
        <v>89</v>
      </c>
      <c r="C886" s="39" t="s">
        <v>90</v>
      </c>
      <c r="D886" s="7">
        <v>6800</v>
      </c>
      <c r="E886" s="7">
        <f>'Option source'!B734</f>
        <v>450.05</v>
      </c>
      <c r="F886" s="7">
        <v>6620</v>
      </c>
      <c r="G886" s="14">
        <v>56</v>
      </c>
      <c r="H886" s="7">
        <f t="shared" si="39"/>
        <v>180</v>
      </c>
      <c r="I886" s="7">
        <f t="shared" si="40"/>
        <v>270.05</v>
      </c>
      <c r="J886" s="9">
        <f t="shared" si="41"/>
        <v>1.0271903323262841</v>
      </c>
      <c r="K886" s="9">
        <v>0.45758646281893284</v>
      </c>
      <c r="L886" s="13">
        <v>-0.42201535317199745</v>
      </c>
      <c r="M886" s="13">
        <v>10.14636698702973</v>
      </c>
      <c r="N886" s="7">
        <f>'Option source'!C734</f>
        <v>34926320</v>
      </c>
      <c r="O886" s="7">
        <f>'Option source'!G734</f>
        <v>383.44</v>
      </c>
      <c r="P886" s="7">
        <f>'Option source'!F734</f>
        <v>485</v>
      </c>
      <c r="Q886" s="1" t="s">
        <v>88</v>
      </c>
      <c r="R886" s="1">
        <v>729</v>
      </c>
    </row>
    <row r="887" spans="1:18" ht="21" customHeight="1">
      <c r="A887" s="8">
        <v>46255</v>
      </c>
      <c r="B887" s="1" t="s">
        <v>95</v>
      </c>
      <c r="C887" s="39" t="s">
        <v>87</v>
      </c>
      <c r="D887" s="7">
        <v>6400</v>
      </c>
      <c r="E887" s="7">
        <f>'Option source'!B202</f>
        <v>711</v>
      </c>
      <c r="F887" s="7">
        <v>6620</v>
      </c>
      <c r="G887" s="14">
        <v>56</v>
      </c>
      <c r="H887" s="7">
        <f t="shared" si="39"/>
        <v>220</v>
      </c>
      <c r="I887" s="7">
        <f t="shared" si="40"/>
        <v>491</v>
      </c>
      <c r="J887" s="9">
        <f t="shared" si="41"/>
        <v>0.96676737160120851</v>
      </c>
      <c r="K887" s="9">
        <v>0.41051103461291388</v>
      </c>
      <c r="L887" s="13">
        <v>0.71797480718283913</v>
      </c>
      <c r="M887" s="13">
        <v>8.7591540484703003</v>
      </c>
      <c r="N887" s="7">
        <f>'Option source'!C202</f>
        <v>15215765</v>
      </c>
      <c r="O887" s="7">
        <f>'Option source'!G202</f>
        <v>685.01</v>
      </c>
      <c r="P887" s="7">
        <f>'Option source'!F202</f>
        <v>830</v>
      </c>
      <c r="Q887" s="1" t="s">
        <v>88</v>
      </c>
      <c r="R887" s="1">
        <v>197</v>
      </c>
    </row>
    <row r="888" spans="1:18" ht="21" customHeight="1">
      <c r="A888" s="8">
        <v>46255</v>
      </c>
      <c r="B888" s="1" t="s">
        <v>96</v>
      </c>
      <c r="C888" s="39" t="s">
        <v>90</v>
      </c>
      <c r="D888" s="7">
        <v>6400</v>
      </c>
      <c r="E888" s="7">
        <f>'Option source'!B696</f>
        <v>290.5</v>
      </c>
      <c r="F888" s="7">
        <v>6620</v>
      </c>
      <c r="G888" s="14">
        <v>56</v>
      </c>
      <c r="H888" s="7">
        <f t="shared" si="39"/>
        <v>0</v>
      </c>
      <c r="I888" s="7">
        <f t="shared" si="40"/>
        <v>290.5</v>
      </c>
      <c r="J888" s="9">
        <f t="shared" si="41"/>
        <v>0.96676737160120851</v>
      </c>
      <c r="K888" s="9">
        <v>0.48414463858442452</v>
      </c>
      <c r="L888" s="13">
        <v>-0.30301333093473681</v>
      </c>
      <c r="M888" s="13">
        <v>9.0563694784245623</v>
      </c>
      <c r="N888" s="7">
        <f>'Option source'!C696</f>
        <v>57884704</v>
      </c>
      <c r="O888" s="7">
        <f>'Option source'!G696</f>
        <v>190</v>
      </c>
      <c r="P888" s="7">
        <f>'Option source'!F696</f>
        <v>300</v>
      </c>
      <c r="Q888" s="1" t="s">
        <v>88</v>
      </c>
      <c r="R888" s="1">
        <v>691</v>
      </c>
    </row>
    <row r="889" spans="1:18" ht="21" customHeight="1">
      <c r="A889" s="8">
        <v>46255</v>
      </c>
      <c r="B889" s="1" t="s">
        <v>93</v>
      </c>
      <c r="C889" s="39" t="s">
        <v>87</v>
      </c>
      <c r="D889" s="7">
        <v>7000</v>
      </c>
      <c r="E889" s="7">
        <f>'Option source'!B259</f>
        <v>419.73</v>
      </c>
      <c r="F889" s="7">
        <v>6620</v>
      </c>
      <c r="G889" s="14">
        <v>56</v>
      </c>
      <c r="H889" s="7">
        <f t="shared" si="39"/>
        <v>0</v>
      </c>
      <c r="I889" s="7">
        <f t="shared" si="40"/>
        <v>419.73</v>
      </c>
      <c r="J889" s="9">
        <f t="shared" si="41"/>
        <v>1.0574018126888218</v>
      </c>
      <c r="K889" s="9">
        <v>0.43488737637267061</v>
      </c>
      <c r="L889" s="13">
        <v>0.51105511976211859</v>
      </c>
      <c r="M889" s="13">
        <v>10.340673973464884</v>
      </c>
      <c r="N889" s="7">
        <f>'Option source'!C259</f>
        <v>255199440</v>
      </c>
      <c r="O889" s="7">
        <f>'Option source'!G259</f>
        <v>406</v>
      </c>
      <c r="P889" s="7">
        <f>'Option source'!F259</f>
        <v>510</v>
      </c>
      <c r="Q889" s="1" t="s">
        <v>88</v>
      </c>
      <c r="R889" s="1">
        <v>254</v>
      </c>
    </row>
    <row r="890" spans="1:18" ht="21" customHeight="1">
      <c r="A890" s="8">
        <v>46255</v>
      </c>
      <c r="B890" s="1" t="s">
        <v>94</v>
      </c>
      <c r="C890" s="39" t="s">
        <v>90</v>
      </c>
      <c r="D890" s="7">
        <v>7000</v>
      </c>
      <c r="E890" s="7">
        <f>'Option source'!B753</f>
        <v>570</v>
      </c>
      <c r="F890" s="7">
        <v>6620</v>
      </c>
      <c r="G890" s="14">
        <v>56</v>
      </c>
      <c r="H890" s="7">
        <f t="shared" si="39"/>
        <v>380</v>
      </c>
      <c r="I890" s="7">
        <f t="shared" si="40"/>
        <v>190</v>
      </c>
      <c r="J890" s="9">
        <f t="shared" si="41"/>
        <v>1.0574018126888218</v>
      </c>
      <c r="K890" s="9">
        <v>0.46174175932785438</v>
      </c>
      <c r="L890" s="13">
        <v>-0.48551535149722713</v>
      </c>
      <c r="M890" s="13">
        <v>10.337826940929574</v>
      </c>
      <c r="N890" s="7">
        <f>'Option source'!C753</f>
        <v>65445404</v>
      </c>
      <c r="O890" s="7">
        <f>'Option source'!G753</f>
        <v>435</v>
      </c>
      <c r="P890" s="7">
        <f>'Option source'!F753</f>
        <v>597</v>
      </c>
      <c r="Q890" s="1" t="s">
        <v>88</v>
      </c>
      <c r="R890" s="1">
        <v>748</v>
      </c>
    </row>
    <row r="891" spans="1:18" ht="21" customHeight="1">
      <c r="A891" s="8">
        <v>46255</v>
      </c>
      <c r="B891" s="1" t="s">
        <v>99</v>
      </c>
      <c r="C891" s="39" t="s">
        <v>87</v>
      </c>
      <c r="D891" s="7">
        <v>6200</v>
      </c>
      <c r="E891" s="7">
        <f>'Option source'!B183</f>
        <v>845</v>
      </c>
      <c r="F891" s="7">
        <v>6620</v>
      </c>
      <c r="G891" s="14">
        <v>56</v>
      </c>
      <c r="H891" s="7">
        <f t="shared" si="39"/>
        <v>420</v>
      </c>
      <c r="I891" s="7">
        <f t="shared" si="40"/>
        <v>425</v>
      </c>
      <c r="J891" s="9">
        <f t="shared" si="41"/>
        <v>0.93655589123867067</v>
      </c>
      <c r="K891" s="9">
        <v>0.41185353433416555</v>
      </c>
      <c r="L891" s="13">
        <v>0.7800272473985479</v>
      </c>
      <c r="M891" s="13">
        <v>7.6772150066803615</v>
      </c>
      <c r="N891" s="7">
        <f>'Option source'!C183</f>
        <v>13107226</v>
      </c>
      <c r="O891" s="7">
        <f>'Option source'!G183</f>
        <v>825</v>
      </c>
      <c r="P891" s="7">
        <f>'Option source'!F183</f>
        <v>900</v>
      </c>
      <c r="Q891" s="1" t="s">
        <v>88</v>
      </c>
      <c r="R891" s="1">
        <v>178</v>
      </c>
    </row>
    <row r="892" spans="1:18" ht="21" customHeight="1">
      <c r="A892" s="8">
        <v>46255</v>
      </c>
      <c r="B892" s="1" t="s">
        <v>101</v>
      </c>
      <c r="C892" s="39" t="s">
        <v>90</v>
      </c>
      <c r="D892" s="7">
        <v>6200</v>
      </c>
      <c r="E892" s="7">
        <f>'Option source'!B677</f>
        <v>201.71</v>
      </c>
      <c r="F892" s="7">
        <v>6620</v>
      </c>
      <c r="G892" s="14">
        <v>56</v>
      </c>
      <c r="H892" s="7">
        <f t="shared" si="39"/>
        <v>0</v>
      </c>
      <c r="I892" s="7">
        <f t="shared" si="40"/>
        <v>201.71</v>
      </c>
      <c r="J892" s="9">
        <f t="shared" si="41"/>
        <v>0.93655589123867067</v>
      </c>
      <c r="K892" s="9">
        <v>0.46363139346697974</v>
      </c>
      <c r="L892" s="13">
        <v>-0.24034728656591309</v>
      </c>
      <c r="M892" s="13">
        <v>8.0673539582922231</v>
      </c>
      <c r="N892" s="7">
        <f>'Option source'!C677</f>
        <v>15305316</v>
      </c>
      <c r="O892" s="7">
        <f>'Option source'!G677</f>
        <v>165</v>
      </c>
      <c r="P892" s="7">
        <f>'Option source'!F677</f>
        <v>215</v>
      </c>
      <c r="Q892" s="1" t="s">
        <v>88</v>
      </c>
      <c r="R892" s="1">
        <v>672</v>
      </c>
    </row>
    <row r="893" spans="1:18" ht="21" customHeight="1">
      <c r="A893" s="8">
        <v>46255</v>
      </c>
      <c r="B893" s="1" t="s">
        <v>97</v>
      </c>
      <c r="C893" s="39" t="s">
        <v>87</v>
      </c>
      <c r="D893" s="7">
        <v>7200</v>
      </c>
      <c r="E893" s="7">
        <f>'Option source'!B278</f>
        <v>339.33</v>
      </c>
      <c r="F893" s="7">
        <v>6620</v>
      </c>
      <c r="G893" s="14">
        <v>56</v>
      </c>
      <c r="H893" s="7">
        <f t="shared" si="39"/>
        <v>0</v>
      </c>
      <c r="I893" s="7">
        <f t="shared" si="40"/>
        <v>339.33</v>
      </c>
      <c r="J893" s="9">
        <f t="shared" si="41"/>
        <v>1.0876132930513596</v>
      </c>
      <c r="K893" s="9">
        <v>0.43300081048555733</v>
      </c>
      <c r="L893" s="13">
        <v>0.4447238624229819</v>
      </c>
      <c r="M893" s="13">
        <v>10.245188409305849</v>
      </c>
      <c r="N893" s="7">
        <f>'Option source'!C278</f>
        <v>76861992</v>
      </c>
      <c r="O893" s="7">
        <f>'Option source'!G278</f>
        <v>337.32</v>
      </c>
      <c r="P893" s="7">
        <f>'Option source'!F278</f>
        <v>440</v>
      </c>
      <c r="Q893" s="1" t="s">
        <v>88</v>
      </c>
      <c r="R893" s="1">
        <v>273</v>
      </c>
    </row>
    <row r="894" spans="1:18" ht="21" customHeight="1">
      <c r="A894" s="8">
        <v>46255</v>
      </c>
      <c r="B894" s="1" t="s">
        <v>98</v>
      </c>
      <c r="C894" s="39" t="s">
        <v>90</v>
      </c>
      <c r="D894" s="7">
        <v>7200</v>
      </c>
      <c r="E894" s="7">
        <f>'Option source'!B772</f>
        <v>731.63</v>
      </c>
      <c r="F894" s="7">
        <v>6620</v>
      </c>
      <c r="G894" s="14">
        <v>56</v>
      </c>
      <c r="H894" s="7">
        <f t="shared" si="39"/>
        <v>580</v>
      </c>
      <c r="I894" s="7">
        <f t="shared" si="40"/>
        <v>151.63</v>
      </c>
      <c r="J894" s="9">
        <f t="shared" si="41"/>
        <v>1.0876132930513596</v>
      </c>
      <c r="K894" s="9">
        <v>0.49591859079381584</v>
      </c>
      <c r="L894" s="13">
        <v>-0.53914754988476532</v>
      </c>
      <c r="M894" s="13">
        <v>10.29480081923991</v>
      </c>
      <c r="N894" s="7">
        <f>'Option source'!C772</f>
        <v>14423741</v>
      </c>
      <c r="O894" s="7">
        <f>'Option source'!G772</f>
        <v>603</v>
      </c>
      <c r="P894" s="7">
        <f>'Option source'!F772</f>
        <v>750</v>
      </c>
      <c r="Q894" s="1" t="s">
        <v>88</v>
      </c>
      <c r="R894" s="1">
        <v>767</v>
      </c>
    </row>
    <row r="895" spans="1:18" ht="21" customHeight="1">
      <c r="A895" s="8">
        <v>46255</v>
      </c>
      <c r="B895" s="1" t="s">
        <v>104</v>
      </c>
      <c r="C895" s="39" t="s">
        <v>87</v>
      </c>
      <c r="D895" s="7">
        <v>6000</v>
      </c>
      <c r="E895" s="7">
        <f>'Option source'!B164</f>
        <v>995</v>
      </c>
      <c r="F895" s="7">
        <v>6620</v>
      </c>
      <c r="G895" s="14">
        <v>56</v>
      </c>
      <c r="H895" s="7">
        <f t="shared" si="39"/>
        <v>620</v>
      </c>
      <c r="I895" s="7">
        <f t="shared" si="40"/>
        <v>375</v>
      </c>
      <c r="J895" s="9">
        <f t="shared" si="41"/>
        <v>0.90634441087613293</v>
      </c>
      <c r="K895" s="9">
        <v>0.418916008922193</v>
      </c>
      <c r="L895" s="13">
        <v>0.83193503987984119</v>
      </c>
      <c r="M895" s="13">
        <v>6.5136559462556658</v>
      </c>
      <c r="N895" s="7">
        <f>'Option source'!C164</f>
        <v>10241728</v>
      </c>
      <c r="O895" s="7">
        <f>'Option source'!G164</f>
        <v>950</v>
      </c>
      <c r="P895" s="7">
        <f>'Option source'!F164</f>
        <v>1019.18</v>
      </c>
      <c r="Q895" s="1" t="s">
        <v>88</v>
      </c>
      <c r="R895" s="1">
        <v>159</v>
      </c>
    </row>
    <row r="896" spans="1:18" ht="21" customHeight="1">
      <c r="A896" s="8">
        <v>46255</v>
      </c>
      <c r="B896" s="1" t="s">
        <v>105</v>
      </c>
      <c r="C896" s="39" t="s">
        <v>90</v>
      </c>
      <c r="D896" s="7">
        <v>6000</v>
      </c>
      <c r="E896" s="7">
        <f>'Option source'!B658</f>
        <v>145.03</v>
      </c>
      <c r="F896" s="7">
        <v>6620</v>
      </c>
      <c r="G896" s="14">
        <v>56</v>
      </c>
      <c r="H896" s="7">
        <f t="shared" si="39"/>
        <v>0</v>
      </c>
      <c r="I896" s="7">
        <f t="shared" si="40"/>
        <v>145.03</v>
      </c>
      <c r="J896" s="9">
        <f t="shared" si="41"/>
        <v>0.90634441087613293</v>
      </c>
      <c r="K896" s="9">
        <v>0.46373161373497168</v>
      </c>
      <c r="L896" s="13">
        <v>-0.1879185786144264</v>
      </c>
      <c r="M896" s="13">
        <v>6.9889621214303936</v>
      </c>
      <c r="N896" s="7">
        <f>'Option source'!C658</f>
        <v>54616160</v>
      </c>
      <c r="O896" s="7">
        <f>'Option source'!G658</f>
        <v>110</v>
      </c>
      <c r="P896" s="7">
        <f>'Option source'!F658</f>
        <v>156</v>
      </c>
      <c r="Q896" s="1" t="s">
        <v>88</v>
      </c>
      <c r="R896" s="1">
        <v>653</v>
      </c>
    </row>
    <row r="897" spans="1:18" ht="21" customHeight="1">
      <c r="A897" s="8">
        <v>46255</v>
      </c>
      <c r="B897" s="1" t="s">
        <v>102</v>
      </c>
      <c r="C897" s="39" t="s">
        <v>87</v>
      </c>
      <c r="D897" s="7">
        <v>7400</v>
      </c>
      <c r="E897" s="7">
        <f>'Option source'!B297</f>
        <v>271.72000000000003</v>
      </c>
      <c r="F897" s="7">
        <v>6620</v>
      </c>
      <c r="G897" s="14">
        <v>56</v>
      </c>
      <c r="H897" s="7">
        <f t="shared" si="39"/>
        <v>0</v>
      </c>
      <c r="I897" s="7">
        <f t="shared" si="40"/>
        <v>271.72000000000003</v>
      </c>
      <c r="J897" s="9">
        <f t="shared" si="41"/>
        <v>1.1178247734138973</v>
      </c>
      <c r="K897" s="9">
        <v>0.43194674504890068</v>
      </c>
      <c r="L897" s="13">
        <v>0.38144170465556954</v>
      </c>
      <c r="M897" s="13">
        <v>9.8844093080831144</v>
      </c>
      <c r="N897" s="7">
        <f>'Option source'!C297</f>
        <v>68027704</v>
      </c>
      <c r="O897" s="7">
        <f>'Option source'!G297</f>
        <v>268.01</v>
      </c>
      <c r="P897" s="7">
        <f>'Option source'!F297</f>
        <v>335</v>
      </c>
      <c r="Q897" s="1" t="s">
        <v>88</v>
      </c>
      <c r="R897" s="1">
        <v>292</v>
      </c>
    </row>
    <row r="898" spans="1:18" ht="21" customHeight="1">
      <c r="A898" s="8">
        <v>46255</v>
      </c>
      <c r="B898" s="1" t="s">
        <v>103</v>
      </c>
      <c r="C898" s="39" t="s">
        <v>90</v>
      </c>
      <c r="D898" s="7">
        <v>7400</v>
      </c>
      <c r="E898" s="7">
        <f>'Option source'!B791</f>
        <v>780</v>
      </c>
      <c r="F898" s="7">
        <v>6620</v>
      </c>
      <c r="G898" s="14">
        <v>56</v>
      </c>
      <c r="H898" s="7">
        <f t="shared" si="39"/>
        <v>780</v>
      </c>
      <c r="I898" s="7">
        <f t="shared" si="40"/>
        <v>0</v>
      </c>
      <c r="J898" s="9">
        <f t="shared" si="41"/>
        <v>1.1178247734138973</v>
      </c>
      <c r="K898" s="9"/>
      <c r="L898" s="13"/>
      <c r="M898" s="13"/>
      <c r="N898" s="7">
        <f>'Option source'!C791</f>
        <v>2447004</v>
      </c>
      <c r="O898" s="7">
        <f>'Option source'!G791</f>
        <v>750</v>
      </c>
      <c r="P898" s="7">
        <f>'Option source'!F791</f>
        <v>856</v>
      </c>
      <c r="Q898" s="1" t="s">
        <v>100</v>
      </c>
      <c r="R898" s="1">
        <v>786</v>
      </c>
    </row>
    <row r="899" spans="1:18" ht="21" customHeight="1">
      <c r="A899" s="8">
        <v>46255</v>
      </c>
      <c r="B899" s="1" t="s">
        <v>110</v>
      </c>
      <c r="C899" s="39" t="s">
        <v>90</v>
      </c>
      <c r="D899" s="7">
        <v>5800</v>
      </c>
      <c r="E899" s="7">
        <f>'Option source'!B639</f>
        <v>96.17</v>
      </c>
      <c r="F899" s="7">
        <v>6620</v>
      </c>
      <c r="G899" s="14">
        <v>56</v>
      </c>
      <c r="H899" s="7">
        <f t="shared" si="39"/>
        <v>0</v>
      </c>
      <c r="I899" s="7">
        <f t="shared" si="40"/>
        <v>96.17</v>
      </c>
      <c r="J899" s="9">
        <f t="shared" si="41"/>
        <v>0.8761329305135952</v>
      </c>
      <c r="K899" s="9">
        <v>0.45600663845341943</v>
      </c>
      <c r="L899" s="13">
        <v>-0.13844209045592226</v>
      </c>
      <c r="M899" s="13">
        <v>5.7276714125853729</v>
      </c>
      <c r="N899" s="7">
        <f>'Option source'!C639</f>
        <v>14418703</v>
      </c>
      <c r="O899" s="7">
        <f>'Option source'!G639</f>
        <v>75.010000000000005</v>
      </c>
      <c r="P899" s="7">
        <f>'Option source'!F639</f>
        <v>110</v>
      </c>
      <c r="Q899" s="1" t="s">
        <v>88</v>
      </c>
      <c r="R899" s="1">
        <v>634</v>
      </c>
    </row>
    <row r="900" spans="1:18" ht="21" customHeight="1">
      <c r="A900" s="8">
        <v>46255</v>
      </c>
      <c r="B900" s="1" t="s">
        <v>106</v>
      </c>
      <c r="C900" s="39" t="s">
        <v>87</v>
      </c>
      <c r="D900" s="7">
        <v>7600</v>
      </c>
      <c r="E900" s="7">
        <f>'Option source'!B316</f>
        <v>215.5</v>
      </c>
      <c r="F900" s="7">
        <v>6620</v>
      </c>
      <c r="G900" s="14">
        <v>56</v>
      </c>
      <c r="H900" s="7">
        <f t="shared" si="39"/>
        <v>0</v>
      </c>
      <c r="I900" s="7">
        <f t="shared" si="40"/>
        <v>215.5</v>
      </c>
      <c r="J900" s="9">
        <f t="shared" si="41"/>
        <v>1.148036253776435</v>
      </c>
      <c r="K900" s="9">
        <v>0.43133050987662336</v>
      </c>
      <c r="L900" s="13">
        <v>0.32268050381296121</v>
      </c>
      <c r="M900" s="13">
        <v>9.305164788252732</v>
      </c>
      <c r="N900" s="7">
        <f>'Option source'!C316</f>
        <v>132477656</v>
      </c>
      <c r="O900" s="7">
        <f>'Option source'!G316</f>
        <v>205.01</v>
      </c>
      <c r="P900" s="7">
        <f>'Option source'!F316</f>
        <v>266</v>
      </c>
      <c r="Q900" s="1" t="s">
        <v>88</v>
      </c>
      <c r="R900" s="1">
        <v>311</v>
      </c>
    </row>
    <row r="901" spans="1:18" ht="21" customHeight="1">
      <c r="A901" s="8">
        <v>46255</v>
      </c>
      <c r="B901" s="1" t="s">
        <v>107</v>
      </c>
      <c r="C901" s="39" t="s">
        <v>90</v>
      </c>
      <c r="D901" s="7">
        <v>7600</v>
      </c>
      <c r="E901" s="7">
        <f>'Option source'!B810</f>
        <v>987.5</v>
      </c>
      <c r="F901" s="7">
        <v>6620</v>
      </c>
      <c r="G901" s="14">
        <v>56</v>
      </c>
      <c r="H901" s="7">
        <f t="shared" si="39"/>
        <v>980</v>
      </c>
      <c r="I901" s="7">
        <f t="shared" si="40"/>
        <v>7.5</v>
      </c>
      <c r="J901" s="9">
        <f t="shared" si="41"/>
        <v>1.148036253776435</v>
      </c>
      <c r="K901" s="9"/>
      <c r="L901" s="13"/>
      <c r="M901" s="13"/>
      <c r="N901" s="7">
        <f>'Option source'!C810</f>
        <v>790000</v>
      </c>
      <c r="O901" s="7">
        <f>'Option source'!G810</f>
        <v>975</v>
      </c>
      <c r="P901" s="7">
        <f>'Option source'!F810</f>
        <v>975</v>
      </c>
      <c r="Q901" s="1" t="s">
        <v>109</v>
      </c>
      <c r="R901" s="1">
        <v>805</v>
      </c>
    </row>
    <row r="902" spans="1:18" ht="21" customHeight="1">
      <c r="A902" s="8">
        <v>46255</v>
      </c>
      <c r="B902" s="1" t="s">
        <v>115</v>
      </c>
      <c r="C902" s="39" t="s">
        <v>90</v>
      </c>
      <c r="D902" s="7">
        <v>5600</v>
      </c>
      <c r="E902" s="7">
        <f>'Option source'!B620</f>
        <v>62.84</v>
      </c>
      <c r="F902" s="7">
        <v>6620</v>
      </c>
      <c r="G902" s="14">
        <v>56</v>
      </c>
      <c r="H902" s="7">
        <f t="shared" si="39"/>
        <v>0</v>
      </c>
      <c r="I902" s="7">
        <f t="shared" si="40"/>
        <v>62.84</v>
      </c>
      <c r="J902" s="9">
        <f t="shared" si="41"/>
        <v>0.84592145015105735</v>
      </c>
      <c r="K902" s="9">
        <v>0.45382123411807046</v>
      </c>
      <c r="L902" s="13">
        <v>-9.8675979397588764E-2</v>
      </c>
      <c r="M902" s="13">
        <v>4.5065754697060925</v>
      </c>
      <c r="N902" s="7">
        <f>'Option source'!C620</f>
        <v>7936556</v>
      </c>
      <c r="O902" s="7">
        <f>'Option source'!G620</f>
        <v>48.67</v>
      </c>
      <c r="P902" s="7">
        <f>'Option source'!F620</f>
        <v>70</v>
      </c>
      <c r="Q902" s="1" t="s">
        <v>88</v>
      </c>
      <c r="R902" s="1">
        <v>615</v>
      </c>
    </row>
    <row r="903" spans="1:18" ht="21" customHeight="1">
      <c r="A903" s="8">
        <v>46255</v>
      </c>
      <c r="B903" s="1" t="s">
        <v>111</v>
      </c>
      <c r="C903" s="39" t="s">
        <v>87</v>
      </c>
      <c r="D903" s="7">
        <v>7800</v>
      </c>
      <c r="E903" s="7">
        <f>'Option source'!B335</f>
        <v>175.19</v>
      </c>
      <c r="F903" s="7">
        <v>6620</v>
      </c>
      <c r="G903" s="14">
        <v>56</v>
      </c>
      <c r="H903" s="7">
        <f t="shared" ref="H903:H926" si="42">MAX(IF(C903="call",F903-D903,D903-F903),0)</f>
        <v>0</v>
      </c>
      <c r="I903" s="7">
        <f t="shared" ref="I903:I966" si="43">E903-H903</f>
        <v>175.19</v>
      </c>
      <c r="J903" s="9">
        <f t="shared" ref="J903:J926" si="44">D903/F903</f>
        <v>1.1782477341389728</v>
      </c>
      <c r="K903" s="9">
        <v>0.43780617661848859</v>
      </c>
      <c r="L903" s="13">
        <v>0.27346592137391279</v>
      </c>
      <c r="M903" s="13">
        <v>8.6283033038533219</v>
      </c>
      <c r="N903" s="7">
        <f>'Option source'!C335</f>
        <v>75230696</v>
      </c>
      <c r="O903" s="7">
        <f>'Option source'!G335</f>
        <v>172.01</v>
      </c>
      <c r="P903" s="7">
        <f>'Option source'!F335</f>
        <v>215</v>
      </c>
      <c r="Q903" s="1" t="s">
        <v>88</v>
      </c>
      <c r="R903" s="1">
        <v>330</v>
      </c>
    </row>
    <row r="904" spans="1:18" ht="21" customHeight="1">
      <c r="A904" s="8">
        <v>46255</v>
      </c>
      <c r="B904" s="1" t="s">
        <v>112</v>
      </c>
      <c r="C904" s="39" t="s">
        <v>90</v>
      </c>
      <c r="D904" s="7">
        <v>7800</v>
      </c>
      <c r="E904" s="7">
        <f>'Option source'!B829</f>
        <v>1150</v>
      </c>
      <c r="F904" s="7">
        <v>6620</v>
      </c>
      <c r="G904" s="14">
        <v>56</v>
      </c>
      <c r="H904" s="7">
        <f t="shared" si="42"/>
        <v>1180</v>
      </c>
      <c r="I904" s="7">
        <f t="shared" si="43"/>
        <v>-30</v>
      </c>
      <c r="J904" s="9">
        <f t="shared" si="44"/>
        <v>1.1782477341389728</v>
      </c>
      <c r="K904" s="9"/>
      <c r="L904" s="13"/>
      <c r="M904" s="13"/>
      <c r="N904" s="7">
        <f>'Option source'!C829</f>
        <v>230000</v>
      </c>
      <c r="O904" s="7">
        <f>'Option source'!G829</f>
        <v>1150</v>
      </c>
      <c r="P904" s="7">
        <f>'Option source'!F829</f>
        <v>1150</v>
      </c>
      <c r="Q904" s="1" t="s">
        <v>144</v>
      </c>
      <c r="R904" s="1">
        <v>824</v>
      </c>
    </row>
    <row r="905" spans="1:18" ht="21" customHeight="1">
      <c r="A905" s="8">
        <v>46255</v>
      </c>
      <c r="B905" s="1" t="s">
        <v>119</v>
      </c>
      <c r="C905" s="39" t="s">
        <v>87</v>
      </c>
      <c r="D905" s="7">
        <v>5400</v>
      </c>
      <c r="E905" s="7">
        <f>'Option source'!B117</f>
        <v>1534</v>
      </c>
      <c r="F905" s="7">
        <v>6620</v>
      </c>
      <c r="G905" s="14">
        <v>56</v>
      </c>
      <c r="H905" s="7">
        <f t="shared" si="42"/>
        <v>1220</v>
      </c>
      <c r="I905" s="7">
        <f t="shared" si="43"/>
        <v>314</v>
      </c>
      <c r="J905" s="9">
        <f t="shared" si="44"/>
        <v>0.81570996978851962</v>
      </c>
      <c r="K905" s="9"/>
      <c r="L905" s="13"/>
      <c r="M905" s="13"/>
      <c r="N905" s="7">
        <f>'Option source'!C117</f>
        <v>153400</v>
      </c>
      <c r="O905" s="7">
        <f>'Option source'!G117</f>
        <v>0</v>
      </c>
      <c r="P905" s="7">
        <f>'Option source'!F117</f>
        <v>0</v>
      </c>
      <c r="Q905" s="1" t="s">
        <v>109</v>
      </c>
      <c r="R905" s="1">
        <v>112</v>
      </c>
    </row>
    <row r="906" spans="1:18" ht="21" customHeight="1">
      <c r="A906" s="8">
        <v>46255</v>
      </c>
      <c r="B906" s="1" t="s">
        <v>120</v>
      </c>
      <c r="C906" s="39" t="s">
        <v>90</v>
      </c>
      <c r="D906" s="7">
        <v>5400</v>
      </c>
      <c r="E906" s="7">
        <f>'Option source'!B601</f>
        <v>39.81</v>
      </c>
      <c r="F906" s="7">
        <v>6620</v>
      </c>
      <c r="G906" s="14">
        <v>56</v>
      </c>
      <c r="H906" s="7">
        <f t="shared" si="42"/>
        <v>0</v>
      </c>
      <c r="I906" s="7">
        <f t="shared" si="43"/>
        <v>39.81</v>
      </c>
      <c r="J906" s="9">
        <f t="shared" si="44"/>
        <v>0.81570996978851962</v>
      </c>
      <c r="K906" s="9">
        <v>0.45472651722534524</v>
      </c>
      <c r="L906" s="13">
        <v>-6.7967303026870596E-2</v>
      </c>
      <c r="M906" s="13">
        <v>3.4034032232937226</v>
      </c>
      <c r="N906" s="7">
        <f>'Option source'!C601</f>
        <v>1855666.25</v>
      </c>
      <c r="O906" s="7">
        <f>'Option source'!G601</f>
        <v>28</v>
      </c>
      <c r="P906" s="7">
        <f>'Option source'!F601</f>
        <v>60</v>
      </c>
      <c r="Q906" s="1" t="s">
        <v>88</v>
      </c>
      <c r="R906" s="1">
        <v>596</v>
      </c>
    </row>
    <row r="907" spans="1:18" ht="21" customHeight="1">
      <c r="A907" s="8">
        <v>46255</v>
      </c>
      <c r="B907" s="1" t="s">
        <v>116</v>
      </c>
      <c r="C907" s="39" t="s">
        <v>87</v>
      </c>
      <c r="D907" s="7">
        <v>8000</v>
      </c>
      <c r="E907" s="7">
        <f>'Option source'!B354</f>
        <v>145.19</v>
      </c>
      <c r="F907" s="7">
        <v>6620</v>
      </c>
      <c r="G907" s="14">
        <v>56</v>
      </c>
      <c r="H907" s="7">
        <f t="shared" si="42"/>
        <v>0</v>
      </c>
      <c r="I907" s="7">
        <f t="shared" si="43"/>
        <v>145.19</v>
      </c>
      <c r="J907" s="9">
        <f t="shared" si="44"/>
        <v>1.2084592145015105</v>
      </c>
      <c r="K907" s="9">
        <v>0.44784822143763819</v>
      </c>
      <c r="L907" s="13">
        <v>0.23291061020356488</v>
      </c>
      <c r="M907" s="13">
        <v>7.9290520455328952</v>
      </c>
      <c r="N907" s="7">
        <f>'Option source'!C354</f>
        <v>68540312</v>
      </c>
      <c r="O907" s="7">
        <f>'Option source'!G354</f>
        <v>134.6</v>
      </c>
      <c r="P907" s="7">
        <f>'Option source'!F354</f>
        <v>190</v>
      </c>
      <c r="Q907" s="1" t="s">
        <v>88</v>
      </c>
      <c r="R907" s="1">
        <v>349</v>
      </c>
    </row>
    <row r="908" spans="1:18" ht="21" customHeight="1">
      <c r="A908" s="8">
        <v>46255</v>
      </c>
      <c r="B908" s="1" t="s">
        <v>117</v>
      </c>
      <c r="C908" s="39" t="s">
        <v>90</v>
      </c>
      <c r="D908" s="7">
        <v>8000</v>
      </c>
      <c r="E908" s="7">
        <f>'Option source'!B848</f>
        <v>1337.5</v>
      </c>
      <c r="F908" s="7">
        <v>6620</v>
      </c>
      <c r="G908" s="14">
        <v>56</v>
      </c>
      <c r="H908" s="7">
        <f t="shared" si="42"/>
        <v>1380</v>
      </c>
      <c r="I908" s="7">
        <f t="shared" si="43"/>
        <v>-42.5</v>
      </c>
      <c r="J908" s="9">
        <f t="shared" si="44"/>
        <v>1.2084592145015105</v>
      </c>
      <c r="K908" s="9"/>
      <c r="L908" s="13"/>
      <c r="M908" s="13"/>
      <c r="N908" s="7">
        <f>'Option source'!C848</f>
        <v>1426500</v>
      </c>
      <c r="O908" s="7">
        <f>'Option source'!G848</f>
        <v>1325</v>
      </c>
      <c r="P908" s="7">
        <f>'Option source'!F848</f>
        <v>1490</v>
      </c>
      <c r="Q908" s="1" t="s">
        <v>144</v>
      </c>
      <c r="R908" s="1">
        <v>843</v>
      </c>
    </row>
    <row r="909" spans="1:18" ht="21" customHeight="1">
      <c r="A909" s="8">
        <v>46255</v>
      </c>
      <c r="B909" s="1" t="s">
        <v>123</v>
      </c>
      <c r="C909" s="39" t="s">
        <v>87</v>
      </c>
      <c r="D909" s="7">
        <v>5200</v>
      </c>
      <c r="E909" s="7">
        <f>'Option source'!B98</f>
        <v>1712</v>
      </c>
      <c r="F909" s="7">
        <v>6620</v>
      </c>
      <c r="G909" s="14">
        <v>56</v>
      </c>
      <c r="H909" s="7">
        <f t="shared" si="42"/>
        <v>1420</v>
      </c>
      <c r="I909" s="7">
        <f t="shared" si="43"/>
        <v>292</v>
      </c>
      <c r="J909" s="9">
        <f t="shared" si="44"/>
        <v>0.78549848942598188</v>
      </c>
      <c r="K909" s="9"/>
      <c r="L909" s="13"/>
      <c r="M909" s="13"/>
      <c r="N909" s="7">
        <f>'Option source'!C98</f>
        <v>331200</v>
      </c>
      <c r="O909" s="7">
        <f>'Option source'!G98</f>
        <v>1600</v>
      </c>
      <c r="P909" s="7">
        <f>'Option source'!F98</f>
        <v>1600</v>
      </c>
      <c r="Q909" s="1" t="s">
        <v>109</v>
      </c>
      <c r="R909" s="1">
        <v>93</v>
      </c>
    </row>
    <row r="910" spans="1:18" ht="21" customHeight="1">
      <c r="A910" s="8">
        <v>46255</v>
      </c>
      <c r="B910" s="1" t="s">
        <v>124</v>
      </c>
      <c r="C910" s="39" t="s">
        <v>90</v>
      </c>
      <c r="D910" s="7">
        <v>5200</v>
      </c>
      <c r="E910" s="7">
        <f>'Option source'!B582</f>
        <v>27.41</v>
      </c>
      <c r="F910" s="7">
        <v>6620</v>
      </c>
      <c r="G910" s="14">
        <v>56</v>
      </c>
      <c r="H910" s="7">
        <f t="shared" si="42"/>
        <v>0</v>
      </c>
      <c r="I910" s="7">
        <f t="shared" si="43"/>
        <v>27.41</v>
      </c>
      <c r="J910" s="9">
        <f t="shared" si="44"/>
        <v>0.78549848942598188</v>
      </c>
      <c r="K910" s="9">
        <v>0.46753451685144826</v>
      </c>
      <c r="L910" s="13">
        <v>-4.8327991177349539E-2</v>
      </c>
      <c r="M910" s="13">
        <v>2.6026579114489055</v>
      </c>
      <c r="N910" s="7">
        <f>'Option source'!C582</f>
        <v>2175175.75</v>
      </c>
      <c r="O910" s="7">
        <f>'Option source'!G582</f>
        <v>20</v>
      </c>
      <c r="P910" s="7">
        <f>'Option source'!F582</f>
        <v>30</v>
      </c>
      <c r="Q910" s="1" t="s">
        <v>88</v>
      </c>
      <c r="R910" s="1">
        <v>577</v>
      </c>
    </row>
    <row r="911" spans="1:18" ht="21" customHeight="1">
      <c r="A911" s="8">
        <v>46255</v>
      </c>
      <c r="B911" s="1" t="s">
        <v>126</v>
      </c>
      <c r="C911" s="39" t="s">
        <v>90</v>
      </c>
      <c r="D911" s="7">
        <v>5000</v>
      </c>
      <c r="E911" s="7">
        <f>'Option source'!B563</f>
        <v>17.89</v>
      </c>
      <c r="F911" s="7">
        <v>6620</v>
      </c>
      <c r="G911" s="14">
        <v>56</v>
      </c>
      <c r="H911" s="7">
        <f t="shared" si="42"/>
        <v>0</v>
      </c>
      <c r="I911" s="7">
        <f t="shared" si="43"/>
        <v>17.89</v>
      </c>
      <c r="J911" s="9">
        <f t="shared" si="44"/>
        <v>0.75528700906344415</v>
      </c>
      <c r="K911" s="9">
        <v>0.47757118758071021</v>
      </c>
      <c r="L911" s="13">
        <v>-3.2889306211933533E-2</v>
      </c>
      <c r="M911" s="13">
        <v>1.9036995365658707</v>
      </c>
      <c r="N911" s="7">
        <f>'Option source'!C563</f>
        <v>680300</v>
      </c>
      <c r="O911" s="7">
        <f>'Option source'!G563</f>
        <v>13</v>
      </c>
      <c r="P911" s="7">
        <f>'Option source'!F563</f>
        <v>19</v>
      </c>
      <c r="Q911" s="1" t="s">
        <v>88</v>
      </c>
      <c r="R911" s="1">
        <v>558</v>
      </c>
    </row>
    <row r="912" spans="1:18" ht="21" customHeight="1">
      <c r="A912" s="8">
        <v>46255</v>
      </c>
      <c r="B912" s="1" t="s">
        <v>121</v>
      </c>
      <c r="C912" s="39" t="s">
        <v>87</v>
      </c>
      <c r="D912" s="7">
        <v>8300</v>
      </c>
      <c r="E912" s="7">
        <f>'Option source'!B373</f>
        <v>100.86</v>
      </c>
      <c r="F912" s="7">
        <v>6620</v>
      </c>
      <c r="G912" s="14">
        <v>56</v>
      </c>
      <c r="H912" s="7">
        <f t="shared" si="42"/>
        <v>0</v>
      </c>
      <c r="I912" s="7">
        <f t="shared" si="43"/>
        <v>100.86</v>
      </c>
      <c r="J912" s="9">
        <f t="shared" si="44"/>
        <v>1.2537764350453173</v>
      </c>
      <c r="K912" s="9">
        <v>0.44866310268335935</v>
      </c>
      <c r="L912" s="13">
        <v>0.17434517708826774</v>
      </c>
      <c r="M912" s="13">
        <v>6.668269248560005</v>
      </c>
      <c r="N912" s="7">
        <f>'Option source'!C373</f>
        <v>30151970</v>
      </c>
      <c r="O912" s="7">
        <f>'Option source'!G373</f>
        <v>70</v>
      </c>
      <c r="P912" s="7">
        <f>'Option source'!F373</f>
        <v>117.3</v>
      </c>
      <c r="Q912" s="1" t="s">
        <v>88</v>
      </c>
      <c r="R912" s="1">
        <v>368</v>
      </c>
    </row>
    <row r="913" spans="1:18" ht="21" customHeight="1">
      <c r="A913" s="8">
        <v>46255</v>
      </c>
      <c r="B913" s="1" t="s">
        <v>122</v>
      </c>
      <c r="C913" s="39" t="s">
        <v>90</v>
      </c>
      <c r="D913" s="7">
        <v>8300</v>
      </c>
      <c r="E913" s="7">
        <f>'Option source'!B867</f>
        <v>1580</v>
      </c>
      <c r="F913" s="7">
        <v>6620</v>
      </c>
      <c r="G913" s="14">
        <v>56</v>
      </c>
      <c r="H913" s="7">
        <f t="shared" si="42"/>
        <v>1680</v>
      </c>
      <c r="I913" s="7">
        <f t="shared" si="43"/>
        <v>-100</v>
      </c>
      <c r="J913" s="9">
        <f t="shared" si="44"/>
        <v>1.2537764350453173</v>
      </c>
      <c r="K913" s="9"/>
      <c r="L913" s="13"/>
      <c r="M913" s="13"/>
      <c r="N913" s="7">
        <f>'Option source'!C867</f>
        <v>474000</v>
      </c>
      <c r="O913" s="7">
        <f>'Option source'!G867</f>
        <v>1580</v>
      </c>
      <c r="P913" s="7">
        <f>'Option source'!F867</f>
        <v>1580</v>
      </c>
      <c r="Q913" s="1" t="s">
        <v>144</v>
      </c>
      <c r="R913" s="1">
        <v>862</v>
      </c>
    </row>
    <row r="914" spans="1:18" ht="21" customHeight="1">
      <c r="A914" s="8">
        <v>46255</v>
      </c>
      <c r="B914" s="1" t="s">
        <v>131</v>
      </c>
      <c r="C914" s="39" t="s">
        <v>90</v>
      </c>
      <c r="D914" s="7">
        <v>4800</v>
      </c>
      <c r="E914" s="7">
        <f>'Option source'!B544</f>
        <v>7.23</v>
      </c>
      <c r="F914" s="7">
        <v>6620</v>
      </c>
      <c r="G914" s="14">
        <v>56</v>
      </c>
      <c r="H914" s="7">
        <f t="shared" si="42"/>
        <v>0</v>
      </c>
      <c r="I914" s="7">
        <f t="shared" si="43"/>
        <v>7.23</v>
      </c>
      <c r="J914" s="9">
        <f t="shared" si="44"/>
        <v>0.7250755287009063</v>
      </c>
      <c r="K914" s="9">
        <v>0.45437310108222934</v>
      </c>
      <c r="L914" s="13">
        <v>-1.5623328512885504E-2</v>
      </c>
      <c r="M914" s="13">
        <v>1.016930934593087</v>
      </c>
      <c r="N914" s="7">
        <f>'Option source'!C544</f>
        <v>375929.09</v>
      </c>
      <c r="O914" s="7">
        <f>'Option source'!G544</f>
        <v>6.3</v>
      </c>
      <c r="P914" s="7">
        <f>'Option source'!F544</f>
        <v>15</v>
      </c>
      <c r="Q914" s="1" t="s">
        <v>88</v>
      </c>
      <c r="R914" s="1">
        <v>539</v>
      </c>
    </row>
    <row r="915" spans="1:18" ht="21" customHeight="1">
      <c r="A915" s="8">
        <v>46255</v>
      </c>
      <c r="B915" s="1" t="s">
        <v>127</v>
      </c>
      <c r="C915" s="39" t="s">
        <v>87</v>
      </c>
      <c r="D915" s="7">
        <v>8600</v>
      </c>
      <c r="E915" s="7">
        <f>'Option source'!B392</f>
        <v>72.05</v>
      </c>
      <c r="F915" s="7">
        <v>6620</v>
      </c>
      <c r="G915" s="14">
        <v>56</v>
      </c>
      <c r="H915" s="7">
        <f t="shared" si="42"/>
        <v>0</v>
      </c>
      <c r="I915" s="7">
        <f t="shared" si="43"/>
        <v>72.05</v>
      </c>
      <c r="J915" s="9">
        <f t="shared" si="44"/>
        <v>1.2990936555891239</v>
      </c>
      <c r="K915" s="9">
        <v>0.45501743400474975</v>
      </c>
      <c r="L915" s="13">
        <v>0.13118763463667615</v>
      </c>
      <c r="M915" s="13">
        <v>5.5200048623423097</v>
      </c>
      <c r="N915" s="7">
        <f>'Option source'!C392</f>
        <v>38997476</v>
      </c>
      <c r="O915" s="7">
        <f>'Option source'!G392</f>
        <v>69</v>
      </c>
      <c r="P915" s="7">
        <f>'Option source'!F392</f>
        <v>87</v>
      </c>
      <c r="Q915" s="1" t="s">
        <v>88</v>
      </c>
      <c r="R915" s="1">
        <v>387</v>
      </c>
    </row>
    <row r="916" spans="1:18" ht="21" customHeight="1">
      <c r="A916" s="8">
        <v>46255</v>
      </c>
      <c r="B916" s="1" t="s">
        <v>128</v>
      </c>
      <c r="C916" s="39" t="s">
        <v>90</v>
      </c>
      <c r="D916" s="7">
        <v>8600</v>
      </c>
      <c r="E916" s="7">
        <f>'Option source'!B886</f>
        <v>1173.55</v>
      </c>
      <c r="F916" s="7">
        <v>6620</v>
      </c>
      <c r="G916" s="14">
        <v>56</v>
      </c>
      <c r="H916" s="7">
        <f t="shared" si="42"/>
        <v>1980</v>
      </c>
      <c r="I916" s="7">
        <f t="shared" si="43"/>
        <v>-806.45</v>
      </c>
      <c r="J916" s="9">
        <f t="shared" si="44"/>
        <v>1.2990936555891239</v>
      </c>
      <c r="K916" s="9"/>
      <c r="L916" s="13"/>
      <c r="M916" s="13"/>
      <c r="N916" s="7">
        <f>'Option source'!C886</f>
        <v>0</v>
      </c>
      <c r="O916" s="7">
        <f>'Option source'!G886</f>
        <v>1060</v>
      </c>
      <c r="P916" s="7">
        <f>'Option source'!F886</f>
        <v>1343.98</v>
      </c>
      <c r="Q916" s="1" t="s">
        <v>118</v>
      </c>
      <c r="R916" s="1">
        <v>881</v>
      </c>
    </row>
    <row r="917" spans="1:18" ht="21" customHeight="1">
      <c r="A917" s="8">
        <v>46255</v>
      </c>
      <c r="B917" s="1" t="s">
        <v>134</v>
      </c>
      <c r="C917" s="39" t="s">
        <v>87</v>
      </c>
      <c r="D917" s="7">
        <v>4600</v>
      </c>
      <c r="E917" s="7">
        <f>'Option source'!B45</f>
        <v>2191.92</v>
      </c>
      <c r="F917" s="7">
        <v>6620</v>
      </c>
      <c r="G917" s="14">
        <v>56</v>
      </c>
      <c r="H917" s="7">
        <f t="shared" si="42"/>
        <v>2020</v>
      </c>
      <c r="I917" s="7">
        <f t="shared" si="43"/>
        <v>171.92000000000007</v>
      </c>
      <c r="J917" s="9">
        <f t="shared" si="44"/>
        <v>0.69486404833836857</v>
      </c>
      <c r="K917" s="9"/>
      <c r="L917" s="13"/>
      <c r="M917" s="13"/>
      <c r="N917" s="7">
        <f>'Option source'!C45</f>
        <v>878768</v>
      </c>
      <c r="O917" s="7">
        <f>'Option source'!G45</f>
        <v>2196.92</v>
      </c>
      <c r="P917" s="7">
        <f>'Option source'!F45</f>
        <v>2196.92</v>
      </c>
      <c r="Q917" s="1" t="s">
        <v>109</v>
      </c>
      <c r="R917" s="1">
        <v>40</v>
      </c>
    </row>
    <row r="918" spans="1:18" ht="21" customHeight="1">
      <c r="A918" s="8">
        <v>46255</v>
      </c>
      <c r="B918" s="1" t="s">
        <v>135</v>
      </c>
      <c r="C918" s="39" t="s">
        <v>90</v>
      </c>
      <c r="D918" s="7">
        <v>4600</v>
      </c>
      <c r="E918" s="7">
        <f>'Option source'!B525</f>
        <v>0</v>
      </c>
      <c r="F918" s="7">
        <v>6620</v>
      </c>
      <c r="G918" s="14">
        <v>56</v>
      </c>
      <c r="H918" s="7">
        <f t="shared" si="42"/>
        <v>0</v>
      </c>
      <c r="I918" s="7">
        <f t="shared" si="43"/>
        <v>0</v>
      </c>
      <c r="J918" s="9">
        <f t="shared" si="44"/>
        <v>0.69486404833836857</v>
      </c>
      <c r="K918" s="9"/>
      <c r="L918" s="13"/>
      <c r="M918" s="13"/>
      <c r="N918" s="7">
        <f>'Option source'!C525</f>
        <v>5777.5</v>
      </c>
      <c r="O918" s="7">
        <f>'Option source'!G525</f>
        <v>0</v>
      </c>
      <c r="P918" s="7">
        <f>'Option source'!F525</f>
        <v>16</v>
      </c>
      <c r="Q918" s="1" t="s">
        <v>100</v>
      </c>
      <c r="R918" s="1">
        <v>520</v>
      </c>
    </row>
    <row r="919" spans="1:18" ht="21" customHeight="1">
      <c r="A919" s="8">
        <v>46255</v>
      </c>
      <c r="B919" s="1" t="s">
        <v>136</v>
      </c>
      <c r="C919" s="39" t="s">
        <v>87</v>
      </c>
      <c r="D919" s="7">
        <v>4400</v>
      </c>
      <c r="E919" s="7">
        <f>'Option source'!B26</f>
        <v>2387.12</v>
      </c>
      <c r="F919" s="7">
        <v>6620</v>
      </c>
      <c r="G919" s="14">
        <v>56</v>
      </c>
      <c r="H919" s="7">
        <f t="shared" si="42"/>
        <v>2220</v>
      </c>
      <c r="I919" s="7">
        <f t="shared" si="43"/>
        <v>167.11999999999989</v>
      </c>
      <c r="J919" s="9">
        <f t="shared" si="44"/>
        <v>0.66465256797583083</v>
      </c>
      <c r="K919" s="9"/>
      <c r="L919" s="13"/>
      <c r="M919" s="13"/>
      <c r="N919" s="7">
        <f>'Option source'!C26</f>
        <v>2843784</v>
      </c>
      <c r="O919" s="7">
        <f>'Option source'!G26</f>
        <v>2366.48</v>
      </c>
      <c r="P919" s="7">
        <f>'Option source'!F26</f>
        <v>2376.5</v>
      </c>
      <c r="Q919" s="1" t="s">
        <v>109</v>
      </c>
      <c r="R919" s="1">
        <v>21</v>
      </c>
    </row>
    <row r="920" spans="1:18" ht="21" customHeight="1">
      <c r="A920" s="8">
        <v>46255</v>
      </c>
      <c r="B920" s="1" t="s">
        <v>137</v>
      </c>
      <c r="C920" s="39" t="s">
        <v>90</v>
      </c>
      <c r="D920" s="7">
        <v>4400</v>
      </c>
      <c r="E920" s="7">
        <f>'Option source'!B506</f>
        <v>10</v>
      </c>
      <c r="F920" s="7">
        <v>6620</v>
      </c>
      <c r="G920" s="14">
        <v>56</v>
      </c>
      <c r="H920" s="7">
        <f t="shared" si="42"/>
        <v>0</v>
      </c>
      <c r="I920" s="7">
        <f t="shared" si="43"/>
        <v>10</v>
      </c>
      <c r="J920" s="9">
        <f t="shared" si="44"/>
        <v>0.66465256797583083</v>
      </c>
      <c r="K920" s="9">
        <v>0.57664206047586131</v>
      </c>
      <c r="L920" s="13">
        <v>-1.6782651082814626E-2</v>
      </c>
      <c r="M920" s="13">
        <v>1.0812455917011492</v>
      </c>
      <c r="N920" s="7">
        <f>'Option source'!C506</f>
        <v>1000</v>
      </c>
      <c r="O920" s="7">
        <f>'Option source'!G506</f>
        <v>10</v>
      </c>
      <c r="P920" s="7">
        <f>'Option source'!F506</f>
        <v>10</v>
      </c>
      <c r="Q920" s="1" t="s">
        <v>88</v>
      </c>
      <c r="R920" s="1">
        <v>501</v>
      </c>
    </row>
    <row r="921" spans="1:18" ht="21" customHeight="1">
      <c r="A921" s="8">
        <v>46255</v>
      </c>
      <c r="B921" s="1" t="s">
        <v>132</v>
      </c>
      <c r="C921" s="39" t="s">
        <v>87</v>
      </c>
      <c r="D921" s="7">
        <v>8900</v>
      </c>
      <c r="E921" s="7">
        <f>'Option source'!B411</f>
        <v>49.98</v>
      </c>
      <c r="F921" s="7">
        <v>6620</v>
      </c>
      <c r="G921" s="14">
        <v>56</v>
      </c>
      <c r="H921" s="7">
        <f t="shared" si="42"/>
        <v>0</v>
      </c>
      <c r="I921" s="7">
        <f t="shared" si="43"/>
        <v>49.98</v>
      </c>
      <c r="J921" s="9">
        <f t="shared" si="44"/>
        <v>1.3444108761329305</v>
      </c>
      <c r="K921" s="9">
        <v>0.45807030756575889</v>
      </c>
      <c r="L921" s="13">
        <v>9.6246431269122731E-2</v>
      </c>
      <c r="M921" s="13">
        <v>4.4249188673141724</v>
      </c>
      <c r="N921" s="7">
        <f>'Option source'!C411</f>
        <v>5966664</v>
      </c>
      <c r="O921" s="7">
        <f>'Option source'!G411</f>
        <v>46</v>
      </c>
      <c r="P921" s="7">
        <f>'Option source'!F411</f>
        <v>54</v>
      </c>
      <c r="Q921" s="1" t="s">
        <v>88</v>
      </c>
      <c r="R921" s="1">
        <v>406</v>
      </c>
    </row>
    <row r="922" spans="1:18" ht="21" customHeight="1">
      <c r="A922" s="8">
        <v>46255</v>
      </c>
      <c r="B922" s="1" t="s">
        <v>140</v>
      </c>
      <c r="C922" s="39" t="s">
        <v>87</v>
      </c>
      <c r="D922" s="7">
        <v>4200</v>
      </c>
      <c r="E922" s="7">
        <f>'Option source'!B7</f>
        <v>2544.61</v>
      </c>
      <c r="F922" s="7">
        <v>6620</v>
      </c>
      <c r="G922" s="14">
        <v>56</v>
      </c>
      <c r="H922" s="7">
        <f t="shared" si="42"/>
        <v>2420</v>
      </c>
      <c r="I922" s="7">
        <f t="shared" si="43"/>
        <v>124.61000000000013</v>
      </c>
      <c r="J922" s="9">
        <f t="shared" si="44"/>
        <v>0.6344410876132931</v>
      </c>
      <c r="K922" s="9"/>
      <c r="L922" s="13"/>
      <c r="M922" s="13"/>
      <c r="N922" s="7">
        <f>'Option source'!C7</f>
        <v>97648600</v>
      </c>
      <c r="O922" s="7">
        <f>'Option source'!G7</f>
        <v>2529.59</v>
      </c>
      <c r="P922" s="7">
        <f>'Option source'!F7</f>
        <v>2594.6799999999998</v>
      </c>
      <c r="Q922" s="1" t="s">
        <v>100</v>
      </c>
      <c r="R922" s="1">
        <v>2</v>
      </c>
    </row>
    <row r="923" spans="1:18" ht="21" customHeight="1">
      <c r="A923" s="8">
        <v>46255</v>
      </c>
      <c r="B923" s="1" t="s">
        <v>141</v>
      </c>
      <c r="C923" s="39" t="s">
        <v>90</v>
      </c>
      <c r="D923" s="7">
        <v>4200</v>
      </c>
      <c r="E923" s="7">
        <f>'Option source'!B487</f>
        <v>10</v>
      </c>
      <c r="F923" s="7">
        <v>6620</v>
      </c>
      <c r="G923" s="14">
        <v>56</v>
      </c>
      <c r="H923" s="7">
        <f t="shared" si="42"/>
        <v>0</v>
      </c>
      <c r="I923" s="7">
        <f t="shared" si="43"/>
        <v>10</v>
      </c>
      <c r="J923" s="9">
        <f t="shared" si="44"/>
        <v>0.6344410876132931</v>
      </c>
      <c r="K923" s="9"/>
      <c r="L923" s="13"/>
      <c r="M923" s="13"/>
      <c r="N923" s="7">
        <f>'Option source'!C487</f>
        <v>1300</v>
      </c>
      <c r="O923" s="7">
        <f>'Option source'!G487</f>
        <v>5</v>
      </c>
      <c r="P923" s="7">
        <f>'Option source'!F487</f>
        <v>8</v>
      </c>
      <c r="Q923" s="1" t="s">
        <v>109</v>
      </c>
      <c r="R923" s="1">
        <v>482</v>
      </c>
    </row>
    <row r="924" spans="1:18" ht="21" customHeight="1">
      <c r="A924" s="8">
        <v>46255</v>
      </c>
      <c r="B924" s="1" t="s">
        <v>138</v>
      </c>
      <c r="C924" s="39" t="s">
        <v>87</v>
      </c>
      <c r="D924" s="7">
        <v>9200</v>
      </c>
      <c r="E924" s="7">
        <f>'Option source'!B430</f>
        <v>33.56</v>
      </c>
      <c r="F924" s="7">
        <v>6620</v>
      </c>
      <c r="G924" s="14">
        <v>56</v>
      </c>
      <c r="H924" s="7">
        <f t="shared" si="42"/>
        <v>0</v>
      </c>
      <c r="I924" s="7">
        <f t="shared" si="43"/>
        <v>33.56</v>
      </c>
      <c r="J924" s="9">
        <f t="shared" si="44"/>
        <v>1.3897280966767371</v>
      </c>
      <c r="K924" s="9">
        <v>0.45849772436876429</v>
      </c>
      <c r="L924" s="13">
        <v>6.8579274964824938E-2</v>
      </c>
      <c r="M924" s="13">
        <v>3.42702793903731</v>
      </c>
      <c r="N924" s="7">
        <f>'Option source'!C430</f>
        <v>7705131</v>
      </c>
      <c r="O924" s="7">
        <f>'Option source'!G430</f>
        <v>32.01</v>
      </c>
      <c r="P924" s="7">
        <f>'Option source'!F430</f>
        <v>47</v>
      </c>
      <c r="Q924" s="1" t="s">
        <v>88</v>
      </c>
      <c r="R924" s="1">
        <v>425</v>
      </c>
    </row>
    <row r="925" spans="1:18" ht="21" customHeight="1">
      <c r="A925" s="8">
        <v>46255</v>
      </c>
      <c r="B925" s="1" t="s">
        <v>142</v>
      </c>
      <c r="C925" s="39" t="s">
        <v>87</v>
      </c>
      <c r="D925" s="7">
        <v>9500</v>
      </c>
      <c r="E925" s="7">
        <f>'Option source'!B449</f>
        <v>25.5</v>
      </c>
      <c r="F925" s="7">
        <v>6620</v>
      </c>
      <c r="G925" s="14">
        <v>56</v>
      </c>
      <c r="H925" s="7">
        <f t="shared" si="42"/>
        <v>0</v>
      </c>
      <c r="I925" s="7">
        <f t="shared" si="43"/>
        <v>25.5</v>
      </c>
      <c r="J925" s="9">
        <f t="shared" si="44"/>
        <v>1.4350453172205437</v>
      </c>
      <c r="K925" s="9">
        <v>0.47086267770206752</v>
      </c>
      <c r="L925" s="13">
        <v>5.2979740149321851E-2</v>
      </c>
      <c r="M925" s="13">
        <v>2.8003169607821623</v>
      </c>
      <c r="N925" s="7">
        <f>'Option source'!C449</f>
        <v>2013076.5</v>
      </c>
      <c r="O925" s="7">
        <f>'Option source'!G449</f>
        <v>15</v>
      </c>
      <c r="P925" s="7">
        <f>'Option source'!F449</f>
        <v>29.5</v>
      </c>
      <c r="Q925" s="1" t="s">
        <v>88</v>
      </c>
      <c r="R925" s="1">
        <v>444</v>
      </c>
    </row>
    <row r="926" spans="1:18" ht="21" customHeight="1">
      <c r="A926" s="8">
        <v>46255</v>
      </c>
      <c r="B926" s="1" t="s">
        <v>143</v>
      </c>
      <c r="C926" s="39" t="s">
        <v>87</v>
      </c>
      <c r="D926" s="7">
        <v>9900</v>
      </c>
      <c r="E926" s="7">
        <f>'Option source'!B468</f>
        <v>16</v>
      </c>
      <c r="F926" s="7">
        <v>6620</v>
      </c>
      <c r="G926" s="14">
        <v>56</v>
      </c>
      <c r="H926" s="7">
        <f t="shared" si="42"/>
        <v>0</v>
      </c>
      <c r="I926" s="7">
        <f t="shared" si="43"/>
        <v>16</v>
      </c>
      <c r="J926" s="9">
        <f t="shared" si="44"/>
        <v>1.4954682779456194</v>
      </c>
      <c r="K926" s="9">
        <v>0.47716943252180516</v>
      </c>
      <c r="L926" s="13">
        <v>3.4879984724217925E-2</v>
      </c>
      <c r="M926" s="13">
        <v>1.9979857156066634</v>
      </c>
      <c r="N926" s="7">
        <f>'Option source'!C468</f>
        <v>1167424.6200000001</v>
      </c>
      <c r="O926" s="7">
        <f>'Option source'!G468</f>
        <v>14.1</v>
      </c>
      <c r="P926" s="7">
        <f>'Option source'!F468</f>
        <v>19.899999999999999</v>
      </c>
      <c r="Q926" s="1" t="s">
        <v>88</v>
      </c>
      <c r="R926" s="1">
        <v>463</v>
      </c>
    </row>
  </sheetData>
  <conditionalFormatting sqref="Q7:Q926">
    <cfRule type="notContainsText" dxfId="4" priority="1" operator="notContains" text="Screen passed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53"/>
  <sheetViews>
    <sheetView showGridLines="0" workbookViewId="0">
      <pane ySplit="6" topLeftCell="A271" activePane="bottomLeft" state="frozen"/>
      <selection pane="bottomLeft" activeCell="D267" sqref="D267"/>
    </sheetView>
  </sheetViews>
  <sheetFormatPr defaultRowHeight="13.8"/>
  <cols>
    <col min="1" max="17" width="15" customWidth="1"/>
    <col min="18" max="18" width="38" customWidth="1"/>
    <col min="19" max="20" width="15" customWidth="1"/>
  </cols>
  <sheetData>
    <row r="1" spans="1:20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customHeight="1">
      <c r="A2" s="2" t="s">
        <v>146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21" customHeight="1">
      <c r="A4" s="4" t="s">
        <v>147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0.049999999999997" customHeight="1">
      <c r="A6" s="6" t="s">
        <v>22</v>
      </c>
      <c r="B6" s="6" t="s">
        <v>148</v>
      </c>
      <c r="C6" s="6" t="s">
        <v>71</v>
      </c>
      <c r="D6" s="6" t="s">
        <v>149</v>
      </c>
      <c r="E6" s="6" t="s">
        <v>150</v>
      </c>
      <c r="F6" s="6" t="s">
        <v>151</v>
      </c>
      <c r="G6" s="6" t="s">
        <v>152</v>
      </c>
      <c r="H6" s="6" t="s">
        <v>153</v>
      </c>
      <c r="I6" s="6" t="s">
        <v>154</v>
      </c>
      <c r="J6" s="6" t="s">
        <v>155</v>
      </c>
      <c r="K6" s="6" t="s">
        <v>156</v>
      </c>
      <c r="L6" s="6" t="s">
        <v>157</v>
      </c>
      <c r="M6" s="6" t="s">
        <v>42</v>
      </c>
      <c r="N6" s="6" t="s">
        <v>43</v>
      </c>
      <c r="O6" s="6" t="s">
        <v>44</v>
      </c>
      <c r="P6" s="6" t="s">
        <v>158</v>
      </c>
      <c r="Q6" s="6" t="s">
        <v>159</v>
      </c>
      <c r="R6" s="6" t="s">
        <v>84</v>
      </c>
      <c r="S6" s="6" t="s">
        <v>160</v>
      </c>
      <c r="T6" s="6" t="s">
        <v>161</v>
      </c>
    </row>
    <row r="7" spans="1:20" ht="21" customHeight="1">
      <c r="A7" s="8">
        <v>46281</v>
      </c>
      <c r="B7" s="1" t="s">
        <v>34</v>
      </c>
      <c r="C7" s="1" t="s">
        <v>87</v>
      </c>
      <c r="D7" s="7">
        <v>6600</v>
      </c>
      <c r="E7" s="7">
        <v>6800</v>
      </c>
      <c r="F7" s="7">
        <v>7000</v>
      </c>
      <c r="G7" s="7">
        <f>'Option source'!B239</f>
        <v>478.22</v>
      </c>
      <c r="H7" s="7">
        <f>'Option source'!B258</f>
        <v>376.43</v>
      </c>
      <c r="I7" s="7">
        <f>'Option source'!B277</f>
        <v>289.64999999999998</v>
      </c>
      <c r="J7" s="7">
        <f t="shared" ref="J7:J70" si="0">G7-2*H7+IF(B7="Butterfly",I7,0)</f>
        <v>15.009999999999991</v>
      </c>
      <c r="K7" s="7">
        <f t="shared" ref="K7:K70" si="1">ABS(E7-D7)</f>
        <v>200</v>
      </c>
      <c r="L7" s="7">
        <f t="shared" ref="L7:L70" si="2">K7-J7</f>
        <v>184.99</v>
      </c>
      <c r="M7" s="7">
        <f t="shared" ref="M7:M70" si="3">IF(B7="Butterfly",MAX(J7,0),IF(C7="call","Unlimited",MAX(2*E7-D7+J7,J7,0)))</f>
        <v>15.009999999999991</v>
      </c>
      <c r="N7" s="7">
        <f t="shared" ref="N7:N70" si="4">IF(B7="Butterfly",IF(AND(J7&gt;0,J7&lt;K7),D7+J7,"n.a."),IF(C7="call",IF(AND(J7&gt;0,J7&lt;K7),D7+J7,"n.a."),IF(AND(K7&gt;J7,2*E7-D7+J7&gt;=0),2*E7-D7+J7,"n.a.")))</f>
        <v>6615.01</v>
      </c>
      <c r="O7" s="7">
        <f t="shared" ref="O7:O70" si="5">IF(B7="Butterfly",IF(AND(J7&gt;0,J7&lt;K7),F7-J7,"n.a."),IF(C7="call",IF(K7&gt;J7,2*E7-D7-J7,"n.a."),IF(AND(J7&gt;0,J7&lt;K7),D7-J7,"n.a.")))</f>
        <v>6984.99</v>
      </c>
      <c r="P7" s="15">
        <f t="shared" ref="P7:P70" si="6">IF(AND(B7="Butterfly",J7&gt;0,J7&lt;K7),L7/J7,"n.a.")</f>
        <v>12.324450366422393</v>
      </c>
      <c r="Q7" s="7">
        <f>J7*'Model inputs'!$B$8</f>
        <v>1500.9999999999991</v>
      </c>
      <c r="R7" s="1" t="s">
        <v>162</v>
      </c>
      <c r="S7" s="1">
        <v>234</v>
      </c>
      <c r="T7" s="1">
        <v>253</v>
      </c>
    </row>
    <row r="8" spans="1:20" ht="21" customHeight="1">
      <c r="A8" s="8">
        <v>46281</v>
      </c>
      <c r="B8" s="1" t="s">
        <v>34</v>
      </c>
      <c r="C8" s="1" t="s">
        <v>90</v>
      </c>
      <c r="D8" s="7">
        <v>6600</v>
      </c>
      <c r="E8" s="7">
        <v>6800</v>
      </c>
      <c r="F8" s="7">
        <v>7000</v>
      </c>
      <c r="G8" s="7">
        <f>'Option source'!B733</f>
        <v>222.45</v>
      </c>
      <c r="H8" s="7">
        <f>'Option source'!B752</f>
        <v>312.14999999999998</v>
      </c>
      <c r="I8" s="7">
        <f>'Option source'!B771</f>
        <v>427.03</v>
      </c>
      <c r="J8" s="7">
        <f t="shared" si="0"/>
        <v>25.180000000000007</v>
      </c>
      <c r="K8" s="7">
        <f t="shared" si="1"/>
        <v>200</v>
      </c>
      <c r="L8" s="7">
        <f t="shared" si="2"/>
        <v>174.82</v>
      </c>
      <c r="M8" s="7">
        <f t="shared" si="3"/>
        <v>25.180000000000007</v>
      </c>
      <c r="N8" s="7">
        <f t="shared" si="4"/>
        <v>6625.18</v>
      </c>
      <c r="O8" s="7">
        <f t="shared" si="5"/>
        <v>6974.82</v>
      </c>
      <c r="P8" s="15">
        <f t="shared" si="6"/>
        <v>6.9428117553613955</v>
      </c>
      <c r="Q8" s="7">
        <f>J8*'Model inputs'!$B$8</f>
        <v>2518.0000000000009</v>
      </c>
      <c r="R8" s="1" t="s">
        <v>162</v>
      </c>
      <c r="S8" s="1">
        <v>728</v>
      </c>
      <c r="T8" s="1">
        <v>747</v>
      </c>
    </row>
    <row r="9" spans="1:20" ht="21" customHeight="1">
      <c r="A9" s="8">
        <v>46281</v>
      </c>
      <c r="B9" s="1" t="s">
        <v>34</v>
      </c>
      <c r="C9" s="1" t="s">
        <v>87</v>
      </c>
      <c r="D9" s="7">
        <v>6400</v>
      </c>
      <c r="E9" s="7">
        <v>6600</v>
      </c>
      <c r="F9" s="7">
        <v>6800</v>
      </c>
      <c r="G9" s="7">
        <f>'Option source'!B220</f>
        <v>616.1</v>
      </c>
      <c r="H9" s="7">
        <f>'Option source'!B239</f>
        <v>478.22</v>
      </c>
      <c r="I9" s="7">
        <f>'Option source'!B258</f>
        <v>376.43</v>
      </c>
      <c r="J9" s="7">
        <f t="shared" si="0"/>
        <v>36.089999999999975</v>
      </c>
      <c r="K9" s="7">
        <f t="shared" si="1"/>
        <v>200</v>
      </c>
      <c r="L9" s="7">
        <f t="shared" si="2"/>
        <v>163.91000000000003</v>
      </c>
      <c r="M9" s="7">
        <f t="shared" si="3"/>
        <v>36.089999999999975</v>
      </c>
      <c r="N9" s="7">
        <f t="shared" si="4"/>
        <v>6436.09</v>
      </c>
      <c r="O9" s="7">
        <f t="shared" si="5"/>
        <v>6763.91</v>
      </c>
      <c r="P9" s="15">
        <f t="shared" si="6"/>
        <v>4.5417013022998098</v>
      </c>
      <c r="Q9" s="7">
        <f>J9*'Model inputs'!$B$8</f>
        <v>3608.9999999999973</v>
      </c>
      <c r="R9" s="1" t="s">
        <v>162</v>
      </c>
      <c r="S9" s="1">
        <v>215</v>
      </c>
      <c r="T9" s="1">
        <v>234</v>
      </c>
    </row>
    <row r="10" spans="1:20" ht="21" customHeight="1">
      <c r="A10" s="8">
        <v>46281</v>
      </c>
      <c r="B10" s="1" t="s">
        <v>34</v>
      </c>
      <c r="C10" s="1" t="s">
        <v>90</v>
      </c>
      <c r="D10" s="7">
        <v>6400</v>
      </c>
      <c r="E10" s="7">
        <v>6600</v>
      </c>
      <c r="F10" s="7">
        <v>6800</v>
      </c>
      <c r="G10" s="7">
        <f>'Option source'!B714</f>
        <v>150.25</v>
      </c>
      <c r="H10" s="7">
        <f>'Option source'!B733</f>
        <v>222.45</v>
      </c>
      <c r="I10" s="7">
        <f>'Option source'!B752</f>
        <v>312.14999999999998</v>
      </c>
      <c r="J10" s="7">
        <f t="shared" si="0"/>
        <v>17.5</v>
      </c>
      <c r="K10" s="7">
        <f t="shared" si="1"/>
        <v>200</v>
      </c>
      <c r="L10" s="7">
        <f t="shared" si="2"/>
        <v>182.5</v>
      </c>
      <c r="M10" s="7">
        <f t="shared" si="3"/>
        <v>17.5</v>
      </c>
      <c r="N10" s="7">
        <f t="shared" si="4"/>
        <v>6417.5</v>
      </c>
      <c r="O10" s="7">
        <f t="shared" si="5"/>
        <v>6782.5</v>
      </c>
      <c r="P10" s="15">
        <f t="shared" si="6"/>
        <v>10.428571428571429</v>
      </c>
      <c r="Q10" s="7">
        <f>J10*'Model inputs'!$B$8</f>
        <v>1750</v>
      </c>
      <c r="R10" s="1" t="s">
        <v>162</v>
      </c>
      <c r="S10" s="1">
        <v>709</v>
      </c>
      <c r="T10" s="1">
        <v>728</v>
      </c>
    </row>
    <row r="11" spans="1:20" ht="21" customHeight="1">
      <c r="A11" s="8">
        <v>46281</v>
      </c>
      <c r="B11" s="1" t="s">
        <v>34</v>
      </c>
      <c r="C11" s="1" t="s">
        <v>87</v>
      </c>
      <c r="D11" s="7">
        <v>6800</v>
      </c>
      <c r="E11" s="7">
        <v>7000</v>
      </c>
      <c r="F11" s="7">
        <v>7200</v>
      </c>
      <c r="G11" s="7">
        <f>'Option source'!B258</f>
        <v>376.43</v>
      </c>
      <c r="H11" s="7">
        <f>'Option source'!B277</f>
        <v>289.64999999999998</v>
      </c>
      <c r="I11" s="7">
        <f>'Option source'!B296</f>
        <v>213.18</v>
      </c>
      <c r="J11" s="7">
        <f t="shared" si="0"/>
        <v>10.310000000000059</v>
      </c>
      <c r="K11" s="7">
        <f t="shared" si="1"/>
        <v>200</v>
      </c>
      <c r="L11" s="7">
        <f t="shared" si="2"/>
        <v>189.68999999999994</v>
      </c>
      <c r="M11" s="7">
        <f t="shared" si="3"/>
        <v>10.310000000000059</v>
      </c>
      <c r="N11" s="7">
        <f t="shared" si="4"/>
        <v>6810.31</v>
      </c>
      <c r="O11" s="7">
        <f t="shared" si="5"/>
        <v>7189.69</v>
      </c>
      <c r="P11" s="15">
        <f t="shared" si="6"/>
        <v>18.398642095053233</v>
      </c>
      <c r="Q11" s="7">
        <f>J11*'Model inputs'!$B$8</f>
        <v>1031.0000000000059</v>
      </c>
      <c r="R11" s="1" t="s">
        <v>162</v>
      </c>
      <c r="S11" s="1">
        <v>253</v>
      </c>
      <c r="T11" s="1">
        <v>272</v>
      </c>
    </row>
    <row r="12" spans="1:20" ht="21" customHeight="1">
      <c r="A12" s="8">
        <v>46281</v>
      </c>
      <c r="B12" s="1" t="s">
        <v>34</v>
      </c>
      <c r="C12" s="1" t="s">
        <v>90</v>
      </c>
      <c r="D12" s="7">
        <v>6800</v>
      </c>
      <c r="E12" s="7">
        <v>7000</v>
      </c>
      <c r="F12" s="7">
        <v>7200</v>
      </c>
      <c r="G12" s="7">
        <f>'Option source'!B752</f>
        <v>312.14999999999998</v>
      </c>
      <c r="H12" s="7">
        <f>'Option source'!B771</f>
        <v>427.03</v>
      </c>
      <c r="I12" s="7">
        <f>'Option source'!B790</f>
        <v>550.35</v>
      </c>
      <c r="J12" s="7">
        <f t="shared" si="0"/>
        <v>8.4400000000000546</v>
      </c>
      <c r="K12" s="7">
        <f t="shared" si="1"/>
        <v>200</v>
      </c>
      <c r="L12" s="7">
        <f t="shared" si="2"/>
        <v>191.55999999999995</v>
      </c>
      <c r="M12" s="7">
        <f t="shared" si="3"/>
        <v>8.4400000000000546</v>
      </c>
      <c r="N12" s="7">
        <f t="shared" si="4"/>
        <v>6808.4400000000005</v>
      </c>
      <c r="O12" s="7">
        <f t="shared" si="5"/>
        <v>7191.5599999999995</v>
      </c>
      <c r="P12" s="15">
        <f t="shared" si="6"/>
        <v>22.696682464454824</v>
      </c>
      <c r="Q12" s="7">
        <f>J12*'Model inputs'!$B$8</f>
        <v>844.00000000000546</v>
      </c>
      <c r="R12" s="1" t="s">
        <v>162</v>
      </c>
      <c r="S12" s="1">
        <v>747</v>
      </c>
      <c r="T12" s="1">
        <v>766</v>
      </c>
    </row>
    <row r="13" spans="1:20" ht="21" customHeight="1">
      <c r="A13" s="8">
        <v>46281</v>
      </c>
      <c r="B13" s="1" t="s">
        <v>34</v>
      </c>
      <c r="C13" s="1" t="s">
        <v>90</v>
      </c>
      <c r="D13" s="7">
        <v>6200</v>
      </c>
      <c r="E13" s="7">
        <v>6400</v>
      </c>
      <c r="F13" s="7">
        <v>6600</v>
      </c>
      <c r="G13" s="7">
        <f>'Option source'!B695</f>
        <v>97.41</v>
      </c>
      <c r="H13" s="7">
        <f>'Option source'!B714</f>
        <v>150.25</v>
      </c>
      <c r="I13" s="7">
        <f>'Option source'!B733</f>
        <v>222.45</v>
      </c>
      <c r="J13" s="7">
        <f t="shared" si="0"/>
        <v>19.359999999999985</v>
      </c>
      <c r="K13" s="7">
        <f t="shared" si="1"/>
        <v>200</v>
      </c>
      <c r="L13" s="7">
        <f t="shared" si="2"/>
        <v>180.64000000000001</v>
      </c>
      <c r="M13" s="7">
        <f t="shared" si="3"/>
        <v>19.359999999999985</v>
      </c>
      <c r="N13" s="7">
        <f t="shared" si="4"/>
        <v>6219.36</v>
      </c>
      <c r="O13" s="7">
        <f t="shared" si="5"/>
        <v>6580.64</v>
      </c>
      <c r="P13" s="15">
        <f t="shared" si="6"/>
        <v>9.330578512396702</v>
      </c>
      <c r="Q13" s="7">
        <f>J13*'Model inputs'!$B$8</f>
        <v>1935.9999999999986</v>
      </c>
      <c r="R13" s="1" t="s">
        <v>162</v>
      </c>
      <c r="S13" s="1">
        <v>690</v>
      </c>
      <c r="T13" s="1">
        <v>709</v>
      </c>
    </row>
    <row r="14" spans="1:20" ht="21" customHeight="1">
      <c r="A14" s="8">
        <v>46281</v>
      </c>
      <c r="B14" s="1" t="s">
        <v>34</v>
      </c>
      <c r="C14" s="1" t="s">
        <v>87</v>
      </c>
      <c r="D14" s="7">
        <v>7000</v>
      </c>
      <c r="E14" s="7">
        <v>7200</v>
      </c>
      <c r="F14" s="7">
        <v>7400</v>
      </c>
      <c r="G14" s="7">
        <f>'Option source'!B277</f>
        <v>289.64999999999998</v>
      </c>
      <c r="H14" s="7">
        <f>'Option source'!B296</f>
        <v>213.18</v>
      </c>
      <c r="I14" s="7">
        <f>'Option source'!B315</f>
        <v>157.13999999999999</v>
      </c>
      <c r="J14" s="7">
        <f t="shared" si="0"/>
        <v>20.42999999999995</v>
      </c>
      <c r="K14" s="7">
        <f t="shared" si="1"/>
        <v>200</v>
      </c>
      <c r="L14" s="7">
        <f t="shared" si="2"/>
        <v>179.57000000000005</v>
      </c>
      <c r="M14" s="7">
        <f t="shared" si="3"/>
        <v>20.42999999999995</v>
      </c>
      <c r="N14" s="7">
        <f t="shared" si="4"/>
        <v>7020.43</v>
      </c>
      <c r="O14" s="7">
        <f t="shared" si="5"/>
        <v>7379.57</v>
      </c>
      <c r="P14" s="15">
        <f t="shared" si="6"/>
        <v>8.7895252080274346</v>
      </c>
      <c r="Q14" s="7">
        <f>J14*'Model inputs'!$B$8</f>
        <v>2042.999999999995</v>
      </c>
      <c r="R14" s="1" t="s">
        <v>162</v>
      </c>
      <c r="S14" s="1">
        <v>272</v>
      </c>
      <c r="T14" s="1">
        <v>291</v>
      </c>
    </row>
    <row r="15" spans="1:20" ht="21" customHeight="1">
      <c r="A15" s="8">
        <v>46281</v>
      </c>
      <c r="B15" s="1" t="s">
        <v>34</v>
      </c>
      <c r="C15" s="1" t="s">
        <v>90</v>
      </c>
      <c r="D15" s="7">
        <v>7000</v>
      </c>
      <c r="E15" s="7">
        <v>7200</v>
      </c>
      <c r="F15" s="7">
        <v>7400</v>
      </c>
      <c r="G15" s="7">
        <f>'Option source'!B771</f>
        <v>427.03</v>
      </c>
      <c r="H15" s="7">
        <f>'Option source'!B790</f>
        <v>550.35</v>
      </c>
      <c r="I15" s="7">
        <f>'Option source'!B809</f>
        <v>677.83</v>
      </c>
      <c r="J15" s="7">
        <f t="shared" si="0"/>
        <v>4.1599999999999682</v>
      </c>
      <c r="K15" s="7">
        <f t="shared" si="1"/>
        <v>200</v>
      </c>
      <c r="L15" s="7">
        <f t="shared" si="2"/>
        <v>195.84000000000003</v>
      </c>
      <c r="M15" s="7">
        <f t="shared" si="3"/>
        <v>4.1599999999999682</v>
      </c>
      <c r="N15" s="7">
        <f t="shared" si="4"/>
        <v>7004.16</v>
      </c>
      <c r="O15" s="7">
        <f t="shared" si="5"/>
        <v>7395.84</v>
      </c>
      <c r="P15" s="15">
        <f t="shared" si="6"/>
        <v>47.076923076923443</v>
      </c>
      <c r="Q15" s="7">
        <f>J15*'Model inputs'!$B$8</f>
        <v>415.99999999999682</v>
      </c>
      <c r="R15" s="1" t="s">
        <v>162</v>
      </c>
      <c r="S15" s="1">
        <v>766</v>
      </c>
      <c r="T15" s="1">
        <v>785</v>
      </c>
    </row>
    <row r="16" spans="1:20" ht="21" customHeight="1">
      <c r="A16" s="8">
        <v>46281</v>
      </c>
      <c r="B16" s="1" t="s">
        <v>34</v>
      </c>
      <c r="C16" s="1" t="s">
        <v>90</v>
      </c>
      <c r="D16" s="7">
        <v>6000</v>
      </c>
      <c r="E16" s="7">
        <v>6200</v>
      </c>
      <c r="F16" s="7">
        <v>6400</v>
      </c>
      <c r="G16" s="7">
        <f>'Option source'!B676</f>
        <v>56.82</v>
      </c>
      <c r="H16" s="7">
        <f>'Option source'!B695</f>
        <v>97.41</v>
      </c>
      <c r="I16" s="7">
        <f>'Option source'!B714</f>
        <v>150.25</v>
      </c>
      <c r="J16" s="7">
        <f t="shared" si="0"/>
        <v>12.25</v>
      </c>
      <c r="K16" s="7">
        <f t="shared" si="1"/>
        <v>200</v>
      </c>
      <c r="L16" s="7">
        <f t="shared" si="2"/>
        <v>187.75</v>
      </c>
      <c r="M16" s="7">
        <f t="shared" si="3"/>
        <v>12.25</v>
      </c>
      <c r="N16" s="7">
        <f t="shared" si="4"/>
        <v>6012.25</v>
      </c>
      <c r="O16" s="7">
        <f t="shared" si="5"/>
        <v>6387.75</v>
      </c>
      <c r="P16" s="15">
        <f t="shared" si="6"/>
        <v>15.326530612244898</v>
      </c>
      <c r="Q16" s="7">
        <f>J16*'Model inputs'!$B$8</f>
        <v>1225</v>
      </c>
      <c r="R16" s="1" t="s">
        <v>162</v>
      </c>
      <c r="S16" s="1">
        <v>671</v>
      </c>
      <c r="T16" s="1">
        <v>690</v>
      </c>
    </row>
    <row r="17" spans="1:20" ht="21" customHeight="1">
      <c r="A17" s="8">
        <v>46281</v>
      </c>
      <c r="B17" s="1" t="s">
        <v>34</v>
      </c>
      <c r="C17" s="1" t="s">
        <v>87</v>
      </c>
      <c r="D17" s="7">
        <v>7200</v>
      </c>
      <c r="E17" s="7">
        <v>7400</v>
      </c>
      <c r="F17" s="7">
        <v>7600</v>
      </c>
      <c r="G17" s="7">
        <f>'Option source'!B296</f>
        <v>213.18</v>
      </c>
      <c r="H17" s="7">
        <f>'Option source'!B315</f>
        <v>157.13999999999999</v>
      </c>
      <c r="I17" s="7">
        <f>'Option source'!B334</f>
        <v>107.66</v>
      </c>
      <c r="J17" s="7">
        <f t="shared" si="0"/>
        <v>6.5600000000000307</v>
      </c>
      <c r="K17" s="7">
        <f t="shared" si="1"/>
        <v>200</v>
      </c>
      <c r="L17" s="7">
        <f t="shared" si="2"/>
        <v>193.43999999999997</v>
      </c>
      <c r="M17" s="7">
        <f t="shared" si="3"/>
        <v>6.5600000000000307</v>
      </c>
      <c r="N17" s="7">
        <f t="shared" si="4"/>
        <v>7206.56</v>
      </c>
      <c r="O17" s="7">
        <f t="shared" si="5"/>
        <v>7593.44</v>
      </c>
      <c r="P17" s="15">
        <f t="shared" si="6"/>
        <v>29.487804878048639</v>
      </c>
      <c r="Q17" s="7">
        <f>J17*'Model inputs'!$B$8</f>
        <v>656.00000000000307</v>
      </c>
      <c r="R17" s="1" t="s">
        <v>162</v>
      </c>
      <c r="S17" s="1">
        <v>291</v>
      </c>
      <c r="T17" s="1">
        <v>310</v>
      </c>
    </row>
    <row r="18" spans="1:20" ht="21" customHeight="1">
      <c r="A18" s="8">
        <v>46281</v>
      </c>
      <c r="B18" s="1" t="s">
        <v>34</v>
      </c>
      <c r="C18" s="1" t="s">
        <v>90</v>
      </c>
      <c r="D18" s="7">
        <v>7200</v>
      </c>
      <c r="E18" s="7">
        <v>7400</v>
      </c>
      <c r="F18" s="7">
        <v>7600</v>
      </c>
      <c r="G18" s="7">
        <f>'Option source'!B790</f>
        <v>550.35</v>
      </c>
      <c r="H18" s="7">
        <f>'Option source'!B809</f>
        <v>677.83</v>
      </c>
      <c r="I18" s="7">
        <f>'Option source'!B828</f>
        <v>857</v>
      </c>
      <c r="J18" s="7">
        <f t="shared" si="0"/>
        <v>51.689999999999941</v>
      </c>
      <c r="K18" s="7">
        <f t="shared" si="1"/>
        <v>200</v>
      </c>
      <c r="L18" s="7">
        <f t="shared" si="2"/>
        <v>148.31000000000006</v>
      </c>
      <c r="M18" s="7">
        <f t="shared" si="3"/>
        <v>51.689999999999941</v>
      </c>
      <c r="N18" s="7">
        <f t="shared" si="4"/>
        <v>7251.69</v>
      </c>
      <c r="O18" s="7">
        <f t="shared" si="5"/>
        <v>7548.31</v>
      </c>
      <c r="P18" s="15">
        <f t="shared" si="6"/>
        <v>2.8692203520990565</v>
      </c>
      <c r="Q18" s="7">
        <f>J18*'Model inputs'!$B$8</f>
        <v>5168.9999999999945</v>
      </c>
      <c r="R18" s="1" t="s">
        <v>162</v>
      </c>
      <c r="S18" s="1">
        <v>785</v>
      </c>
      <c r="T18" s="1">
        <v>804</v>
      </c>
    </row>
    <row r="19" spans="1:20" ht="21" customHeight="1">
      <c r="A19" s="8">
        <v>46281</v>
      </c>
      <c r="B19" s="1" t="s">
        <v>34</v>
      </c>
      <c r="C19" s="1" t="s">
        <v>90</v>
      </c>
      <c r="D19" s="7">
        <v>5800</v>
      </c>
      <c r="E19" s="7">
        <v>6000</v>
      </c>
      <c r="F19" s="7">
        <v>6200</v>
      </c>
      <c r="G19" s="7">
        <f>'Option source'!B657</f>
        <v>31.98</v>
      </c>
      <c r="H19" s="7">
        <f>'Option source'!B676</f>
        <v>56.82</v>
      </c>
      <c r="I19" s="7">
        <f>'Option source'!B695</f>
        <v>97.41</v>
      </c>
      <c r="J19" s="7">
        <f t="shared" si="0"/>
        <v>15.75</v>
      </c>
      <c r="K19" s="7">
        <f t="shared" si="1"/>
        <v>200</v>
      </c>
      <c r="L19" s="7">
        <f t="shared" si="2"/>
        <v>184.25</v>
      </c>
      <c r="M19" s="7">
        <f t="shared" si="3"/>
        <v>15.75</v>
      </c>
      <c r="N19" s="7">
        <f t="shared" si="4"/>
        <v>5815.75</v>
      </c>
      <c r="O19" s="7">
        <f t="shared" si="5"/>
        <v>6184.25</v>
      </c>
      <c r="P19" s="15">
        <f t="shared" si="6"/>
        <v>11.698412698412698</v>
      </c>
      <c r="Q19" s="7">
        <f>J19*'Model inputs'!$B$8</f>
        <v>1575</v>
      </c>
      <c r="R19" s="1" t="s">
        <v>162</v>
      </c>
      <c r="S19" s="1">
        <v>652</v>
      </c>
      <c r="T19" s="1">
        <v>671</v>
      </c>
    </row>
    <row r="20" spans="1:20" ht="21" customHeight="1">
      <c r="A20" s="8">
        <v>46281</v>
      </c>
      <c r="B20" s="1" t="s">
        <v>34</v>
      </c>
      <c r="C20" s="1" t="s">
        <v>87</v>
      </c>
      <c r="D20" s="7">
        <v>7400</v>
      </c>
      <c r="E20" s="7">
        <v>7600</v>
      </c>
      <c r="F20" s="7">
        <v>7800</v>
      </c>
      <c r="G20" s="7">
        <f>'Option source'!B315</f>
        <v>157.13999999999999</v>
      </c>
      <c r="H20" s="7">
        <f>'Option source'!B334</f>
        <v>107.66</v>
      </c>
      <c r="I20" s="7">
        <f>'Option source'!B353</f>
        <v>75.86</v>
      </c>
      <c r="J20" s="7">
        <f t="shared" si="0"/>
        <v>17.679999999999993</v>
      </c>
      <c r="K20" s="7">
        <f t="shared" si="1"/>
        <v>200</v>
      </c>
      <c r="L20" s="7">
        <f t="shared" si="2"/>
        <v>182.32</v>
      </c>
      <c r="M20" s="7">
        <f t="shared" si="3"/>
        <v>17.679999999999993</v>
      </c>
      <c r="N20" s="7">
        <f t="shared" si="4"/>
        <v>7417.68</v>
      </c>
      <c r="O20" s="7">
        <f t="shared" si="5"/>
        <v>7782.32</v>
      </c>
      <c r="P20" s="15">
        <f t="shared" si="6"/>
        <v>10.31221719457014</v>
      </c>
      <c r="Q20" s="7">
        <f>J20*'Model inputs'!$B$8</f>
        <v>1767.9999999999993</v>
      </c>
      <c r="R20" s="1" t="s">
        <v>162</v>
      </c>
      <c r="S20" s="1">
        <v>310</v>
      </c>
      <c r="T20" s="1">
        <v>329</v>
      </c>
    </row>
    <row r="21" spans="1:20" ht="21" customHeight="1">
      <c r="A21" s="8">
        <v>46281</v>
      </c>
      <c r="B21" s="1" t="s">
        <v>34</v>
      </c>
      <c r="C21" s="1" t="s">
        <v>90</v>
      </c>
      <c r="D21" s="7">
        <v>5600</v>
      </c>
      <c r="E21" s="7">
        <v>5800</v>
      </c>
      <c r="F21" s="7">
        <v>6000</v>
      </c>
      <c r="G21" s="7">
        <f>'Option source'!B638</f>
        <v>17.149999999999999</v>
      </c>
      <c r="H21" s="7">
        <f>'Option source'!B657</f>
        <v>31.98</v>
      </c>
      <c r="I21" s="7">
        <f>'Option source'!B676</f>
        <v>56.82</v>
      </c>
      <c r="J21" s="7">
        <f t="shared" si="0"/>
        <v>10.009999999999998</v>
      </c>
      <c r="K21" s="7">
        <f t="shared" si="1"/>
        <v>200</v>
      </c>
      <c r="L21" s="7">
        <f t="shared" si="2"/>
        <v>189.99</v>
      </c>
      <c r="M21" s="7">
        <f t="shared" si="3"/>
        <v>10.009999999999998</v>
      </c>
      <c r="N21" s="7">
        <f t="shared" si="4"/>
        <v>5610.01</v>
      </c>
      <c r="O21" s="7">
        <f t="shared" si="5"/>
        <v>5989.99</v>
      </c>
      <c r="P21" s="15">
        <f t="shared" si="6"/>
        <v>18.980019980019986</v>
      </c>
      <c r="Q21" s="7">
        <f>J21*'Model inputs'!$B$8</f>
        <v>1000.9999999999998</v>
      </c>
      <c r="R21" s="1" t="s">
        <v>162</v>
      </c>
      <c r="S21" s="1">
        <v>633</v>
      </c>
      <c r="T21" s="1">
        <v>652</v>
      </c>
    </row>
    <row r="22" spans="1:20" ht="21" customHeight="1">
      <c r="A22" s="8">
        <v>46281</v>
      </c>
      <c r="B22" s="1" t="s">
        <v>34</v>
      </c>
      <c r="C22" s="1" t="s">
        <v>87</v>
      </c>
      <c r="D22" s="7">
        <v>7600</v>
      </c>
      <c r="E22" s="7">
        <v>7800</v>
      </c>
      <c r="F22" s="7">
        <v>8000</v>
      </c>
      <c r="G22" s="7">
        <f>'Option source'!B334</f>
        <v>107.66</v>
      </c>
      <c r="H22" s="7">
        <f>'Option source'!B353</f>
        <v>75.86</v>
      </c>
      <c r="I22" s="7">
        <f>'Option source'!B372</f>
        <v>54.71</v>
      </c>
      <c r="J22" s="7">
        <f t="shared" si="0"/>
        <v>10.649999999999999</v>
      </c>
      <c r="K22" s="7">
        <f t="shared" si="1"/>
        <v>200</v>
      </c>
      <c r="L22" s="7">
        <f t="shared" si="2"/>
        <v>189.35</v>
      </c>
      <c r="M22" s="7">
        <f t="shared" si="3"/>
        <v>10.649999999999999</v>
      </c>
      <c r="N22" s="7">
        <f t="shared" si="4"/>
        <v>7610.65</v>
      </c>
      <c r="O22" s="7">
        <f t="shared" si="5"/>
        <v>7989.35</v>
      </c>
      <c r="P22" s="15">
        <f t="shared" si="6"/>
        <v>17.779342723004696</v>
      </c>
      <c r="Q22" s="7">
        <f>J22*'Model inputs'!$B$8</f>
        <v>1064.9999999999998</v>
      </c>
      <c r="R22" s="1" t="s">
        <v>162</v>
      </c>
      <c r="S22" s="1">
        <v>329</v>
      </c>
      <c r="T22" s="1">
        <v>348</v>
      </c>
    </row>
    <row r="23" spans="1:20" ht="21" customHeight="1">
      <c r="A23" s="8">
        <v>46281</v>
      </c>
      <c r="B23" s="1" t="s">
        <v>34</v>
      </c>
      <c r="C23" s="1" t="s">
        <v>90</v>
      </c>
      <c r="D23" s="7">
        <v>5400</v>
      </c>
      <c r="E23" s="7">
        <v>5600</v>
      </c>
      <c r="F23" s="7">
        <v>5800</v>
      </c>
      <c r="G23" s="7">
        <f>'Option source'!B619</f>
        <v>9.02</v>
      </c>
      <c r="H23" s="7">
        <f>'Option source'!B638</f>
        <v>17.149999999999999</v>
      </c>
      <c r="I23" s="7">
        <f>'Option source'!B657</f>
        <v>31.98</v>
      </c>
      <c r="J23" s="7">
        <f t="shared" si="0"/>
        <v>6.7000000000000028</v>
      </c>
      <c r="K23" s="7">
        <f t="shared" si="1"/>
        <v>200</v>
      </c>
      <c r="L23" s="7">
        <f t="shared" si="2"/>
        <v>193.3</v>
      </c>
      <c r="M23" s="7">
        <f t="shared" si="3"/>
        <v>6.7000000000000028</v>
      </c>
      <c r="N23" s="7">
        <f t="shared" si="4"/>
        <v>5406.7</v>
      </c>
      <c r="O23" s="7">
        <f t="shared" si="5"/>
        <v>5793.3</v>
      </c>
      <c r="P23" s="15">
        <f t="shared" si="6"/>
        <v>28.850746268656707</v>
      </c>
      <c r="Q23" s="7">
        <f>J23*'Model inputs'!$B$8</f>
        <v>670.00000000000023</v>
      </c>
      <c r="R23" s="1" t="s">
        <v>162</v>
      </c>
      <c r="S23" s="1">
        <v>614</v>
      </c>
      <c r="T23" s="1">
        <v>633</v>
      </c>
    </row>
    <row r="24" spans="1:20" ht="21" customHeight="1">
      <c r="A24" s="8">
        <v>46281</v>
      </c>
      <c r="B24" s="1" t="s">
        <v>34</v>
      </c>
      <c r="C24" s="1" t="s">
        <v>90</v>
      </c>
      <c r="D24" s="7">
        <v>5200</v>
      </c>
      <c r="E24" s="7">
        <v>5400</v>
      </c>
      <c r="F24" s="7">
        <v>5600</v>
      </c>
      <c r="G24" s="7">
        <f>'Option source'!B600</f>
        <v>6.01</v>
      </c>
      <c r="H24" s="7">
        <f>'Option source'!B619</f>
        <v>9.02</v>
      </c>
      <c r="I24" s="7">
        <f>'Option source'!B638</f>
        <v>17.149999999999999</v>
      </c>
      <c r="J24" s="7">
        <f t="shared" si="0"/>
        <v>5.1199999999999992</v>
      </c>
      <c r="K24" s="7">
        <f t="shared" si="1"/>
        <v>200</v>
      </c>
      <c r="L24" s="7">
        <f t="shared" si="2"/>
        <v>194.88</v>
      </c>
      <c r="M24" s="7">
        <f t="shared" si="3"/>
        <v>5.1199999999999992</v>
      </c>
      <c r="N24" s="7">
        <f t="shared" si="4"/>
        <v>5205.12</v>
      </c>
      <c r="O24" s="7">
        <f t="shared" si="5"/>
        <v>5594.88</v>
      </c>
      <c r="P24" s="15">
        <f t="shared" si="6"/>
        <v>38.062500000000007</v>
      </c>
      <c r="Q24" s="7">
        <f>J24*'Model inputs'!$B$8</f>
        <v>511.99999999999994</v>
      </c>
      <c r="R24" s="1" t="s">
        <v>162</v>
      </c>
      <c r="S24" s="1">
        <v>595</v>
      </c>
      <c r="T24" s="1">
        <v>614</v>
      </c>
    </row>
    <row r="25" spans="1:20" ht="21" customHeight="1">
      <c r="A25" s="8">
        <v>46281</v>
      </c>
      <c r="B25" s="1" t="s">
        <v>34</v>
      </c>
      <c r="C25" s="1" t="s">
        <v>87</v>
      </c>
      <c r="D25" s="7">
        <v>8000</v>
      </c>
      <c r="E25" s="7">
        <v>8300</v>
      </c>
      <c r="F25" s="7">
        <v>8600</v>
      </c>
      <c r="G25" s="7">
        <f>'Option source'!B372</f>
        <v>54.71</v>
      </c>
      <c r="H25" s="7">
        <f>'Option source'!B391</f>
        <v>32.200000000000003</v>
      </c>
      <c r="I25" s="7">
        <f>'Option source'!B410</f>
        <v>17.940000000000001</v>
      </c>
      <c r="J25" s="7">
        <f t="shared" si="0"/>
        <v>8.2499999999999964</v>
      </c>
      <c r="K25" s="7">
        <f t="shared" si="1"/>
        <v>300</v>
      </c>
      <c r="L25" s="7">
        <f t="shared" si="2"/>
        <v>291.75</v>
      </c>
      <c r="M25" s="7">
        <f t="shared" si="3"/>
        <v>8.2499999999999964</v>
      </c>
      <c r="N25" s="7">
        <f t="shared" si="4"/>
        <v>8008.25</v>
      </c>
      <c r="O25" s="7">
        <f t="shared" si="5"/>
        <v>8591.75</v>
      </c>
      <c r="P25" s="15">
        <f t="shared" si="6"/>
        <v>35.363636363636381</v>
      </c>
      <c r="Q25" s="7">
        <f>J25*'Model inputs'!$B$8</f>
        <v>824.99999999999966</v>
      </c>
      <c r="R25" s="1" t="s">
        <v>162</v>
      </c>
      <c r="S25" s="1">
        <v>367</v>
      </c>
      <c r="T25" s="1">
        <v>386</v>
      </c>
    </row>
    <row r="26" spans="1:20" ht="21" customHeight="1">
      <c r="A26" s="8">
        <v>46281</v>
      </c>
      <c r="B26" s="1" t="s">
        <v>34</v>
      </c>
      <c r="C26" s="1" t="s">
        <v>90</v>
      </c>
      <c r="D26" s="7">
        <v>5000</v>
      </c>
      <c r="E26" s="7">
        <v>5200</v>
      </c>
      <c r="F26" s="7">
        <v>5400</v>
      </c>
      <c r="G26" s="7">
        <f>'Option source'!B581</f>
        <v>3.18</v>
      </c>
      <c r="H26" s="7">
        <f>'Option source'!B600</f>
        <v>6.01</v>
      </c>
      <c r="I26" s="7">
        <f>'Option source'!B619</f>
        <v>9.02</v>
      </c>
      <c r="J26" s="7">
        <f t="shared" si="0"/>
        <v>0.17999999999999972</v>
      </c>
      <c r="K26" s="7">
        <f t="shared" si="1"/>
        <v>200</v>
      </c>
      <c r="L26" s="7">
        <f t="shared" si="2"/>
        <v>199.82</v>
      </c>
      <c r="M26" s="7">
        <f t="shared" si="3"/>
        <v>0.17999999999999972</v>
      </c>
      <c r="N26" s="7">
        <f t="shared" si="4"/>
        <v>5000.18</v>
      </c>
      <c r="O26" s="7">
        <f t="shared" si="5"/>
        <v>5399.82</v>
      </c>
      <c r="P26" s="15">
        <f t="shared" si="6"/>
        <v>1110.1111111111129</v>
      </c>
      <c r="Q26" s="7">
        <f>J26*'Model inputs'!$B$8</f>
        <v>17.999999999999972</v>
      </c>
      <c r="R26" s="1" t="s">
        <v>162</v>
      </c>
      <c r="S26" s="1">
        <v>576</v>
      </c>
      <c r="T26" s="1">
        <v>595</v>
      </c>
    </row>
    <row r="27" spans="1:20" ht="21" customHeight="1">
      <c r="A27" s="8">
        <v>46281</v>
      </c>
      <c r="B27" s="1" t="s">
        <v>34</v>
      </c>
      <c r="C27" s="1" t="s">
        <v>90</v>
      </c>
      <c r="D27" s="7">
        <v>4800</v>
      </c>
      <c r="E27" s="7">
        <v>5000</v>
      </c>
      <c r="F27" s="7">
        <v>5200</v>
      </c>
      <c r="G27" s="7">
        <f>'Option source'!B562</f>
        <v>1.93</v>
      </c>
      <c r="H27" s="7">
        <f>'Option source'!B581</f>
        <v>3.18</v>
      </c>
      <c r="I27" s="7">
        <f>'Option source'!B600</f>
        <v>6.01</v>
      </c>
      <c r="J27" s="7">
        <f t="shared" si="0"/>
        <v>1.5799999999999992</v>
      </c>
      <c r="K27" s="7">
        <f t="shared" si="1"/>
        <v>200</v>
      </c>
      <c r="L27" s="7">
        <f t="shared" si="2"/>
        <v>198.42</v>
      </c>
      <c r="M27" s="7">
        <f t="shared" si="3"/>
        <v>1.5799999999999992</v>
      </c>
      <c r="N27" s="7">
        <f t="shared" si="4"/>
        <v>4801.58</v>
      </c>
      <c r="O27" s="7">
        <f t="shared" si="5"/>
        <v>5198.42</v>
      </c>
      <c r="P27" s="15">
        <f t="shared" si="6"/>
        <v>125.58227848101272</v>
      </c>
      <c r="Q27" s="7">
        <f>J27*'Model inputs'!$B$8</f>
        <v>157.99999999999991</v>
      </c>
      <c r="R27" s="1" t="s">
        <v>162</v>
      </c>
      <c r="S27" s="1">
        <v>557</v>
      </c>
      <c r="T27" s="1">
        <v>576</v>
      </c>
    </row>
    <row r="28" spans="1:20" ht="21" customHeight="1">
      <c r="A28" s="8">
        <v>46281</v>
      </c>
      <c r="B28" s="1" t="s">
        <v>34</v>
      </c>
      <c r="C28" s="1" t="s">
        <v>87</v>
      </c>
      <c r="D28" s="7">
        <v>8300</v>
      </c>
      <c r="E28" s="7">
        <v>8600</v>
      </c>
      <c r="F28" s="7">
        <v>8900</v>
      </c>
      <c r="G28" s="7">
        <f>'Option source'!B391</f>
        <v>32.200000000000003</v>
      </c>
      <c r="H28" s="7">
        <f>'Option source'!B410</f>
        <v>17.940000000000001</v>
      </c>
      <c r="I28" s="7">
        <f>'Option source'!B429</f>
        <v>9.99</v>
      </c>
      <c r="J28" s="7">
        <f t="shared" si="0"/>
        <v>6.3100000000000005</v>
      </c>
      <c r="K28" s="7">
        <f t="shared" si="1"/>
        <v>300</v>
      </c>
      <c r="L28" s="7">
        <f t="shared" si="2"/>
        <v>293.69</v>
      </c>
      <c r="M28" s="7">
        <f t="shared" si="3"/>
        <v>6.3100000000000005</v>
      </c>
      <c r="N28" s="7">
        <f t="shared" si="4"/>
        <v>8306.31</v>
      </c>
      <c r="O28" s="7">
        <f t="shared" si="5"/>
        <v>8893.69</v>
      </c>
      <c r="P28" s="15">
        <f t="shared" si="6"/>
        <v>46.543581616481774</v>
      </c>
      <c r="Q28" s="7">
        <f>J28*'Model inputs'!$B$8</f>
        <v>631</v>
      </c>
      <c r="R28" s="1" t="s">
        <v>162</v>
      </c>
      <c r="S28" s="1">
        <v>386</v>
      </c>
      <c r="T28" s="1">
        <v>405</v>
      </c>
    </row>
    <row r="29" spans="1:20" ht="21" customHeight="1">
      <c r="A29" s="8">
        <v>46281</v>
      </c>
      <c r="B29" s="1" t="s">
        <v>34</v>
      </c>
      <c r="C29" s="1" t="s">
        <v>90</v>
      </c>
      <c r="D29" s="7">
        <v>4600</v>
      </c>
      <c r="E29" s="7">
        <v>4800</v>
      </c>
      <c r="F29" s="7">
        <v>5000</v>
      </c>
      <c r="G29" s="7">
        <f>'Option source'!B543</f>
        <v>1.62</v>
      </c>
      <c r="H29" s="7">
        <f>'Option source'!B562</f>
        <v>1.93</v>
      </c>
      <c r="I29" s="7">
        <f>'Option source'!B581</f>
        <v>3.18</v>
      </c>
      <c r="J29" s="7">
        <f t="shared" si="0"/>
        <v>0.94000000000000039</v>
      </c>
      <c r="K29" s="7">
        <f t="shared" si="1"/>
        <v>200</v>
      </c>
      <c r="L29" s="7">
        <f t="shared" si="2"/>
        <v>199.06</v>
      </c>
      <c r="M29" s="7">
        <f t="shared" si="3"/>
        <v>0.94000000000000039</v>
      </c>
      <c r="N29" s="7">
        <f t="shared" si="4"/>
        <v>4600.9399999999996</v>
      </c>
      <c r="O29" s="7">
        <f t="shared" si="5"/>
        <v>4999.0600000000004</v>
      </c>
      <c r="P29" s="15">
        <f t="shared" si="6"/>
        <v>211.76595744680841</v>
      </c>
      <c r="Q29" s="7">
        <f>J29*'Model inputs'!$B$8</f>
        <v>94.000000000000043</v>
      </c>
      <c r="R29" s="1" t="s">
        <v>162</v>
      </c>
      <c r="S29" s="1">
        <v>538</v>
      </c>
      <c r="T29" s="1">
        <v>557</v>
      </c>
    </row>
    <row r="30" spans="1:20" ht="21" customHeight="1">
      <c r="A30" s="8">
        <v>46281</v>
      </c>
      <c r="B30" s="1" t="s">
        <v>34</v>
      </c>
      <c r="C30" s="1" t="s">
        <v>87</v>
      </c>
      <c r="D30" s="7">
        <v>8600</v>
      </c>
      <c r="E30" s="7">
        <v>8900</v>
      </c>
      <c r="F30" s="7">
        <v>9200</v>
      </c>
      <c r="G30" s="7">
        <f>'Option source'!B410</f>
        <v>17.940000000000001</v>
      </c>
      <c r="H30" s="7">
        <f>'Option source'!B429</f>
        <v>9.99</v>
      </c>
      <c r="I30" s="7">
        <f>'Option source'!B448</f>
        <v>3.53</v>
      </c>
      <c r="J30" s="7">
        <f t="shared" si="0"/>
        <v>1.4900000000000007</v>
      </c>
      <c r="K30" s="7">
        <f t="shared" si="1"/>
        <v>300</v>
      </c>
      <c r="L30" s="7">
        <f t="shared" si="2"/>
        <v>298.51</v>
      </c>
      <c r="M30" s="7">
        <f t="shared" si="3"/>
        <v>1.4900000000000007</v>
      </c>
      <c r="N30" s="7">
        <f t="shared" si="4"/>
        <v>8601.49</v>
      </c>
      <c r="O30" s="7">
        <f t="shared" si="5"/>
        <v>9198.51</v>
      </c>
      <c r="P30" s="15">
        <f t="shared" si="6"/>
        <v>200.34228187919453</v>
      </c>
      <c r="Q30" s="7">
        <f>J30*'Model inputs'!$B$8</f>
        <v>149.00000000000006</v>
      </c>
      <c r="R30" s="1" t="s">
        <v>162</v>
      </c>
      <c r="S30" s="1">
        <v>405</v>
      </c>
      <c r="T30" s="1">
        <v>424</v>
      </c>
    </row>
    <row r="31" spans="1:20" ht="21" customHeight="1">
      <c r="A31" s="8">
        <v>46281</v>
      </c>
      <c r="B31" s="1" t="s">
        <v>34</v>
      </c>
      <c r="C31" s="1" t="s">
        <v>90</v>
      </c>
      <c r="D31" s="7">
        <v>4200</v>
      </c>
      <c r="E31" s="7">
        <v>4400</v>
      </c>
      <c r="F31" s="7">
        <v>4600</v>
      </c>
      <c r="G31" s="7">
        <f>'Option source'!B505</f>
        <v>1.21</v>
      </c>
      <c r="H31" s="7">
        <f>'Option source'!B524</f>
        <v>0.91</v>
      </c>
      <c r="I31" s="7">
        <f>'Option source'!B543</f>
        <v>1.62</v>
      </c>
      <c r="J31" s="7">
        <f t="shared" si="0"/>
        <v>1.01</v>
      </c>
      <c r="K31" s="7">
        <f t="shared" si="1"/>
        <v>200</v>
      </c>
      <c r="L31" s="7">
        <f t="shared" si="2"/>
        <v>198.99</v>
      </c>
      <c r="M31" s="7">
        <f t="shared" si="3"/>
        <v>1.01</v>
      </c>
      <c r="N31" s="7">
        <f t="shared" si="4"/>
        <v>4201.01</v>
      </c>
      <c r="O31" s="7">
        <f t="shared" si="5"/>
        <v>4598.99</v>
      </c>
      <c r="P31" s="15">
        <f t="shared" si="6"/>
        <v>197.01980198019803</v>
      </c>
      <c r="Q31" s="7">
        <f>J31*'Model inputs'!$B$8</f>
        <v>101</v>
      </c>
      <c r="R31" s="1" t="s">
        <v>162</v>
      </c>
      <c r="S31" s="1">
        <v>500</v>
      </c>
      <c r="T31" s="1">
        <v>519</v>
      </c>
    </row>
    <row r="32" spans="1:20" ht="21" customHeight="1">
      <c r="A32" s="8">
        <v>46281</v>
      </c>
      <c r="B32" s="1" t="s">
        <v>34</v>
      </c>
      <c r="C32" s="1" t="s">
        <v>87</v>
      </c>
      <c r="D32" s="7">
        <v>8900</v>
      </c>
      <c r="E32" s="7">
        <v>9200</v>
      </c>
      <c r="F32" s="7">
        <v>9500</v>
      </c>
      <c r="G32" s="7">
        <f>'Option source'!B429</f>
        <v>9.99</v>
      </c>
      <c r="H32" s="7">
        <f>'Option source'!B448</f>
        <v>3.53</v>
      </c>
      <c r="I32" s="7">
        <f>'Option source'!B467</f>
        <v>3.44</v>
      </c>
      <c r="J32" s="7">
        <f t="shared" si="0"/>
        <v>6.370000000000001</v>
      </c>
      <c r="K32" s="7">
        <f t="shared" si="1"/>
        <v>300</v>
      </c>
      <c r="L32" s="7">
        <f t="shared" si="2"/>
        <v>293.63</v>
      </c>
      <c r="M32" s="7">
        <f t="shared" si="3"/>
        <v>6.370000000000001</v>
      </c>
      <c r="N32" s="7">
        <f t="shared" si="4"/>
        <v>8906.3700000000008</v>
      </c>
      <c r="O32" s="7">
        <f t="shared" si="5"/>
        <v>9493.6299999999992</v>
      </c>
      <c r="P32" s="15">
        <f t="shared" si="6"/>
        <v>46.095761381475661</v>
      </c>
      <c r="Q32" s="7">
        <f>J32*'Model inputs'!$B$8</f>
        <v>637.00000000000011</v>
      </c>
      <c r="R32" s="1" t="s">
        <v>162</v>
      </c>
      <c r="S32" s="1">
        <v>424</v>
      </c>
      <c r="T32" s="1">
        <v>443</v>
      </c>
    </row>
    <row r="33" spans="1:20" ht="21" customHeight="1">
      <c r="A33" s="8">
        <v>46281</v>
      </c>
      <c r="B33" s="1" t="s">
        <v>34</v>
      </c>
      <c r="C33" s="1" t="s">
        <v>87</v>
      </c>
      <c r="D33" s="7">
        <v>6200</v>
      </c>
      <c r="E33" s="7">
        <v>6400</v>
      </c>
      <c r="F33" s="7">
        <v>6600</v>
      </c>
      <c r="G33" s="7">
        <f>'Option source'!B201</f>
        <v>704.74</v>
      </c>
      <c r="H33" s="7">
        <f>'Option source'!B220</f>
        <v>616.1</v>
      </c>
      <c r="I33" s="7">
        <f>'Option source'!B239</f>
        <v>478.22</v>
      </c>
      <c r="J33" s="7">
        <f t="shared" si="0"/>
        <v>-49.240000000000009</v>
      </c>
      <c r="K33" s="7">
        <f t="shared" si="1"/>
        <v>200</v>
      </c>
      <c r="L33" s="7">
        <f t="shared" si="2"/>
        <v>249.24</v>
      </c>
      <c r="M33" s="7">
        <f t="shared" si="3"/>
        <v>0</v>
      </c>
      <c r="N33" s="7" t="str">
        <f t="shared" si="4"/>
        <v>n.a.</v>
      </c>
      <c r="O33" s="7" t="str">
        <f t="shared" si="5"/>
        <v>n.a.</v>
      </c>
      <c r="P33" s="15" t="str">
        <f t="shared" si="6"/>
        <v>n.a.</v>
      </c>
      <c r="Q33" s="7">
        <f>J33*'Model inputs'!$B$8</f>
        <v>-4924.0000000000009</v>
      </c>
      <c r="R33" s="1" t="s">
        <v>163</v>
      </c>
      <c r="S33" s="1">
        <v>196</v>
      </c>
      <c r="T33" s="1">
        <v>215</v>
      </c>
    </row>
    <row r="34" spans="1:20" ht="21" customHeight="1">
      <c r="A34" s="8">
        <v>46281</v>
      </c>
      <c r="B34" s="1" t="s">
        <v>34</v>
      </c>
      <c r="C34" s="1" t="s">
        <v>87</v>
      </c>
      <c r="D34" s="7">
        <v>6000</v>
      </c>
      <c r="E34" s="7">
        <v>6200</v>
      </c>
      <c r="F34" s="7">
        <v>6400</v>
      </c>
      <c r="G34" s="7">
        <f>'Option source'!B182</f>
        <v>916.41</v>
      </c>
      <c r="H34" s="7">
        <f>'Option source'!B201</f>
        <v>704.74</v>
      </c>
      <c r="I34" s="7">
        <f>'Option source'!B220</f>
        <v>616.1</v>
      </c>
      <c r="J34" s="7">
        <f t="shared" si="0"/>
        <v>123.02999999999997</v>
      </c>
      <c r="K34" s="7">
        <f t="shared" si="1"/>
        <v>200</v>
      </c>
      <c r="L34" s="7">
        <f t="shared" si="2"/>
        <v>76.970000000000027</v>
      </c>
      <c r="M34" s="7">
        <f t="shared" si="3"/>
        <v>123.02999999999997</v>
      </c>
      <c r="N34" s="7">
        <f t="shared" si="4"/>
        <v>6123.03</v>
      </c>
      <c r="O34" s="7">
        <f t="shared" si="5"/>
        <v>6276.97</v>
      </c>
      <c r="P34" s="15">
        <f t="shared" si="6"/>
        <v>0.62561976753637361</v>
      </c>
      <c r="Q34" s="7">
        <f>J34*'Model inputs'!$B$8</f>
        <v>12302.999999999996</v>
      </c>
      <c r="R34" s="1" t="s">
        <v>164</v>
      </c>
      <c r="S34" s="1">
        <v>177</v>
      </c>
      <c r="T34" s="1">
        <v>196</v>
      </c>
    </row>
    <row r="35" spans="1:20" ht="21" customHeight="1">
      <c r="A35" s="8">
        <v>46281</v>
      </c>
      <c r="B35" s="1" t="s">
        <v>34</v>
      </c>
      <c r="C35" s="1" t="s">
        <v>87</v>
      </c>
      <c r="D35" s="7">
        <v>5800</v>
      </c>
      <c r="E35" s="7">
        <v>6000</v>
      </c>
      <c r="F35" s="7">
        <v>6200</v>
      </c>
      <c r="G35" s="7">
        <f>'Option source'!B163</f>
        <v>1049.9000000000001</v>
      </c>
      <c r="H35" s="7">
        <f>'Option source'!B182</f>
        <v>916.41</v>
      </c>
      <c r="I35" s="7">
        <f>'Option source'!B201</f>
        <v>704.74</v>
      </c>
      <c r="J35" s="7">
        <f t="shared" si="0"/>
        <v>-78.179999999999836</v>
      </c>
      <c r="K35" s="7">
        <f t="shared" si="1"/>
        <v>200</v>
      </c>
      <c r="L35" s="7">
        <f t="shared" si="2"/>
        <v>278.17999999999984</v>
      </c>
      <c r="M35" s="7">
        <f t="shared" si="3"/>
        <v>0</v>
      </c>
      <c r="N35" s="7" t="str">
        <f t="shared" si="4"/>
        <v>n.a.</v>
      </c>
      <c r="O35" s="7" t="str">
        <f t="shared" si="5"/>
        <v>n.a.</v>
      </c>
      <c r="P35" s="15" t="str">
        <f t="shared" si="6"/>
        <v>n.a.</v>
      </c>
      <c r="Q35" s="7">
        <f>J35*'Model inputs'!$B$8</f>
        <v>-7817.9999999999836</v>
      </c>
      <c r="R35" s="1" t="s">
        <v>163</v>
      </c>
      <c r="S35" s="1">
        <v>158</v>
      </c>
      <c r="T35" s="1">
        <v>177</v>
      </c>
    </row>
    <row r="36" spans="1:20" ht="21" customHeight="1">
      <c r="A36" s="8">
        <v>46281</v>
      </c>
      <c r="B36" s="1" t="s">
        <v>34</v>
      </c>
      <c r="C36" s="1" t="s">
        <v>90</v>
      </c>
      <c r="D36" s="7">
        <v>7400</v>
      </c>
      <c r="E36" s="7">
        <v>7600</v>
      </c>
      <c r="F36" s="7">
        <v>7800</v>
      </c>
      <c r="G36" s="7">
        <f>'Option source'!B809</f>
        <v>677.83</v>
      </c>
      <c r="H36" s="7">
        <f>'Option source'!B828</f>
        <v>857</v>
      </c>
      <c r="I36" s="7">
        <f>'Option source'!B847</f>
        <v>1000</v>
      </c>
      <c r="J36" s="7">
        <f t="shared" si="0"/>
        <v>-36.170000000000073</v>
      </c>
      <c r="K36" s="7">
        <f t="shared" si="1"/>
        <v>200</v>
      </c>
      <c r="L36" s="7">
        <f t="shared" si="2"/>
        <v>236.17000000000007</v>
      </c>
      <c r="M36" s="7">
        <f t="shared" si="3"/>
        <v>0</v>
      </c>
      <c r="N36" s="7" t="str">
        <f t="shared" si="4"/>
        <v>n.a.</v>
      </c>
      <c r="O36" s="7" t="str">
        <f t="shared" si="5"/>
        <v>n.a.</v>
      </c>
      <c r="P36" s="15" t="str">
        <f t="shared" si="6"/>
        <v>n.a.</v>
      </c>
      <c r="Q36" s="7">
        <f>J36*'Model inputs'!$B$8</f>
        <v>-3617.0000000000073</v>
      </c>
      <c r="R36" s="1" t="s">
        <v>163</v>
      </c>
      <c r="S36" s="1">
        <v>804</v>
      </c>
      <c r="T36" s="1">
        <v>823</v>
      </c>
    </row>
    <row r="37" spans="1:20" ht="21" customHeight="1">
      <c r="A37" s="8">
        <v>46281</v>
      </c>
      <c r="B37" s="1" t="s">
        <v>34</v>
      </c>
      <c r="C37" s="1" t="s">
        <v>87</v>
      </c>
      <c r="D37" s="7">
        <v>5600</v>
      </c>
      <c r="E37" s="7">
        <v>5800</v>
      </c>
      <c r="F37" s="7">
        <v>6000</v>
      </c>
      <c r="G37" s="7">
        <f>'Option source'!B153</f>
        <v>1233.1300000000001</v>
      </c>
      <c r="H37" s="7">
        <f>'Option source'!B163</f>
        <v>1049.9000000000001</v>
      </c>
      <c r="I37" s="7">
        <f>'Option source'!B182</f>
        <v>916.41</v>
      </c>
      <c r="J37" s="7">
        <f t="shared" si="0"/>
        <v>49.739999999999895</v>
      </c>
      <c r="K37" s="7">
        <f t="shared" si="1"/>
        <v>200</v>
      </c>
      <c r="L37" s="7">
        <f t="shared" si="2"/>
        <v>150.2600000000001</v>
      </c>
      <c r="M37" s="7">
        <f t="shared" si="3"/>
        <v>49.739999999999895</v>
      </c>
      <c r="N37" s="7">
        <f t="shared" si="4"/>
        <v>5649.74</v>
      </c>
      <c r="O37" s="7">
        <f t="shared" si="5"/>
        <v>5950.26</v>
      </c>
      <c r="P37" s="15">
        <f t="shared" si="6"/>
        <v>3.0209087253719424</v>
      </c>
      <c r="Q37" s="7">
        <f>J37*'Model inputs'!$B$8</f>
        <v>4973.9999999999891</v>
      </c>
      <c r="R37" s="1" t="s">
        <v>164</v>
      </c>
      <c r="S37" s="1">
        <v>148</v>
      </c>
      <c r="T37" s="1">
        <v>158</v>
      </c>
    </row>
    <row r="38" spans="1:20" ht="21" customHeight="1">
      <c r="A38" s="8">
        <v>46281</v>
      </c>
      <c r="B38" s="1" t="s">
        <v>34</v>
      </c>
      <c r="C38" s="1" t="s">
        <v>90</v>
      </c>
      <c r="D38" s="7">
        <v>7600</v>
      </c>
      <c r="E38" s="7">
        <v>7800</v>
      </c>
      <c r="F38" s="7">
        <v>8000</v>
      </c>
      <c r="G38" s="7">
        <f>'Option source'!B828</f>
        <v>857</v>
      </c>
      <c r="H38" s="7">
        <f>'Option source'!B847</f>
        <v>1000</v>
      </c>
      <c r="I38" s="7">
        <f>'Option source'!B866</f>
        <v>1230</v>
      </c>
      <c r="J38" s="7">
        <f t="shared" si="0"/>
        <v>87</v>
      </c>
      <c r="K38" s="7">
        <f t="shared" si="1"/>
        <v>200</v>
      </c>
      <c r="L38" s="7">
        <f t="shared" si="2"/>
        <v>113</v>
      </c>
      <c r="M38" s="7">
        <f t="shared" si="3"/>
        <v>87</v>
      </c>
      <c r="N38" s="7">
        <f t="shared" si="4"/>
        <v>7687</v>
      </c>
      <c r="O38" s="7">
        <f t="shared" si="5"/>
        <v>7913</v>
      </c>
      <c r="P38" s="15">
        <f t="shared" si="6"/>
        <v>1.2988505747126438</v>
      </c>
      <c r="Q38" s="7">
        <f>J38*'Model inputs'!$B$8</f>
        <v>8700</v>
      </c>
      <c r="R38" s="1" t="s">
        <v>164</v>
      </c>
      <c r="S38" s="1">
        <v>823</v>
      </c>
      <c r="T38" s="1">
        <v>842</v>
      </c>
    </row>
    <row r="39" spans="1:20" ht="21" customHeight="1">
      <c r="A39" s="8">
        <v>46281</v>
      </c>
      <c r="B39" s="1" t="s">
        <v>34</v>
      </c>
      <c r="C39" s="1" t="s">
        <v>87</v>
      </c>
      <c r="D39" s="7">
        <v>5400</v>
      </c>
      <c r="E39" s="7">
        <v>5600</v>
      </c>
      <c r="F39" s="7">
        <v>5800</v>
      </c>
      <c r="G39" s="7">
        <f>'Option source'!B135</f>
        <v>1470</v>
      </c>
      <c r="H39" s="7">
        <f>'Option source'!B153</f>
        <v>1233.1300000000001</v>
      </c>
      <c r="I39" s="7">
        <f>'Option source'!B163</f>
        <v>1049.9000000000001</v>
      </c>
      <c r="J39" s="7">
        <f t="shared" si="0"/>
        <v>53.639999999999873</v>
      </c>
      <c r="K39" s="7">
        <f t="shared" si="1"/>
        <v>200</v>
      </c>
      <c r="L39" s="7">
        <f t="shared" si="2"/>
        <v>146.36000000000013</v>
      </c>
      <c r="M39" s="7">
        <f t="shared" si="3"/>
        <v>53.639999999999873</v>
      </c>
      <c r="N39" s="7">
        <f t="shared" si="4"/>
        <v>5453.6399999999994</v>
      </c>
      <c r="O39" s="7">
        <f t="shared" si="5"/>
        <v>5746.3600000000006</v>
      </c>
      <c r="P39" s="15">
        <f t="shared" si="6"/>
        <v>2.7285607755406502</v>
      </c>
      <c r="Q39" s="7">
        <f>J39*'Model inputs'!$B$8</f>
        <v>5363.9999999999873</v>
      </c>
      <c r="R39" s="1" t="s">
        <v>164</v>
      </c>
      <c r="S39" s="1">
        <v>130</v>
      </c>
      <c r="T39" s="1">
        <v>148</v>
      </c>
    </row>
    <row r="40" spans="1:20" ht="21" customHeight="1">
      <c r="A40" s="8">
        <v>46281</v>
      </c>
      <c r="B40" s="1" t="s">
        <v>34</v>
      </c>
      <c r="C40" s="1" t="s">
        <v>87</v>
      </c>
      <c r="D40" s="7">
        <v>5200</v>
      </c>
      <c r="E40" s="7">
        <v>5400</v>
      </c>
      <c r="F40" s="7">
        <v>5600</v>
      </c>
      <c r="G40" s="7">
        <f>'Option source'!B116</f>
        <v>1678.07</v>
      </c>
      <c r="H40" s="7">
        <f>'Option source'!B135</f>
        <v>1470</v>
      </c>
      <c r="I40" s="7">
        <f>'Option source'!B153</f>
        <v>1233.1300000000001</v>
      </c>
      <c r="J40" s="7">
        <f t="shared" si="0"/>
        <v>-28.799999999999955</v>
      </c>
      <c r="K40" s="7">
        <f t="shared" si="1"/>
        <v>200</v>
      </c>
      <c r="L40" s="7">
        <f t="shared" si="2"/>
        <v>228.79999999999995</v>
      </c>
      <c r="M40" s="7">
        <f t="shared" si="3"/>
        <v>0</v>
      </c>
      <c r="N40" s="7" t="str">
        <f t="shared" si="4"/>
        <v>n.a.</v>
      </c>
      <c r="O40" s="7" t="str">
        <f t="shared" si="5"/>
        <v>n.a.</v>
      </c>
      <c r="P40" s="15" t="str">
        <f t="shared" si="6"/>
        <v>n.a.</v>
      </c>
      <c r="Q40" s="7">
        <f>J40*'Model inputs'!$B$8</f>
        <v>-2879.9999999999955</v>
      </c>
      <c r="R40" s="1" t="s">
        <v>163</v>
      </c>
      <c r="S40" s="1">
        <v>111</v>
      </c>
      <c r="T40" s="1">
        <v>130</v>
      </c>
    </row>
    <row r="41" spans="1:20" ht="21" customHeight="1">
      <c r="A41" s="8">
        <v>46281</v>
      </c>
      <c r="B41" s="1" t="s">
        <v>34</v>
      </c>
      <c r="C41" s="1" t="s">
        <v>90</v>
      </c>
      <c r="D41" s="7">
        <v>8000</v>
      </c>
      <c r="E41" s="7">
        <v>8300</v>
      </c>
      <c r="F41" s="7">
        <v>8600</v>
      </c>
      <c r="G41" s="7">
        <f>'Option source'!B866</f>
        <v>1230</v>
      </c>
      <c r="H41" s="7">
        <f>'Option source'!B885</f>
        <v>1520</v>
      </c>
      <c r="I41" s="7">
        <f>'Option source'!B904</f>
        <v>1648.65</v>
      </c>
      <c r="J41" s="7">
        <f t="shared" si="0"/>
        <v>-161.34999999999991</v>
      </c>
      <c r="K41" s="7">
        <f t="shared" si="1"/>
        <v>300</v>
      </c>
      <c r="L41" s="7">
        <f t="shared" si="2"/>
        <v>461.34999999999991</v>
      </c>
      <c r="M41" s="7">
        <f t="shared" si="3"/>
        <v>0</v>
      </c>
      <c r="N41" s="7" t="str">
        <f t="shared" si="4"/>
        <v>n.a.</v>
      </c>
      <c r="O41" s="7" t="str">
        <f t="shared" si="5"/>
        <v>n.a.</v>
      </c>
      <c r="P41" s="15" t="str">
        <f t="shared" si="6"/>
        <v>n.a.</v>
      </c>
      <c r="Q41" s="7">
        <f>J41*'Model inputs'!$B$8</f>
        <v>-16134.999999999991</v>
      </c>
      <c r="R41" s="1" t="s">
        <v>163</v>
      </c>
      <c r="S41" s="1">
        <v>861</v>
      </c>
      <c r="T41" s="1">
        <v>880</v>
      </c>
    </row>
    <row r="42" spans="1:20" ht="21" customHeight="1">
      <c r="A42" s="8">
        <v>46281</v>
      </c>
      <c r="B42" s="1" t="s">
        <v>34</v>
      </c>
      <c r="C42" s="1" t="s">
        <v>87</v>
      </c>
      <c r="D42" s="7">
        <v>5000</v>
      </c>
      <c r="E42" s="7">
        <v>5200</v>
      </c>
      <c r="F42" s="7">
        <v>5400</v>
      </c>
      <c r="G42" s="7">
        <f>'Option source'!B97</f>
        <v>1808.85</v>
      </c>
      <c r="H42" s="7">
        <f>'Option source'!B116</f>
        <v>1678.07</v>
      </c>
      <c r="I42" s="7">
        <f>'Option source'!B135</f>
        <v>1470</v>
      </c>
      <c r="J42" s="7">
        <f t="shared" si="0"/>
        <v>-77.289999999999964</v>
      </c>
      <c r="K42" s="7">
        <f t="shared" si="1"/>
        <v>200</v>
      </c>
      <c r="L42" s="7">
        <f t="shared" si="2"/>
        <v>277.28999999999996</v>
      </c>
      <c r="M42" s="7">
        <f t="shared" si="3"/>
        <v>0</v>
      </c>
      <c r="N42" s="7" t="str">
        <f t="shared" si="4"/>
        <v>n.a.</v>
      </c>
      <c r="O42" s="7" t="str">
        <f t="shared" si="5"/>
        <v>n.a.</v>
      </c>
      <c r="P42" s="15" t="str">
        <f t="shared" si="6"/>
        <v>n.a.</v>
      </c>
      <c r="Q42" s="7">
        <f>J42*'Model inputs'!$B$8</f>
        <v>-7728.9999999999964</v>
      </c>
      <c r="R42" s="1" t="s">
        <v>163</v>
      </c>
      <c r="S42" s="1">
        <v>92</v>
      </c>
      <c r="T42" s="1">
        <v>111</v>
      </c>
    </row>
    <row r="43" spans="1:20" ht="21" customHeight="1">
      <c r="A43" s="8">
        <v>46281</v>
      </c>
      <c r="B43" s="1" t="s">
        <v>34</v>
      </c>
      <c r="C43" s="1" t="s">
        <v>87</v>
      </c>
      <c r="D43" s="7">
        <v>4800</v>
      </c>
      <c r="E43" s="7">
        <v>5000</v>
      </c>
      <c r="F43" s="7">
        <v>5200</v>
      </c>
      <c r="G43" s="7">
        <f>'Option source'!B80</f>
        <v>2084.21</v>
      </c>
      <c r="H43" s="7">
        <f>'Option source'!B97</f>
        <v>1808.85</v>
      </c>
      <c r="I43" s="7">
        <f>'Option source'!B116</f>
        <v>1678.07</v>
      </c>
      <c r="J43" s="7">
        <f t="shared" si="0"/>
        <v>144.58000000000015</v>
      </c>
      <c r="K43" s="7">
        <f t="shared" si="1"/>
        <v>200</v>
      </c>
      <c r="L43" s="7">
        <f t="shared" si="2"/>
        <v>55.419999999999845</v>
      </c>
      <c r="M43" s="7">
        <f t="shared" si="3"/>
        <v>144.58000000000015</v>
      </c>
      <c r="N43" s="7">
        <f t="shared" si="4"/>
        <v>4944.58</v>
      </c>
      <c r="O43" s="7">
        <f t="shared" si="5"/>
        <v>5055.42</v>
      </c>
      <c r="P43" s="15">
        <f t="shared" si="6"/>
        <v>0.38331719463272779</v>
      </c>
      <c r="Q43" s="7">
        <f>J43*'Model inputs'!$B$8</f>
        <v>14458.000000000015</v>
      </c>
      <c r="R43" s="1" t="s">
        <v>164</v>
      </c>
      <c r="S43" s="1">
        <v>75</v>
      </c>
      <c r="T43" s="1">
        <v>92</v>
      </c>
    </row>
    <row r="44" spans="1:20" ht="21" customHeight="1">
      <c r="A44" s="8">
        <v>46281</v>
      </c>
      <c r="B44" s="1" t="s">
        <v>34</v>
      </c>
      <c r="C44" s="1" t="s">
        <v>90</v>
      </c>
      <c r="D44" s="7">
        <v>8300</v>
      </c>
      <c r="E44" s="7">
        <v>8600</v>
      </c>
      <c r="F44" s="7">
        <v>8900</v>
      </c>
      <c r="G44" s="7">
        <f>'Option source'!B885</f>
        <v>1520</v>
      </c>
      <c r="H44" s="7">
        <f>'Option source'!B904</f>
        <v>1648.65</v>
      </c>
      <c r="I44" s="7">
        <f>'Option source'!B919</f>
        <v>2022.5</v>
      </c>
      <c r="J44" s="7">
        <f t="shared" si="0"/>
        <v>245.19999999999982</v>
      </c>
      <c r="K44" s="7">
        <f t="shared" si="1"/>
        <v>300</v>
      </c>
      <c r="L44" s="7">
        <f t="shared" si="2"/>
        <v>54.800000000000182</v>
      </c>
      <c r="M44" s="7">
        <f t="shared" si="3"/>
        <v>245.19999999999982</v>
      </c>
      <c r="N44" s="7">
        <f t="shared" si="4"/>
        <v>8545.2000000000007</v>
      </c>
      <c r="O44" s="7">
        <f t="shared" si="5"/>
        <v>8654.7999999999993</v>
      </c>
      <c r="P44" s="15">
        <f t="shared" si="6"/>
        <v>0.22349102773246421</v>
      </c>
      <c r="Q44" s="7">
        <f>J44*'Model inputs'!$B$8</f>
        <v>24519.999999999982</v>
      </c>
      <c r="R44" s="1" t="s">
        <v>164</v>
      </c>
      <c r="S44" s="1">
        <v>880</v>
      </c>
      <c r="T44" s="1">
        <v>899</v>
      </c>
    </row>
    <row r="45" spans="1:20" ht="21" customHeight="1">
      <c r="A45" s="8">
        <v>46281</v>
      </c>
      <c r="B45" s="1" t="s">
        <v>34</v>
      </c>
      <c r="C45" s="1" t="s">
        <v>87</v>
      </c>
      <c r="D45" s="7">
        <v>4600</v>
      </c>
      <c r="E45" s="7">
        <v>4800</v>
      </c>
      <c r="F45" s="7">
        <v>5000</v>
      </c>
      <c r="G45" s="7">
        <f>'Option source'!B63</f>
        <v>2280.1</v>
      </c>
      <c r="H45" s="7">
        <f>'Option source'!B80</f>
        <v>2084.21</v>
      </c>
      <c r="I45" s="7">
        <f>'Option source'!B97</f>
        <v>1808.85</v>
      </c>
      <c r="J45" s="7">
        <f t="shared" si="0"/>
        <v>-79.470000000000255</v>
      </c>
      <c r="K45" s="7">
        <f t="shared" si="1"/>
        <v>200</v>
      </c>
      <c r="L45" s="7">
        <f t="shared" si="2"/>
        <v>279.47000000000025</v>
      </c>
      <c r="M45" s="7">
        <f t="shared" si="3"/>
        <v>0</v>
      </c>
      <c r="N45" s="7" t="str">
        <f t="shared" si="4"/>
        <v>n.a.</v>
      </c>
      <c r="O45" s="7" t="str">
        <f t="shared" si="5"/>
        <v>n.a.</v>
      </c>
      <c r="P45" s="15" t="str">
        <f t="shared" si="6"/>
        <v>n.a.</v>
      </c>
      <c r="Q45" s="7">
        <f>J45*'Model inputs'!$B$8</f>
        <v>-7947.0000000000255</v>
      </c>
      <c r="R45" s="1" t="s">
        <v>163</v>
      </c>
      <c r="S45" s="1">
        <v>58</v>
      </c>
      <c r="T45" s="1">
        <v>75</v>
      </c>
    </row>
    <row r="46" spans="1:20" ht="21" customHeight="1">
      <c r="A46" s="8">
        <v>46281</v>
      </c>
      <c r="B46" s="1" t="s">
        <v>34</v>
      </c>
      <c r="C46" s="1" t="s">
        <v>90</v>
      </c>
      <c r="D46" s="7">
        <v>8600</v>
      </c>
      <c r="E46" s="7">
        <v>8900</v>
      </c>
      <c r="F46" s="7">
        <v>9200</v>
      </c>
      <c r="G46" s="7">
        <f>'Option source'!B904</f>
        <v>1648.65</v>
      </c>
      <c r="H46" s="7">
        <f>'Option source'!B919</f>
        <v>2022.5</v>
      </c>
      <c r="I46" s="7">
        <f>'Option source'!B926</f>
        <v>2268.5100000000002</v>
      </c>
      <c r="J46" s="7">
        <f t="shared" si="0"/>
        <v>-127.83999999999969</v>
      </c>
      <c r="K46" s="7">
        <f t="shared" si="1"/>
        <v>300</v>
      </c>
      <c r="L46" s="7">
        <f t="shared" si="2"/>
        <v>427.83999999999969</v>
      </c>
      <c r="M46" s="7">
        <f t="shared" si="3"/>
        <v>0</v>
      </c>
      <c r="N46" s="7" t="str">
        <f t="shared" si="4"/>
        <v>n.a.</v>
      </c>
      <c r="O46" s="7" t="str">
        <f t="shared" si="5"/>
        <v>n.a.</v>
      </c>
      <c r="P46" s="15" t="str">
        <f t="shared" si="6"/>
        <v>n.a.</v>
      </c>
      <c r="Q46" s="7">
        <f>J46*'Model inputs'!$B$8</f>
        <v>-12783.999999999969</v>
      </c>
      <c r="R46" s="1" t="s">
        <v>163</v>
      </c>
      <c r="S46" s="1">
        <v>899</v>
      </c>
      <c r="T46" s="1">
        <v>914</v>
      </c>
    </row>
    <row r="47" spans="1:20" ht="21" customHeight="1">
      <c r="A47" s="8">
        <v>46281</v>
      </c>
      <c r="B47" s="1" t="s">
        <v>34</v>
      </c>
      <c r="C47" s="1" t="s">
        <v>87</v>
      </c>
      <c r="D47" s="7">
        <v>4400</v>
      </c>
      <c r="E47" s="7">
        <v>4600</v>
      </c>
      <c r="F47" s="7">
        <v>4800</v>
      </c>
      <c r="G47" s="7">
        <f>'Option source'!B44</f>
        <v>2422</v>
      </c>
      <c r="H47" s="7">
        <f>'Option source'!B63</f>
        <v>2280.1</v>
      </c>
      <c r="I47" s="7">
        <f>'Option source'!B80</f>
        <v>2084.21</v>
      </c>
      <c r="J47" s="7">
        <f t="shared" si="0"/>
        <v>-53.989999999999782</v>
      </c>
      <c r="K47" s="7">
        <f t="shared" si="1"/>
        <v>200</v>
      </c>
      <c r="L47" s="7">
        <f t="shared" si="2"/>
        <v>253.98999999999978</v>
      </c>
      <c r="M47" s="7">
        <f t="shared" si="3"/>
        <v>0</v>
      </c>
      <c r="N47" s="7" t="str">
        <f t="shared" si="4"/>
        <v>n.a.</v>
      </c>
      <c r="O47" s="7" t="str">
        <f t="shared" si="5"/>
        <v>n.a.</v>
      </c>
      <c r="P47" s="15" t="str">
        <f t="shared" si="6"/>
        <v>n.a.</v>
      </c>
      <c r="Q47" s="7">
        <f>J47*'Model inputs'!$B$8</f>
        <v>-5398.9999999999782</v>
      </c>
      <c r="R47" s="1" t="s">
        <v>163</v>
      </c>
      <c r="S47" s="1">
        <v>39</v>
      </c>
      <c r="T47" s="1">
        <v>58</v>
      </c>
    </row>
    <row r="48" spans="1:20" ht="21" customHeight="1">
      <c r="A48" s="8">
        <v>46281</v>
      </c>
      <c r="B48" s="1" t="s">
        <v>34</v>
      </c>
      <c r="C48" s="1" t="s">
        <v>90</v>
      </c>
      <c r="D48" s="7">
        <v>4400</v>
      </c>
      <c r="E48" s="7">
        <v>4600</v>
      </c>
      <c r="F48" s="7">
        <v>4800</v>
      </c>
      <c r="G48" s="7">
        <f>'Option source'!B524</f>
        <v>0.91</v>
      </c>
      <c r="H48" s="7">
        <f>'Option source'!B543</f>
        <v>1.62</v>
      </c>
      <c r="I48" s="7">
        <f>'Option source'!B562</f>
        <v>1.93</v>
      </c>
      <c r="J48" s="7">
        <f t="shared" si="0"/>
        <v>-0.40000000000000013</v>
      </c>
      <c r="K48" s="7">
        <f t="shared" si="1"/>
        <v>200</v>
      </c>
      <c r="L48" s="7">
        <f t="shared" si="2"/>
        <v>200.4</v>
      </c>
      <c r="M48" s="7">
        <f t="shared" si="3"/>
        <v>0</v>
      </c>
      <c r="N48" s="7" t="str">
        <f t="shared" si="4"/>
        <v>n.a.</v>
      </c>
      <c r="O48" s="7" t="str">
        <f t="shared" si="5"/>
        <v>n.a.</v>
      </c>
      <c r="P48" s="15" t="str">
        <f t="shared" si="6"/>
        <v>n.a.</v>
      </c>
      <c r="Q48" s="7">
        <f>J48*'Model inputs'!$B$8</f>
        <v>-40.000000000000014</v>
      </c>
      <c r="R48" s="1" t="s">
        <v>163</v>
      </c>
      <c r="S48" s="1">
        <v>519</v>
      </c>
      <c r="T48" s="1">
        <v>538</v>
      </c>
    </row>
    <row r="49" spans="1:20" ht="21" customHeight="1">
      <c r="A49" s="8">
        <v>46281</v>
      </c>
      <c r="B49" s="1" t="s">
        <v>34</v>
      </c>
      <c r="C49" s="1" t="s">
        <v>87</v>
      </c>
      <c r="D49" s="7">
        <v>4200</v>
      </c>
      <c r="E49" s="7">
        <v>4400</v>
      </c>
      <c r="F49" s="7">
        <v>4600</v>
      </c>
      <c r="G49" s="7">
        <f>'Option source'!B25</f>
        <v>2587.4899999999998</v>
      </c>
      <c r="H49" s="7">
        <f>'Option source'!B44</f>
        <v>2422</v>
      </c>
      <c r="I49" s="7">
        <f>'Option source'!B63</f>
        <v>2280.1</v>
      </c>
      <c r="J49" s="7">
        <f t="shared" si="0"/>
        <v>23.589999999999691</v>
      </c>
      <c r="K49" s="7">
        <f t="shared" si="1"/>
        <v>200</v>
      </c>
      <c r="L49" s="7">
        <f t="shared" si="2"/>
        <v>176.41000000000031</v>
      </c>
      <c r="M49" s="7">
        <f t="shared" si="3"/>
        <v>23.589999999999691</v>
      </c>
      <c r="N49" s="7">
        <f t="shared" si="4"/>
        <v>4223.59</v>
      </c>
      <c r="O49" s="7">
        <f t="shared" si="5"/>
        <v>4576.41</v>
      </c>
      <c r="P49" s="15">
        <f t="shared" si="6"/>
        <v>7.4781687155575511</v>
      </c>
      <c r="Q49" s="7">
        <f>J49*'Model inputs'!$B$8</f>
        <v>2358.9999999999691</v>
      </c>
      <c r="R49" s="1" t="s">
        <v>164</v>
      </c>
      <c r="S49" s="1">
        <v>20</v>
      </c>
      <c r="T49" s="1">
        <v>39</v>
      </c>
    </row>
    <row r="50" spans="1:20" ht="21" customHeight="1">
      <c r="A50" s="8">
        <v>46281</v>
      </c>
      <c r="B50" s="1" t="s">
        <v>36</v>
      </c>
      <c r="C50" s="1" t="s">
        <v>87</v>
      </c>
      <c r="D50" s="7">
        <v>6600</v>
      </c>
      <c r="E50" s="7">
        <v>6800</v>
      </c>
      <c r="F50" s="7"/>
      <c r="G50" s="7">
        <f>'Option source'!B239</f>
        <v>478.22</v>
      </c>
      <c r="H50" s="7">
        <f>'Option source'!B258</f>
        <v>376.43</v>
      </c>
      <c r="I50" s="7"/>
      <c r="J50" s="7">
        <f t="shared" si="0"/>
        <v>-274.64</v>
      </c>
      <c r="K50" s="7">
        <f t="shared" si="1"/>
        <v>200</v>
      </c>
      <c r="L50" s="7">
        <f t="shared" si="2"/>
        <v>474.64</v>
      </c>
      <c r="M50" s="7" t="str">
        <f t="shared" si="3"/>
        <v>Unlimited</v>
      </c>
      <c r="N50" s="7" t="str">
        <f t="shared" si="4"/>
        <v>n.a.</v>
      </c>
      <c r="O50" s="7">
        <f t="shared" si="5"/>
        <v>7274.64</v>
      </c>
      <c r="P50" s="15" t="str">
        <f t="shared" si="6"/>
        <v>n.a.</v>
      </c>
      <c r="Q50" s="7">
        <f>J50*'Model inputs'!$B$8</f>
        <v>-27464</v>
      </c>
      <c r="R50" s="1" t="s">
        <v>162</v>
      </c>
      <c r="S50" s="1">
        <v>234</v>
      </c>
      <c r="T50" s="1">
        <v>253</v>
      </c>
    </row>
    <row r="51" spans="1:20" ht="21" customHeight="1">
      <c r="A51" s="8">
        <v>46281</v>
      </c>
      <c r="B51" s="1" t="s">
        <v>36</v>
      </c>
      <c r="C51" s="1" t="s">
        <v>90</v>
      </c>
      <c r="D51" s="7">
        <v>7000</v>
      </c>
      <c r="E51" s="7">
        <v>6800</v>
      </c>
      <c r="F51" s="7"/>
      <c r="G51" s="7">
        <f>'Option source'!B771</f>
        <v>427.03</v>
      </c>
      <c r="H51" s="7">
        <f>'Option source'!B752</f>
        <v>312.14999999999998</v>
      </c>
      <c r="I51" s="7"/>
      <c r="J51" s="7">
        <f t="shared" si="0"/>
        <v>-197.26999999999998</v>
      </c>
      <c r="K51" s="7">
        <f t="shared" si="1"/>
        <v>200</v>
      </c>
      <c r="L51" s="7">
        <f t="shared" si="2"/>
        <v>397.27</v>
      </c>
      <c r="M51" s="7">
        <f t="shared" si="3"/>
        <v>6402.73</v>
      </c>
      <c r="N51" s="7">
        <f t="shared" si="4"/>
        <v>6402.73</v>
      </c>
      <c r="O51" s="7" t="str">
        <f t="shared" si="5"/>
        <v>n.a.</v>
      </c>
      <c r="P51" s="15" t="str">
        <f t="shared" si="6"/>
        <v>n.a.</v>
      </c>
      <c r="Q51" s="7">
        <f>J51*'Model inputs'!$B$8</f>
        <v>-19727</v>
      </c>
      <c r="R51" s="1" t="s">
        <v>162</v>
      </c>
      <c r="S51" s="1">
        <v>766</v>
      </c>
      <c r="T51" s="1">
        <v>747</v>
      </c>
    </row>
    <row r="52" spans="1:20" ht="21" customHeight="1">
      <c r="A52" s="8">
        <v>46281</v>
      </c>
      <c r="B52" s="1" t="s">
        <v>36</v>
      </c>
      <c r="C52" s="1" t="s">
        <v>87</v>
      </c>
      <c r="D52" s="7">
        <v>6400</v>
      </c>
      <c r="E52" s="7">
        <v>6600</v>
      </c>
      <c r="F52" s="7"/>
      <c r="G52" s="7">
        <f>'Option source'!B220</f>
        <v>616.1</v>
      </c>
      <c r="H52" s="7">
        <f>'Option source'!B239</f>
        <v>478.22</v>
      </c>
      <c r="I52" s="7"/>
      <c r="J52" s="7">
        <f t="shared" si="0"/>
        <v>-340.34000000000003</v>
      </c>
      <c r="K52" s="7">
        <f t="shared" si="1"/>
        <v>200</v>
      </c>
      <c r="L52" s="7">
        <f t="shared" si="2"/>
        <v>540.34</v>
      </c>
      <c r="M52" s="7" t="str">
        <f t="shared" si="3"/>
        <v>Unlimited</v>
      </c>
      <c r="N52" s="7" t="str">
        <f t="shared" si="4"/>
        <v>n.a.</v>
      </c>
      <c r="O52" s="7">
        <f t="shared" si="5"/>
        <v>7140.34</v>
      </c>
      <c r="P52" s="15" t="str">
        <f t="shared" si="6"/>
        <v>n.a.</v>
      </c>
      <c r="Q52" s="7">
        <f>J52*'Model inputs'!$B$8</f>
        <v>-34034</v>
      </c>
      <c r="R52" s="1" t="s">
        <v>162</v>
      </c>
      <c r="S52" s="1">
        <v>215</v>
      </c>
      <c r="T52" s="1">
        <v>234</v>
      </c>
    </row>
    <row r="53" spans="1:20" ht="21" customHeight="1">
      <c r="A53" s="8">
        <v>46281</v>
      </c>
      <c r="B53" s="1" t="s">
        <v>36</v>
      </c>
      <c r="C53" s="1" t="s">
        <v>90</v>
      </c>
      <c r="D53" s="7">
        <v>6800</v>
      </c>
      <c r="E53" s="7">
        <v>6600</v>
      </c>
      <c r="F53" s="7"/>
      <c r="G53" s="7">
        <f>'Option source'!B752</f>
        <v>312.14999999999998</v>
      </c>
      <c r="H53" s="7">
        <f>'Option source'!B733</f>
        <v>222.45</v>
      </c>
      <c r="I53" s="7"/>
      <c r="J53" s="7">
        <f t="shared" si="0"/>
        <v>-132.75</v>
      </c>
      <c r="K53" s="7">
        <f t="shared" si="1"/>
        <v>200</v>
      </c>
      <c r="L53" s="7">
        <f t="shared" si="2"/>
        <v>332.75</v>
      </c>
      <c r="M53" s="7">
        <f t="shared" si="3"/>
        <v>6267.25</v>
      </c>
      <c r="N53" s="7">
        <f t="shared" si="4"/>
        <v>6267.25</v>
      </c>
      <c r="O53" s="7" t="str">
        <f t="shared" si="5"/>
        <v>n.a.</v>
      </c>
      <c r="P53" s="15" t="str">
        <f t="shared" si="6"/>
        <v>n.a.</v>
      </c>
      <c r="Q53" s="7">
        <f>J53*'Model inputs'!$B$8</f>
        <v>-13275</v>
      </c>
      <c r="R53" s="1" t="s">
        <v>162</v>
      </c>
      <c r="S53" s="1">
        <v>747</v>
      </c>
      <c r="T53" s="1">
        <v>728</v>
      </c>
    </row>
    <row r="54" spans="1:20" ht="21" customHeight="1">
      <c r="A54" s="8">
        <v>46281</v>
      </c>
      <c r="B54" s="1" t="s">
        <v>36</v>
      </c>
      <c r="C54" s="1" t="s">
        <v>87</v>
      </c>
      <c r="D54" s="7">
        <v>6800</v>
      </c>
      <c r="E54" s="7">
        <v>7000</v>
      </c>
      <c r="F54" s="7"/>
      <c r="G54" s="7">
        <f>'Option source'!B258</f>
        <v>376.43</v>
      </c>
      <c r="H54" s="7">
        <f>'Option source'!B277</f>
        <v>289.64999999999998</v>
      </c>
      <c r="I54" s="7"/>
      <c r="J54" s="7">
        <f t="shared" si="0"/>
        <v>-202.86999999999995</v>
      </c>
      <c r="K54" s="7">
        <f t="shared" si="1"/>
        <v>200</v>
      </c>
      <c r="L54" s="7">
        <f t="shared" si="2"/>
        <v>402.86999999999995</v>
      </c>
      <c r="M54" s="7" t="str">
        <f t="shared" si="3"/>
        <v>Unlimited</v>
      </c>
      <c r="N54" s="7" t="str">
        <f t="shared" si="4"/>
        <v>n.a.</v>
      </c>
      <c r="O54" s="7">
        <f t="shared" si="5"/>
        <v>7402.87</v>
      </c>
      <c r="P54" s="15" t="str">
        <f t="shared" si="6"/>
        <v>n.a.</v>
      </c>
      <c r="Q54" s="7">
        <f>J54*'Model inputs'!$B$8</f>
        <v>-20286.999999999996</v>
      </c>
      <c r="R54" s="1" t="s">
        <v>162</v>
      </c>
      <c r="S54" s="1">
        <v>253</v>
      </c>
      <c r="T54" s="1">
        <v>272</v>
      </c>
    </row>
    <row r="55" spans="1:20" ht="21" customHeight="1">
      <c r="A55" s="8">
        <v>46281</v>
      </c>
      <c r="B55" s="1" t="s">
        <v>36</v>
      </c>
      <c r="C55" s="1" t="s">
        <v>90</v>
      </c>
      <c r="D55" s="7">
        <v>7200</v>
      </c>
      <c r="E55" s="7">
        <v>7000</v>
      </c>
      <c r="F55" s="7"/>
      <c r="G55" s="7">
        <f>'Option source'!B790</f>
        <v>550.35</v>
      </c>
      <c r="H55" s="7">
        <f>'Option source'!B771</f>
        <v>427.03</v>
      </c>
      <c r="I55" s="7"/>
      <c r="J55" s="7">
        <f t="shared" si="0"/>
        <v>-303.70999999999992</v>
      </c>
      <c r="K55" s="7">
        <f t="shared" si="1"/>
        <v>200</v>
      </c>
      <c r="L55" s="7">
        <f t="shared" si="2"/>
        <v>503.70999999999992</v>
      </c>
      <c r="M55" s="7">
        <f t="shared" si="3"/>
        <v>6496.29</v>
      </c>
      <c r="N55" s="7">
        <f t="shared" si="4"/>
        <v>6496.29</v>
      </c>
      <c r="O55" s="7" t="str">
        <f t="shared" si="5"/>
        <v>n.a.</v>
      </c>
      <c r="P55" s="15" t="str">
        <f t="shared" si="6"/>
        <v>n.a.</v>
      </c>
      <c r="Q55" s="7">
        <f>J55*'Model inputs'!$B$8</f>
        <v>-30370.999999999993</v>
      </c>
      <c r="R55" s="1" t="s">
        <v>162</v>
      </c>
      <c r="S55" s="1">
        <v>785</v>
      </c>
      <c r="T55" s="1">
        <v>766</v>
      </c>
    </row>
    <row r="56" spans="1:20" ht="21" customHeight="1">
      <c r="A56" s="8">
        <v>46281</v>
      </c>
      <c r="B56" s="1" t="s">
        <v>36</v>
      </c>
      <c r="C56" s="1" t="s">
        <v>90</v>
      </c>
      <c r="D56" s="7">
        <v>6600</v>
      </c>
      <c r="E56" s="7">
        <v>6400</v>
      </c>
      <c r="F56" s="7"/>
      <c r="G56" s="7">
        <f>'Option source'!B733</f>
        <v>222.45</v>
      </c>
      <c r="H56" s="7">
        <f>'Option source'!B714</f>
        <v>150.25</v>
      </c>
      <c r="I56" s="7"/>
      <c r="J56" s="7">
        <f t="shared" si="0"/>
        <v>-78.050000000000011</v>
      </c>
      <c r="K56" s="7">
        <f t="shared" si="1"/>
        <v>200</v>
      </c>
      <c r="L56" s="7">
        <f t="shared" si="2"/>
        <v>278.05</v>
      </c>
      <c r="M56" s="7">
        <f t="shared" si="3"/>
        <v>6121.95</v>
      </c>
      <c r="N56" s="7">
        <f t="shared" si="4"/>
        <v>6121.95</v>
      </c>
      <c r="O56" s="7" t="str">
        <f t="shared" si="5"/>
        <v>n.a.</v>
      </c>
      <c r="P56" s="15" t="str">
        <f t="shared" si="6"/>
        <v>n.a.</v>
      </c>
      <c r="Q56" s="7">
        <f>J56*'Model inputs'!$B$8</f>
        <v>-7805.0000000000009</v>
      </c>
      <c r="R56" s="1" t="s">
        <v>162</v>
      </c>
      <c r="S56" s="1">
        <v>728</v>
      </c>
      <c r="T56" s="1">
        <v>709</v>
      </c>
    </row>
    <row r="57" spans="1:20" ht="21" customHeight="1">
      <c r="A57" s="8">
        <v>46281</v>
      </c>
      <c r="B57" s="1" t="s">
        <v>36</v>
      </c>
      <c r="C57" s="1" t="s">
        <v>87</v>
      </c>
      <c r="D57" s="7">
        <v>7000</v>
      </c>
      <c r="E57" s="7">
        <v>7200</v>
      </c>
      <c r="F57" s="7"/>
      <c r="G57" s="7">
        <f>'Option source'!B277</f>
        <v>289.64999999999998</v>
      </c>
      <c r="H57" s="7">
        <f>'Option source'!B296</f>
        <v>213.18</v>
      </c>
      <c r="I57" s="7"/>
      <c r="J57" s="7">
        <f t="shared" si="0"/>
        <v>-136.71000000000004</v>
      </c>
      <c r="K57" s="7">
        <f t="shared" si="1"/>
        <v>200</v>
      </c>
      <c r="L57" s="7">
        <f t="shared" si="2"/>
        <v>336.71000000000004</v>
      </c>
      <c r="M57" s="7" t="str">
        <f t="shared" si="3"/>
        <v>Unlimited</v>
      </c>
      <c r="N57" s="7" t="str">
        <f t="shared" si="4"/>
        <v>n.a.</v>
      </c>
      <c r="O57" s="7">
        <f t="shared" si="5"/>
        <v>7536.71</v>
      </c>
      <c r="P57" s="15" t="str">
        <f t="shared" si="6"/>
        <v>n.a.</v>
      </c>
      <c r="Q57" s="7">
        <f>J57*'Model inputs'!$B$8</f>
        <v>-13671.000000000004</v>
      </c>
      <c r="R57" s="1" t="s">
        <v>162</v>
      </c>
      <c r="S57" s="1">
        <v>272</v>
      </c>
      <c r="T57" s="1">
        <v>291</v>
      </c>
    </row>
    <row r="58" spans="1:20" ht="21" customHeight="1">
      <c r="A58" s="8">
        <v>46281</v>
      </c>
      <c r="B58" s="1" t="s">
        <v>36</v>
      </c>
      <c r="C58" s="1" t="s">
        <v>90</v>
      </c>
      <c r="D58" s="7">
        <v>7400</v>
      </c>
      <c r="E58" s="7">
        <v>7200</v>
      </c>
      <c r="F58" s="7"/>
      <c r="G58" s="7">
        <f>'Option source'!B809</f>
        <v>677.83</v>
      </c>
      <c r="H58" s="7">
        <f>'Option source'!B790</f>
        <v>550.35</v>
      </c>
      <c r="I58" s="7"/>
      <c r="J58" s="7">
        <f t="shared" si="0"/>
        <v>-422.87</v>
      </c>
      <c r="K58" s="7">
        <f t="shared" si="1"/>
        <v>200</v>
      </c>
      <c r="L58" s="7">
        <f t="shared" si="2"/>
        <v>622.87</v>
      </c>
      <c r="M58" s="7">
        <f t="shared" si="3"/>
        <v>6577.13</v>
      </c>
      <c r="N58" s="7">
        <f t="shared" si="4"/>
        <v>6577.13</v>
      </c>
      <c r="O58" s="7" t="str">
        <f t="shared" si="5"/>
        <v>n.a.</v>
      </c>
      <c r="P58" s="15" t="str">
        <f t="shared" si="6"/>
        <v>n.a.</v>
      </c>
      <c r="Q58" s="7">
        <f>J58*'Model inputs'!$B$8</f>
        <v>-42287</v>
      </c>
      <c r="R58" s="1" t="s">
        <v>162</v>
      </c>
      <c r="S58" s="1">
        <v>804</v>
      </c>
      <c r="T58" s="1">
        <v>785</v>
      </c>
    </row>
    <row r="59" spans="1:20" ht="21" customHeight="1">
      <c r="A59" s="8">
        <v>46281</v>
      </c>
      <c r="B59" s="1" t="s">
        <v>36</v>
      </c>
      <c r="C59" s="1" t="s">
        <v>90</v>
      </c>
      <c r="D59" s="7">
        <v>6400</v>
      </c>
      <c r="E59" s="7">
        <v>6200</v>
      </c>
      <c r="F59" s="7"/>
      <c r="G59" s="7">
        <f>'Option source'!B714</f>
        <v>150.25</v>
      </c>
      <c r="H59" s="7">
        <f>'Option source'!B695</f>
        <v>97.41</v>
      </c>
      <c r="I59" s="7"/>
      <c r="J59" s="7">
        <f t="shared" si="0"/>
        <v>-44.569999999999993</v>
      </c>
      <c r="K59" s="7">
        <f t="shared" si="1"/>
        <v>200</v>
      </c>
      <c r="L59" s="7">
        <f t="shared" si="2"/>
        <v>244.57</v>
      </c>
      <c r="M59" s="7">
        <f t="shared" si="3"/>
        <v>5955.43</v>
      </c>
      <c r="N59" s="7">
        <f t="shared" si="4"/>
        <v>5955.43</v>
      </c>
      <c r="O59" s="7" t="str">
        <f t="shared" si="5"/>
        <v>n.a.</v>
      </c>
      <c r="P59" s="15" t="str">
        <f t="shared" si="6"/>
        <v>n.a.</v>
      </c>
      <c r="Q59" s="7">
        <f>J59*'Model inputs'!$B$8</f>
        <v>-4456.9999999999991</v>
      </c>
      <c r="R59" s="1" t="s">
        <v>162</v>
      </c>
      <c r="S59" s="1">
        <v>709</v>
      </c>
      <c r="T59" s="1">
        <v>690</v>
      </c>
    </row>
    <row r="60" spans="1:20" ht="21" customHeight="1">
      <c r="A60" s="8">
        <v>46281</v>
      </c>
      <c r="B60" s="1" t="s">
        <v>36</v>
      </c>
      <c r="C60" s="1" t="s">
        <v>87</v>
      </c>
      <c r="D60" s="7">
        <v>7200</v>
      </c>
      <c r="E60" s="7">
        <v>7400</v>
      </c>
      <c r="F60" s="7"/>
      <c r="G60" s="7">
        <f>'Option source'!B296</f>
        <v>213.18</v>
      </c>
      <c r="H60" s="7">
        <f>'Option source'!B315</f>
        <v>157.13999999999999</v>
      </c>
      <c r="I60" s="7"/>
      <c r="J60" s="7">
        <f t="shared" si="0"/>
        <v>-101.09999999999997</v>
      </c>
      <c r="K60" s="7">
        <f t="shared" si="1"/>
        <v>200</v>
      </c>
      <c r="L60" s="7">
        <f t="shared" si="2"/>
        <v>301.09999999999997</v>
      </c>
      <c r="M60" s="7" t="str">
        <f t="shared" si="3"/>
        <v>Unlimited</v>
      </c>
      <c r="N60" s="7" t="str">
        <f t="shared" si="4"/>
        <v>n.a.</v>
      </c>
      <c r="O60" s="7">
        <f t="shared" si="5"/>
        <v>7701.1</v>
      </c>
      <c r="P60" s="15" t="str">
        <f t="shared" si="6"/>
        <v>n.a.</v>
      </c>
      <c r="Q60" s="7">
        <f>J60*'Model inputs'!$B$8</f>
        <v>-10109.999999999996</v>
      </c>
      <c r="R60" s="1" t="s">
        <v>162</v>
      </c>
      <c r="S60" s="1">
        <v>291</v>
      </c>
      <c r="T60" s="1">
        <v>310</v>
      </c>
    </row>
    <row r="61" spans="1:20" ht="21" customHeight="1">
      <c r="A61" s="8">
        <v>46281</v>
      </c>
      <c r="B61" s="1" t="s">
        <v>36</v>
      </c>
      <c r="C61" s="1" t="s">
        <v>90</v>
      </c>
      <c r="D61" s="7">
        <v>7600</v>
      </c>
      <c r="E61" s="7">
        <v>7400</v>
      </c>
      <c r="F61" s="7"/>
      <c r="G61" s="7">
        <f>'Option source'!B828</f>
        <v>857</v>
      </c>
      <c r="H61" s="7">
        <f>'Option source'!B809</f>
        <v>677.83</v>
      </c>
      <c r="I61" s="7"/>
      <c r="J61" s="7">
        <f t="shared" si="0"/>
        <v>-498.66000000000008</v>
      </c>
      <c r="K61" s="7">
        <f t="shared" si="1"/>
        <v>200</v>
      </c>
      <c r="L61" s="7">
        <f t="shared" si="2"/>
        <v>698.66000000000008</v>
      </c>
      <c r="M61" s="7">
        <f t="shared" si="3"/>
        <v>6701.34</v>
      </c>
      <c r="N61" s="7">
        <f t="shared" si="4"/>
        <v>6701.34</v>
      </c>
      <c r="O61" s="7" t="str">
        <f t="shared" si="5"/>
        <v>n.a.</v>
      </c>
      <c r="P61" s="15" t="str">
        <f t="shared" si="6"/>
        <v>n.a.</v>
      </c>
      <c r="Q61" s="7">
        <f>J61*'Model inputs'!$B$8</f>
        <v>-49866.000000000007</v>
      </c>
      <c r="R61" s="1" t="s">
        <v>162</v>
      </c>
      <c r="S61" s="1">
        <v>823</v>
      </c>
      <c r="T61" s="1">
        <v>804</v>
      </c>
    </row>
    <row r="62" spans="1:20" ht="21" customHeight="1">
      <c r="A62" s="8">
        <v>46281</v>
      </c>
      <c r="B62" s="1" t="s">
        <v>36</v>
      </c>
      <c r="C62" s="1" t="s">
        <v>90</v>
      </c>
      <c r="D62" s="7">
        <v>6200</v>
      </c>
      <c r="E62" s="7">
        <v>6000</v>
      </c>
      <c r="F62" s="7"/>
      <c r="G62" s="7">
        <f>'Option source'!B695</f>
        <v>97.41</v>
      </c>
      <c r="H62" s="7">
        <f>'Option source'!B676</f>
        <v>56.82</v>
      </c>
      <c r="I62" s="7"/>
      <c r="J62" s="7">
        <f t="shared" si="0"/>
        <v>-16.230000000000004</v>
      </c>
      <c r="K62" s="7">
        <f t="shared" si="1"/>
        <v>200</v>
      </c>
      <c r="L62" s="7">
        <f t="shared" si="2"/>
        <v>216.23000000000002</v>
      </c>
      <c r="M62" s="7">
        <f t="shared" si="3"/>
        <v>5783.77</v>
      </c>
      <c r="N62" s="7">
        <f t="shared" si="4"/>
        <v>5783.77</v>
      </c>
      <c r="O62" s="7" t="str">
        <f t="shared" si="5"/>
        <v>n.a.</v>
      </c>
      <c r="P62" s="15" t="str">
        <f t="shared" si="6"/>
        <v>n.a.</v>
      </c>
      <c r="Q62" s="7">
        <f>J62*'Model inputs'!$B$8</f>
        <v>-1623.0000000000005</v>
      </c>
      <c r="R62" s="1" t="s">
        <v>162</v>
      </c>
      <c r="S62" s="1">
        <v>690</v>
      </c>
      <c r="T62" s="1">
        <v>671</v>
      </c>
    </row>
    <row r="63" spans="1:20" ht="21" customHeight="1">
      <c r="A63" s="8">
        <v>46281</v>
      </c>
      <c r="B63" s="1" t="s">
        <v>36</v>
      </c>
      <c r="C63" s="1" t="s">
        <v>87</v>
      </c>
      <c r="D63" s="7">
        <v>7400</v>
      </c>
      <c r="E63" s="7">
        <v>7600</v>
      </c>
      <c r="F63" s="7"/>
      <c r="G63" s="7">
        <f>'Option source'!B315</f>
        <v>157.13999999999999</v>
      </c>
      <c r="H63" s="7">
        <f>'Option source'!B334</f>
        <v>107.66</v>
      </c>
      <c r="I63" s="7"/>
      <c r="J63" s="7">
        <f t="shared" si="0"/>
        <v>-58.180000000000007</v>
      </c>
      <c r="K63" s="7">
        <f t="shared" si="1"/>
        <v>200</v>
      </c>
      <c r="L63" s="7">
        <f t="shared" si="2"/>
        <v>258.18</v>
      </c>
      <c r="M63" s="7" t="str">
        <f t="shared" si="3"/>
        <v>Unlimited</v>
      </c>
      <c r="N63" s="7" t="str">
        <f t="shared" si="4"/>
        <v>n.a.</v>
      </c>
      <c r="O63" s="7">
        <f t="shared" si="5"/>
        <v>7858.18</v>
      </c>
      <c r="P63" s="15" t="str">
        <f t="shared" si="6"/>
        <v>n.a.</v>
      </c>
      <c r="Q63" s="7">
        <f>J63*'Model inputs'!$B$8</f>
        <v>-5818.0000000000009</v>
      </c>
      <c r="R63" s="1" t="s">
        <v>162</v>
      </c>
      <c r="S63" s="1">
        <v>310</v>
      </c>
      <c r="T63" s="1">
        <v>329</v>
      </c>
    </row>
    <row r="64" spans="1:20" ht="21" customHeight="1">
      <c r="A64" s="8">
        <v>46281</v>
      </c>
      <c r="B64" s="1" t="s">
        <v>36</v>
      </c>
      <c r="C64" s="1" t="s">
        <v>90</v>
      </c>
      <c r="D64" s="7">
        <v>6000</v>
      </c>
      <c r="E64" s="7">
        <v>5800</v>
      </c>
      <c r="F64" s="7"/>
      <c r="G64" s="7">
        <f>'Option source'!B676</f>
        <v>56.82</v>
      </c>
      <c r="H64" s="7">
        <f>'Option source'!B657</f>
        <v>31.98</v>
      </c>
      <c r="I64" s="7"/>
      <c r="J64" s="7">
        <f t="shared" si="0"/>
        <v>-7.1400000000000006</v>
      </c>
      <c r="K64" s="7">
        <f t="shared" si="1"/>
        <v>200</v>
      </c>
      <c r="L64" s="7">
        <f t="shared" si="2"/>
        <v>207.14</v>
      </c>
      <c r="M64" s="7">
        <f t="shared" si="3"/>
        <v>5592.86</v>
      </c>
      <c r="N64" s="7">
        <f t="shared" si="4"/>
        <v>5592.86</v>
      </c>
      <c r="O64" s="7" t="str">
        <f t="shared" si="5"/>
        <v>n.a.</v>
      </c>
      <c r="P64" s="15" t="str">
        <f t="shared" si="6"/>
        <v>n.a.</v>
      </c>
      <c r="Q64" s="7">
        <f>J64*'Model inputs'!$B$8</f>
        <v>-714</v>
      </c>
      <c r="R64" s="1" t="s">
        <v>162</v>
      </c>
      <c r="S64" s="1">
        <v>671</v>
      </c>
      <c r="T64" s="1">
        <v>652</v>
      </c>
    </row>
    <row r="65" spans="1:20" ht="21" customHeight="1">
      <c r="A65" s="8">
        <v>46281</v>
      </c>
      <c r="B65" s="1" t="s">
        <v>36</v>
      </c>
      <c r="C65" s="1" t="s">
        <v>87</v>
      </c>
      <c r="D65" s="7">
        <v>7600</v>
      </c>
      <c r="E65" s="7">
        <v>7800</v>
      </c>
      <c r="F65" s="7"/>
      <c r="G65" s="7">
        <f>'Option source'!B334</f>
        <v>107.66</v>
      </c>
      <c r="H65" s="7">
        <f>'Option source'!B353</f>
        <v>75.86</v>
      </c>
      <c r="I65" s="7"/>
      <c r="J65" s="7">
        <f t="shared" si="0"/>
        <v>-44.06</v>
      </c>
      <c r="K65" s="7">
        <f t="shared" si="1"/>
        <v>200</v>
      </c>
      <c r="L65" s="7">
        <f t="shared" si="2"/>
        <v>244.06</v>
      </c>
      <c r="M65" s="7" t="str">
        <f t="shared" si="3"/>
        <v>Unlimited</v>
      </c>
      <c r="N65" s="7" t="str">
        <f t="shared" si="4"/>
        <v>n.a.</v>
      </c>
      <c r="O65" s="7">
        <f t="shared" si="5"/>
        <v>8044.06</v>
      </c>
      <c r="P65" s="15" t="str">
        <f t="shared" si="6"/>
        <v>n.a.</v>
      </c>
      <c r="Q65" s="7">
        <f>J65*'Model inputs'!$B$8</f>
        <v>-4406</v>
      </c>
      <c r="R65" s="1" t="s">
        <v>162</v>
      </c>
      <c r="S65" s="1">
        <v>329</v>
      </c>
      <c r="T65" s="1">
        <v>348</v>
      </c>
    </row>
    <row r="66" spans="1:20" ht="21" customHeight="1">
      <c r="A66" s="8">
        <v>46281</v>
      </c>
      <c r="B66" s="1" t="s">
        <v>36</v>
      </c>
      <c r="C66" s="1" t="s">
        <v>90</v>
      </c>
      <c r="D66" s="7">
        <v>5800</v>
      </c>
      <c r="E66" s="7">
        <v>5600</v>
      </c>
      <c r="F66" s="7"/>
      <c r="G66" s="7">
        <f>'Option source'!B657</f>
        <v>31.98</v>
      </c>
      <c r="H66" s="7">
        <f>'Option source'!B638</f>
        <v>17.149999999999999</v>
      </c>
      <c r="I66" s="7"/>
      <c r="J66" s="7">
        <f t="shared" si="0"/>
        <v>-2.3199999999999967</v>
      </c>
      <c r="K66" s="7">
        <f t="shared" si="1"/>
        <v>200</v>
      </c>
      <c r="L66" s="7">
        <f t="shared" si="2"/>
        <v>202.32</v>
      </c>
      <c r="M66" s="7">
        <f t="shared" si="3"/>
        <v>5397.68</v>
      </c>
      <c r="N66" s="7">
        <f t="shared" si="4"/>
        <v>5397.68</v>
      </c>
      <c r="O66" s="7" t="str">
        <f t="shared" si="5"/>
        <v>n.a.</v>
      </c>
      <c r="P66" s="15" t="str">
        <f t="shared" si="6"/>
        <v>n.a.</v>
      </c>
      <c r="Q66" s="7">
        <f>J66*'Model inputs'!$B$8</f>
        <v>-231.99999999999966</v>
      </c>
      <c r="R66" s="1" t="s">
        <v>162</v>
      </c>
      <c r="S66" s="1">
        <v>652</v>
      </c>
      <c r="T66" s="1">
        <v>633</v>
      </c>
    </row>
    <row r="67" spans="1:20" ht="21" customHeight="1">
      <c r="A67" s="8">
        <v>46281</v>
      </c>
      <c r="B67" s="1" t="s">
        <v>36</v>
      </c>
      <c r="C67" s="1" t="s">
        <v>87</v>
      </c>
      <c r="D67" s="7">
        <v>7800</v>
      </c>
      <c r="E67" s="7">
        <v>8000</v>
      </c>
      <c r="F67" s="7"/>
      <c r="G67" s="7">
        <f>'Option source'!B353</f>
        <v>75.86</v>
      </c>
      <c r="H67" s="7">
        <f>'Option source'!B372</f>
        <v>54.71</v>
      </c>
      <c r="I67" s="7"/>
      <c r="J67" s="7">
        <f t="shared" si="0"/>
        <v>-33.56</v>
      </c>
      <c r="K67" s="7">
        <f t="shared" si="1"/>
        <v>200</v>
      </c>
      <c r="L67" s="7">
        <f t="shared" si="2"/>
        <v>233.56</v>
      </c>
      <c r="M67" s="7" t="str">
        <f t="shared" si="3"/>
        <v>Unlimited</v>
      </c>
      <c r="N67" s="7" t="str">
        <f t="shared" si="4"/>
        <v>n.a.</v>
      </c>
      <c r="O67" s="7">
        <f t="shared" si="5"/>
        <v>8233.56</v>
      </c>
      <c r="P67" s="15" t="str">
        <f t="shared" si="6"/>
        <v>n.a.</v>
      </c>
      <c r="Q67" s="7">
        <f>J67*'Model inputs'!$B$8</f>
        <v>-3356</v>
      </c>
      <c r="R67" s="1" t="s">
        <v>162</v>
      </c>
      <c r="S67" s="1">
        <v>348</v>
      </c>
      <c r="T67" s="1">
        <v>367</v>
      </c>
    </row>
    <row r="68" spans="1:20" ht="21" customHeight="1">
      <c r="A68" s="8">
        <v>46281</v>
      </c>
      <c r="B68" s="1" t="s">
        <v>36</v>
      </c>
      <c r="C68" s="1" t="s">
        <v>90</v>
      </c>
      <c r="D68" s="7">
        <v>5600</v>
      </c>
      <c r="E68" s="7">
        <v>5400</v>
      </c>
      <c r="F68" s="7"/>
      <c r="G68" s="7">
        <f>'Option source'!B638</f>
        <v>17.149999999999999</v>
      </c>
      <c r="H68" s="7">
        <f>'Option source'!B619</f>
        <v>9.02</v>
      </c>
      <c r="I68" s="7"/>
      <c r="J68" s="7">
        <f t="shared" si="0"/>
        <v>-0.89000000000000057</v>
      </c>
      <c r="K68" s="7">
        <f t="shared" si="1"/>
        <v>200</v>
      </c>
      <c r="L68" s="7">
        <f t="shared" si="2"/>
        <v>200.89</v>
      </c>
      <c r="M68" s="7">
        <f t="shared" si="3"/>
        <v>5199.1099999999997</v>
      </c>
      <c r="N68" s="7">
        <f t="shared" si="4"/>
        <v>5199.1099999999997</v>
      </c>
      <c r="O68" s="7" t="str">
        <f t="shared" si="5"/>
        <v>n.a.</v>
      </c>
      <c r="P68" s="15" t="str">
        <f t="shared" si="6"/>
        <v>n.a.</v>
      </c>
      <c r="Q68" s="7">
        <f>J68*'Model inputs'!$B$8</f>
        <v>-89.000000000000057</v>
      </c>
      <c r="R68" s="1" t="s">
        <v>162</v>
      </c>
      <c r="S68" s="1">
        <v>633</v>
      </c>
      <c r="T68" s="1">
        <v>614</v>
      </c>
    </row>
    <row r="69" spans="1:20" ht="21" customHeight="1">
      <c r="A69" s="8">
        <v>46281</v>
      </c>
      <c r="B69" s="1" t="s">
        <v>36</v>
      </c>
      <c r="C69" s="1" t="s">
        <v>87</v>
      </c>
      <c r="D69" s="7">
        <v>8000</v>
      </c>
      <c r="E69" s="7">
        <v>8300</v>
      </c>
      <c r="F69" s="7"/>
      <c r="G69" s="7">
        <f>'Option source'!B372</f>
        <v>54.71</v>
      </c>
      <c r="H69" s="7">
        <f>'Option source'!B391</f>
        <v>32.200000000000003</v>
      </c>
      <c r="I69" s="7"/>
      <c r="J69" s="7">
        <f t="shared" si="0"/>
        <v>-9.6900000000000048</v>
      </c>
      <c r="K69" s="7">
        <f t="shared" si="1"/>
        <v>300</v>
      </c>
      <c r="L69" s="7">
        <f t="shared" si="2"/>
        <v>309.69</v>
      </c>
      <c r="M69" s="7" t="str">
        <f t="shared" si="3"/>
        <v>Unlimited</v>
      </c>
      <c r="N69" s="7" t="str">
        <f t="shared" si="4"/>
        <v>n.a.</v>
      </c>
      <c r="O69" s="7">
        <f t="shared" si="5"/>
        <v>8609.69</v>
      </c>
      <c r="P69" s="15" t="str">
        <f t="shared" si="6"/>
        <v>n.a.</v>
      </c>
      <c r="Q69" s="7">
        <f>J69*'Model inputs'!$B$8</f>
        <v>-969.00000000000045</v>
      </c>
      <c r="R69" s="1" t="s">
        <v>162</v>
      </c>
      <c r="S69" s="1">
        <v>367</v>
      </c>
      <c r="T69" s="1">
        <v>386</v>
      </c>
    </row>
    <row r="70" spans="1:20" ht="21" customHeight="1">
      <c r="A70" s="8">
        <v>46281</v>
      </c>
      <c r="B70" s="1" t="s">
        <v>36</v>
      </c>
      <c r="C70" s="1" t="s">
        <v>90</v>
      </c>
      <c r="D70" s="7">
        <v>5400</v>
      </c>
      <c r="E70" s="7">
        <v>5200</v>
      </c>
      <c r="F70" s="7"/>
      <c r="G70" s="7">
        <f>'Option source'!B619</f>
        <v>9.02</v>
      </c>
      <c r="H70" s="7">
        <f>'Option source'!B600</f>
        <v>6.01</v>
      </c>
      <c r="I70" s="7"/>
      <c r="J70" s="7">
        <f t="shared" si="0"/>
        <v>-3</v>
      </c>
      <c r="K70" s="7">
        <f t="shared" si="1"/>
        <v>200</v>
      </c>
      <c r="L70" s="7">
        <f t="shared" si="2"/>
        <v>203</v>
      </c>
      <c r="M70" s="7">
        <f t="shared" si="3"/>
        <v>4997</v>
      </c>
      <c r="N70" s="7">
        <f t="shared" si="4"/>
        <v>4997</v>
      </c>
      <c r="O70" s="7" t="str">
        <f t="shared" si="5"/>
        <v>n.a.</v>
      </c>
      <c r="P70" s="15" t="str">
        <f t="shared" si="6"/>
        <v>n.a.</v>
      </c>
      <c r="Q70" s="7">
        <f>J70*'Model inputs'!$B$8</f>
        <v>-300</v>
      </c>
      <c r="R70" s="1" t="s">
        <v>162</v>
      </c>
      <c r="S70" s="1">
        <v>614</v>
      </c>
      <c r="T70" s="1">
        <v>595</v>
      </c>
    </row>
    <row r="71" spans="1:20" ht="21" customHeight="1">
      <c r="A71" s="8">
        <v>46281</v>
      </c>
      <c r="B71" s="1" t="s">
        <v>36</v>
      </c>
      <c r="C71" s="1" t="s">
        <v>90</v>
      </c>
      <c r="D71" s="7">
        <v>5200</v>
      </c>
      <c r="E71" s="7">
        <v>5000</v>
      </c>
      <c r="F71" s="7"/>
      <c r="G71" s="7">
        <f>'Option source'!B600</f>
        <v>6.01</v>
      </c>
      <c r="H71" s="7">
        <f>'Option source'!B581</f>
        <v>3.18</v>
      </c>
      <c r="I71" s="7"/>
      <c r="J71" s="7">
        <f t="shared" ref="J71:J134" si="7">G71-2*H71+IF(B71="Butterfly",I71,0)</f>
        <v>-0.35000000000000053</v>
      </c>
      <c r="K71" s="7">
        <f t="shared" ref="K71:K134" si="8">ABS(E71-D71)</f>
        <v>200</v>
      </c>
      <c r="L71" s="7">
        <f t="shared" ref="L71:L134" si="9">K71-J71</f>
        <v>200.35</v>
      </c>
      <c r="M71" s="7">
        <f t="shared" ref="M71:M134" si="10">IF(B71="Butterfly",MAX(J71,0),IF(C71="call","Unlimited",MAX(2*E71-D71+J71,J71,0)))</f>
        <v>4799.6499999999996</v>
      </c>
      <c r="N71" s="7">
        <f t="shared" ref="N71:N134" si="11">IF(B71="Butterfly",IF(AND(J71&gt;0,J71&lt;K71),D71+J71,"n.a."),IF(C71="call",IF(AND(J71&gt;0,J71&lt;K71),D71+J71,"n.a."),IF(AND(K71&gt;J71,2*E71-D71+J71&gt;=0),2*E71-D71+J71,"n.a.")))</f>
        <v>4799.6499999999996</v>
      </c>
      <c r="O71" s="7" t="str">
        <f t="shared" ref="O71:O134" si="12">IF(B71="Butterfly",IF(AND(J71&gt;0,J71&lt;K71),F71-J71,"n.a."),IF(C71="call",IF(K71&gt;J71,2*E71-D71-J71,"n.a."),IF(AND(J71&gt;0,J71&lt;K71),D71-J71,"n.a.")))</f>
        <v>n.a.</v>
      </c>
      <c r="P71" s="15" t="str">
        <f t="shared" ref="P71:P134" si="13">IF(AND(B71="Butterfly",J71&gt;0,J71&lt;K71),L71/J71,"n.a.")</f>
        <v>n.a.</v>
      </c>
      <c r="Q71" s="7">
        <f>J71*'Model inputs'!$B$8</f>
        <v>-35.000000000000057</v>
      </c>
      <c r="R71" s="1" t="s">
        <v>162</v>
      </c>
      <c r="S71" s="1">
        <v>595</v>
      </c>
      <c r="T71" s="1">
        <v>576</v>
      </c>
    </row>
    <row r="72" spans="1:20" ht="21" customHeight="1">
      <c r="A72" s="8">
        <v>46281</v>
      </c>
      <c r="B72" s="1" t="s">
        <v>36</v>
      </c>
      <c r="C72" s="1" t="s">
        <v>87</v>
      </c>
      <c r="D72" s="7">
        <v>8300</v>
      </c>
      <c r="E72" s="7">
        <v>8600</v>
      </c>
      <c r="F72" s="7"/>
      <c r="G72" s="7">
        <f>'Option source'!B391</f>
        <v>32.200000000000003</v>
      </c>
      <c r="H72" s="7">
        <f>'Option source'!B410</f>
        <v>17.940000000000001</v>
      </c>
      <c r="I72" s="7"/>
      <c r="J72" s="7">
        <f t="shared" si="7"/>
        <v>-3.6799999999999997</v>
      </c>
      <c r="K72" s="7">
        <f t="shared" si="8"/>
        <v>300</v>
      </c>
      <c r="L72" s="7">
        <f t="shared" si="9"/>
        <v>303.68</v>
      </c>
      <c r="M72" s="7" t="str">
        <f t="shared" si="10"/>
        <v>Unlimited</v>
      </c>
      <c r="N72" s="7" t="str">
        <f t="shared" si="11"/>
        <v>n.a.</v>
      </c>
      <c r="O72" s="7">
        <f t="shared" si="12"/>
        <v>8903.68</v>
      </c>
      <c r="P72" s="15" t="str">
        <f t="shared" si="13"/>
        <v>n.a.</v>
      </c>
      <c r="Q72" s="7">
        <f>J72*'Model inputs'!$B$8</f>
        <v>-368</v>
      </c>
      <c r="R72" s="1" t="s">
        <v>162</v>
      </c>
      <c r="S72" s="1">
        <v>386</v>
      </c>
      <c r="T72" s="1">
        <v>405</v>
      </c>
    </row>
    <row r="73" spans="1:20" ht="21" customHeight="1">
      <c r="A73" s="8">
        <v>46281</v>
      </c>
      <c r="B73" s="1" t="s">
        <v>36</v>
      </c>
      <c r="C73" s="1" t="s">
        <v>90</v>
      </c>
      <c r="D73" s="7">
        <v>5000</v>
      </c>
      <c r="E73" s="7">
        <v>4800</v>
      </c>
      <c r="F73" s="7"/>
      <c r="G73" s="7">
        <f>'Option source'!B581</f>
        <v>3.18</v>
      </c>
      <c r="H73" s="7">
        <f>'Option source'!B562</f>
        <v>1.93</v>
      </c>
      <c r="I73" s="7"/>
      <c r="J73" s="7">
        <f t="shared" si="7"/>
        <v>-0.67999999999999972</v>
      </c>
      <c r="K73" s="7">
        <f t="shared" si="8"/>
        <v>200</v>
      </c>
      <c r="L73" s="7">
        <f t="shared" si="9"/>
        <v>200.68</v>
      </c>
      <c r="M73" s="7">
        <f t="shared" si="10"/>
        <v>4599.32</v>
      </c>
      <c r="N73" s="7">
        <f t="shared" si="11"/>
        <v>4599.32</v>
      </c>
      <c r="O73" s="7" t="str">
        <f t="shared" si="12"/>
        <v>n.a.</v>
      </c>
      <c r="P73" s="15" t="str">
        <f t="shared" si="13"/>
        <v>n.a.</v>
      </c>
      <c r="Q73" s="7">
        <f>J73*'Model inputs'!$B$8</f>
        <v>-67.999999999999972</v>
      </c>
      <c r="R73" s="1" t="s">
        <v>162</v>
      </c>
      <c r="S73" s="1">
        <v>576</v>
      </c>
      <c r="T73" s="1">
        <v>557</v>
      </c>
    </row>
    <row r="74" spans="1:20" ht="21" customHeight="1">
      <c r="A74" s="8">
        <v>46281</v>
      </c>
      <c r="B74" s="1" t="s">
        <v>36</v>
      </c>
      <c r="C74" s="1" t="s">
        <v>87</v>
      </c>
      <c r="D74" s="7">
        <v>8600</v>
      </c>
      <c r="E74" s="7">
        <v>8900</v>
      </c>
      <c r="F74" s="7"/>
      <c r="G74" s="7">
        <f>'Option source'!B410</f>
        <v>17.940000000000001</v>
      </c>
      <c r="H74" s="7">
        <f>'Option source'!B429</f>
        <v>9.99</v>
      </c>
      <c r="I74" s="7"/>
      <c r="J74" s="7">
        <f t="shared" si="7"/>
        <v>-2.0399999999999991</v>
      </c>
      <c r="K74" s="7">
        <f t="shared" si="8"/>
        <v>300</v>
      </c>
      <c r="L74" s="7">
        <f t="shared" si="9"/>
        <v>302.04000000000002</v>
      </c>
      <c r="M74" s="7" t="str">
        <f t="shared" si="10"/>
        <v>Unlimited</v>
      </c>
      <c r="N74" s="7" t="str">
        <f t="shared" si="11"/>
        <v>n.a.</v>
      </c>
      <c r="O74" s="7">
        <f t="shared" si="12"/>
        <v>9202.0400000000009</v>
      </c>
      <c r="P74" s="15" t="str">
        <f t="shared" si="13"/>
        <v>n.a.</v>
      </c>
      <c r="Q74" s="7">
        <f>J74*'Model inputs'!$B$8</f>
        <v>-203.99999999999991</v>
      </c>
      <c r="R74" s="1" t="s">
        <v>162</v>
      </c>
      <c r="S74" s="1">
        <v>405</v>
      </c>
      <c r="T74" s="1">
        <v>424</v>
      </c>
    </row>
    <row r="75" spans="1:20" ht="21" customHeight="1">
      <c r="A75" s="8">
        <v>46281</v>
      </c>
      <c r="B75" s="1" t="s">
        <v>36</v>
      </c>
      <c r="C75" s="1" t="s">
        <v>90</v>
      </c>
      <c r="D75" s="7">
        <v>4800</v>
      </c>
      <c r="E75" s="7">
        <v>4600</v>
      </c>
      <c r="F75" s="7"/>
      <c r="G75" s="7">
        <f>'Option source'!B562</f>
        <v>1.93</v>
      </c>
      <c r="H75" s="7">
        <f>'Option source'!B543</f>
        <v>1.62</v>
      </c>
      <c r="I75" s="7"/>
      <c r="J75" s="7">
        <f t="shared" si="7"/>
        <v>-1.3100000000000003</v>
      </c>
      <c r="K75" s="7">
        <f t="shared" si="8"/>
        <v>200</v>
      </c>
      <c r="L75" s="7">
        <f t="shared" si="9"/>
        <v>201.31</v>
      </c>
      <c r="M75" s="7">
        <f t="shared" si="10"/>
        <v>4398.6899999999996</v>
      </c>
      <c r="N75" s="7">
        <f t="shared" si="11"/>
        <v>4398.6899999999996</v>
      </c>
      <c r="O75" s="7" t="str">
        <f t="shared" si="12"/>
        <v>n.a.</v>
      </c>
      <c r="P75" s="15" t="str">
        <f t="shared" si="13"/>
        <v>n.a.</v>
      </c>
      <c r="Q75" s="7">
        <f>J75*'Model inputs'!$B$8</f>
        <v>-131.00000000000003</v>
      </c>
      <c r="R75" s="1" t="s">
        <v>162</v>
      </c>
      <c r="S75" s="1">
        <v>557</v>
      </c>
      <c r="T75" s="1">
        <v>538</v>
      </c>
    </row>
    <row r="76" spans="1:20" ht="21" customHeight="1">
      <c r="A76" s="8">
        <v>46281</v>
      </c>
      <c r="B76" s="1" t="s">
        <v>36</v>
      </c>
      <c r="C76" s="1" t="s">
        <v>90</v>
      </c>
      <c r="D76" s="7">
        <v>4600</v>
      </c>
      <c r="E76" s="7">
        <v>4400</v>
      </c>
      <c r="F76" s="7"/>
      <c r="G76" s="7">
        <f>'Option source'!B543</f>
        <v>1.62</v>
      </c>
      <c r="H76" s="7">
        <f>'Option source'!B524</f>
        <v>0.91</v>
      </c>
      <c r="I76" s="7"/>
      <c r="J76" s="7">
        <f t="shared" si="7"/>
        <v>-0.19999999999999996</v>
      </c>
      <c r="K76" s="7">
        <f t="shared" si="8"/>
        <v>200</v>
      </c>
      <c r="L76" s="7">
        <f t="shared" si="9"/>
        <v>200.2</v>
      </c>
      <c r="M76" s="7">
        <f t="shared" si="10"/>
        <v>4199.8</v>
      </c>
      <c r="N76" s="7">
        <f t="shared" si="11"/>
        <v>4199.8</v>
      </c>
      <c r="O76" s="7" t="str">
        <f t="shared" si="12"/>
        <v>n.a.</v>
      </c>
      <c r="P76" s="15" t="str">
        <f t="shared" si="13"/>
        <v>n.a.</v>
      </c>
      <c r="Q76" s="7">
        <f>J76*'Model inputs'!$B$8</f>
        <v>-19.999999999999996</v>
      </c>
      <c r="R76" s="1" t="s">
        <v>162</v>
      </c>
      <c r="S76" s="1">
        <v>538</v>
      </c>
      <c r="T76" s="1">
        <v>519</v>
      </c>
    </row>
    <row r="77" spans="1:20" ht="21" customHeight="1">
      <c r="A77" s="8">
        <v>46281</v>
      </c>
      <c r="B77" s="1" t="s">
        <v>36</v>
      </c>
      <c r="C77" s="1" t="s">
        <v>87</v>
      </c>
      <c r="D77" s="7">
        <v>8900</v>
      </c>
      <c r="E77" s="7">
        <v>9200</v>
      </c>
      <c r="F77" s="7"/>
      <c r="G77" s="7">
        <f>'Option source'!B429</f>
        <v>9.99</v>
      </c>
      <c r="H77" s="7">
        <f>'Option source'!B448</f>
        <v>3.53</v>
      </c>
      <c r="I77" s="7"/>
      <c r="J77" s="7">
        <f t="shared" si="7"/>
        <v>2.9300000000000006</v>
      </c>
      <c r="K77" s="7">
        <f t="shared" si="8"/>
        <v>300</v>
      </c>
      <c r="L77" s="7">
        <f t="shared" si="9"/>
        <v>297.07</v>
      </c>
      <c r="M77" s="7" t="str">
        <f t="shared" si="10"/>
        <v>Unlimited</v>
      </c>
      <c r="N77" s="7">
        <f t="shared" si="11"/>
        <v>8902.93</v>
      </c>
      <c r="O77" s="7">
        <f t="shared" si="12"/>
        <v>9497.07</v>
      </c>
      <c r="P77" s="15" t="str">
        <f t="shared" si="13"/>
        <v>n.a.</v>
      </c>
      <c r="Q77" s="7">
        <f>J77*'Model inputs'!$B$8</f>
        <v>293.00000000000006</v>
      </c>
      <c r="R77" s="1" t="s">
        <v>162</v>
      </c>
      <c r="S77" s="1">
        <v>424</v>
      </c>
      <c r="T77" s="1">
        <v>443</v>
      </c>
    </row>
    <row r="78" spans="1:20" ht="21" customHeight="1">
      <c r="A78" s="8">
        <v>46281</v>
      </c>
      <c r="B78" s="1" t="s">
        <v>36</v>
      </c>
      <c r="C78" s="1" t="s">
        <v>90</v>
      </c>
      <c r="D78" s="7">
        <v>4400</v>
      </c>
      <c r="E78" s="7">
        <v>4200</v>
      </c>
      <c r="F78" s="7"/>
      <c r="G78" s="7">
        <f>'Option source'!B524</f>
        <v>0.91</v>
      </c>
      <c r="H78" s="7">
        <f>'Option source'!B505</f>
        <v>1.21</v>
      </c>
      <c r="I78" s="7"/>
      <c r="J78" s="7">
        <f t="shared" si="7"/>
        <v>-1.5099999999999998</v>
      </c>
      <c r="K78" s="7">
        <f t="shared" si="8"/>
        <v>200</v>
      </c>
      <c r="L78" s="7">
        <f t="shared" si="9"/>
        <v>201.51</v>
      </c>
      <c r="M78" s="7">
        <f t="shared" si="10"/>
        <v>3998.49</v>
      </c>
      <c r="N78" s="7">
        <f t="shared" si="11"/>
        <v>3998.49</v>
      </c>
      <c r="O78" s="7" t="str">
        <f t="shared" si="12"/>
        <v>n.a.</v>
      </c>
      <c r="P78" s="15" t="str">
        <f t="shared" si="13"/>
        <v>n.a.</v>
      </c>
      <c r="Q78" s="7">
        <f>J78*'Model inputs'!$B$8</f>
        <v>-150.99999999999997</v>
      </c>
      <c r="R78" s="1" t="s">
        <v>162</v>
      </c>
      <c r="S78" s="1">
        <v>519</v>
      </c>
      <c r="T78" s="1">
        <v>500</v>
      </c>
    </row>
    <row r="79" spans="1:20" ht="21" customHeight="1">
      <c r="A79" s="8">
        <v>46281</v>
      </c>
      <c r="B79" s="1" t="s">
        <v>36</v>
      </c>
      <c r="C79" s="1" t="s">
        <v>87</v>
      </c>
      <c r="D79" s="7">
        <v>9200</v>
      </c>
      <c r="E79" s="7">
        <v>9500</v>
      </c>
      <c r="F79" s="7"/>
      <c r="G79" s="7">
        <f>'Option source'!B448</f>
        <v>3.53</v>
      </c>
      <c r="H79" s="7">
        <f>'Option source'!B467</f>
        <v>3.44</v>
      </c>
      <c r="I79" s="7"/>
      <c r="J79" s="7">
        <f t="shared" si="7"/>
        <v>-3.35</v>
      </c>
      <c r="K79" s="7">
        <f t="shared" si="8"/>
        <v>300</v>
      </c>
      <c r="L79" s="7">
        <f t="shared" si="9"/>
        <v>303.35000000000002</v>
      </c>
      <c r="M79" s="7" t="str">
        <f t="shared" si="10"/>
        <v>Unlimited</v>
      </c>
      <c r="N79" s="7" t="str">
        <f t="shared" si="11"/>
        <v>n.a.</v>
      </c>
      <c r="O79" s="7">
        <f t="shared" si="12"/>
        <v>9803.35</v>
      </c>
      <c r="P79" s="15" t="str">
        <f t="shared" si="13"/>
        <v>n.a.</v>
      </c>
      <c r="Q79" s="7">
        <f>J79*'Model inputs'!$B$8</f>
        <v>-335</v>
      </c>
      <c r="R79" s="1" t="s">
        <v>162</v>
      </c>
      <c r="S79" s="1">
        <v>443</v>
      </c>
      <c r="T79" s="1">
        <v>462</v>
      </c>
    </row>
    <row r="80" spans="1:20" ht="21" customHeight="1">
      <c r="A80" s="8">
        <v>46281</v>
      </c>
      <c r="B80" s="1" t="s">
        <v>36</v>
      </c>
      <c r="C80" s="1" t="s">
        <v>87</v>
      </c>
      <c r="D80" s="7">
        <v>9500</v>
      </c>
      <c r="E80" s="7">
        <v>9900</v>
      </c>
      <c r="F80" s="7"/>
      <c r="G80" s="7">
        <f>'Option source'!B467</f>
        <v>3.44</v>
      </c>
      <c r="H80" s="7">
        <f>'Option source'!B486</f>
        <v>2.06</v>
      </c>
      <c r="I80" s="7"/>
      <c r="J80" s="7">
        <f t="shared" si="7"/>
        <v>-0.68000000000000016</v>
      </c>
      <c r="K80" s="7">
        <f t="shared" si="8"/>
        <v>400</v>
      </c>
      <c r="L80" s="7">
        <f t="shared" si="9"/>
        <v>400.68</v>
      </c>
      <c r="M80" s="7" t="str">
        <f t="shared" si="10"/>
        <v>Unlimited</v>
      </c>
      <c r="N80" s="7" t="str">
        <f t="shared" si="11"/>
        <v>n.a.</v>
      </c>
      <c r="O80" s="7">
        <f t="shared" si="12"/>
        <v>10300.68</v>
      </c>
      <c r="P80" s="15" t="str">
        <f t="shared" si="13"/>
        <v>n.a.</v>
      </c>
      <c r="Q80" s="7">
        <f>J80*'Model inputs'!$B$8</f>
        <v>-68.000000000000014</v>
      </c>
      <c r="R80" s="1" t="s">
        <v>162</v>
      </c>
      <c r="S80" s="1">
        <v>462</v>
      </c>
      <c r="T80" s="1">
        <v>481</v>
      </c>
    </row>
    <row r="81" spans="1:20" ht="21" customHeight="1">
      <c r="A81" s="8">
        <v>46281</v>
      </c>
      <c r="B81" s="1" t="s">
        <v>36</v>
      </c>
      <c r="C81" s="1" t="s">
        <v>87</v>
      </c>
      <c r="D81" s="7">
        <v>6200</v>
      </c>
      <c r="E81" s="7">
        <v>6400</v>
      </c>
      <c r="F81" s="7"/>
      <c r="G81" s="7">
        <f>'Option source'!B201</f>
        <v>704.74</v>
      </c>
      <c r="H81" s="7">
        <f>'Option source'!B220</f>
        <v>616.1</v>
      </c>
      <c r="I81" s="7"/>
      <c r="J81" s="7">
        <f t="shared" si="7"/>
        <v>-527.46</v>
      </c>
      <c r="K81" s="7">
        <f t="shared" si="8"/>
        <v>200</v>
      </c>
      <c r="L81" s="7">
        <f t="shared" si="9"/>
        <v>727.46</v>
      </c>
      <c r="M81" s="7" t="str">
        <f t="shared" si="10"/>
        <v>Unlimited</v>
      </c>
      <c r="N81" s="7" t="str">
        <f t="shared" si="11"/>
        <v>n.a.</v>
      </c>
      <c r="O81" s="7">
        <f t="shared" si="12"/>
        <v>7127.46</v>
      </c>
      <c r="P81" s="15" t="str">
        <f t="shared" si="13"/>
        <v>n.a.</v>
      </c>
      <c r="Q81" s="7">
        <f>J81*'Model inputs'!$B$8</f>
        <v>-52746</v>
      </c>
      <c r="R81" s="1" t="s">
        <v>164</v>
      </c>
      <c r="S81" s="1">
        <v>196</v>
      </c>
      <c r="T81" s="1">
        <v>215</v>
      </c>
    </row>
    <row r="82" spans="1:20" ht="21" customHeight="1">
      <c r="A82" s="8">
        <v>46281</v>
      </c>
      <c r="B82" s="1" t="s">
        <v>36</v>
      </c>
      <c r="C82" s="1" t="s">
        <v>87</v>
      </c>
      <c r="D82" s="7">
        <v>6000</v>
      </c>
      <c r="E82" s="7">
        <v>6200</v>
      </c>
      <c r="F82" s="7"/>
      <c r="G82" s="7">
        <f>'Option source'!B182</f>
        <v>916.41</v>
      </c>
      <c r="H82" s="7">
        <f>'Option source'!B201</f>
        <v>704.74</v>
      </c>
      <c r="I82" s="7"/>
      <c r="J82" s="7">
        <f t="shared" si="7"/>
        <v>-493.07000000000005</v>
      </c>
      <c r="K82" s="7">
        <f t="shared" si="8"/>
        <v>200</v>
      </c>
      <c r="L82" s="7">
        <f t="shared" si="9"/>
        <v>693.07</v>
      </c>
      <c r="M82" s="7" t="str">
        <f t="shared" si="10"/>
        <v>Unlimited</v>
      </c>
      <c r="N82" s="7" t="str">
        <f t="shared" si="11"/>
        <v>n.a.</v>
      </c>
      <c r="O82" s="7">
        <f t="shared" si="12"/>
        <v>6893.07</v>
      </c>
      <c r="P82" s="15" t="str">
        <f t="shared" si="13"/>
        <v>n.a.</v>
      </c>
      <c r="Q82" s="7">
        <f>J82*'Model inputs'!$B$8</f>
        <v>-49307.000000000007</v>
      </c>
      <c r="R82" s="1" t="s">
        <v>164</v>
      </c>
      <c r="S82" s="1">
        <v>177</v>
      </c>
      <c r="T82" s="1">
        <v>196</v>
      </c>
    </row>
    <row r="83" spans="1:20" ht="21" customHeight="1">
      <c r="A83" s="8">
        <v>46281</v>
      </c>
      <c r="B83" s="1" t="s">
        <v>36</v>
      </c>
      <c r="C83" s="1" t="s">
        <v>87</v>
      </c>
      <c r="D83" s="7">
        <v>5800</v>
      </c>
      <c r="E83" s="7">
        <v>6000</v>
      </c>
      <c r="F83" s="7"/>
      <c r="G83" s="7">
        <f>'Option source'!B163</f>
        <v>1049.9000000000001</v>
      </c>
      <c r="H83" s="7">
        <f>'Option source'!B182</f>
        <v>916.41</v>
      </c>
      <c r="I83" s="7"/>
      <c r="J83" s="7">
        <f t="shared" si="7"/>
        <v>-782.91999999999985</v>
      </c>
      <c r="K83" s="7">
        <f t="shared" si="8"/>
        <v>200</v>
      </c>
      <c r="L83" s="7">
        <f t="shared" si="9"/>
        <v>982.91999999999985</v>
      </c>
      <c r="M83" s="7" t="str">
        <f t="shared" si="10"/>
        <v>Unlimited</v>
      </c>
      <c r="N83" s="7" t="str">
        <f t="shared" si="11"/>
        <v>n.a.</v>
      </c>
      <c r="O83" s="7">
        <f t="shared" si="12"/>
        <v>6982.92</v>
      </c>
      <c r="P83" s="15" t="str">
        <f t="shared" si="13"/>
        <v>n.a.</v>
      </c>
      <c r="Q83" s="7">
        <f>J83*'Model inputs'!$B$8</f>
        <v>-78291.999999999985</v>
      </c>
      <c r="R83" s="1" t="s">
        <v>164</v>
      </c>
      <c r="S83" s="1">
        <v>158</v>
      </c>
      <c r="T83" s="1">
        <v>177</v>
      </c>
    </row>
    <row r="84" spans="1:20" ht="21" customHeight="1">
      <c r="A84" s="8">
        <v>46281</v>
      </c>
      <c r="B84" s="1" t="s">
        <v>36</v>
      </c>
      <c r="C84" s="1" t="s">
        <v>90</v>
      </c>
      <c r="D84" s="7">
        <v>7800</v>
      </c>
      <c r="E84" s="7">
        <v>7600</v>
      </c>
      <c r="F84" s="7"/>
      <c r="G84" s="7">
        <f>'Option source'!B847</f>
        <v>1000</v>
      </c>
      <c r="H84" s="7">
        <f>'Option source'!B828</f>
        <v>857</v>
      </c>
      <c r="I84" s="7"/>
      <c r="J84" s="7">
        <f t="shared" si="7"/>
        <v>-714</v>
      </c>
      <c r="K84" s="7">
        <f t="shared" si="8"/>
        <v>200</v>
      </c>
      <c r="L84" s="7">
        <f t="shared" si="9"/>
        <v>914</v>
      </c>
      <c r="M84" s="7">
        <f t="shared" si="10"/>
        <v>6686</v>
      </c>
      <c r="N84" s="7">
        <f t="shared" si="11"/>
        <v>6686</v>
      </c>
      <c r="O84" s="7" t="str">
        <f t="shared" si="12"/>
        <v>n.a.</v>
      </c>
      <c r="P84" s="15" t="str">
        <f t="shared" si="13"/>
        <v>n.a.</v>
      </c>
      <c r="Q84" s="7">
        <f>J84*'Model inputs'!$B$8</f>
        <v>-71400</v>
      </c>
      <c r="R84" s="1" t="s">
        <v>164</v>
      </c>
      <c r="S84" s="1">
        <v>842</v>
      </c>
      <c r="T84" s="1">
        <v>823</v>
      </c>
    </row>
    <row r="85" spans="1:20" ht="21" customHeight="1">
      <c r="A85" s="8">
        <v>46281</v>
      </c>
      <c r="B85" s="1" t="s">
        <v>36</v>
      </c>
      <c r="C85" s="1" t="s">
        <v>87</v>
      </c>
      <c r="D85" s="7">
        <v>5600</v>
      </c>
      <c r="E85" s="7">
        <v>5800</v>
      </c>
      <c r="F85" s="7"/>
      <c r="G85" s="7">
        <f>'Option source'!B153</f>
        <v>1233.1300000000001</v>
      </c>
      <c r="H85" s="7">
        <f>'Option source'!B163</f>
        <v>1049.9000000000001</v>
      </c>
      <c r="I85" s="7"/>
      <c r="J85" s="7">
        <f t="shared" si="7"/>
        <v>-866.67000000000007</v>
      </c>
      <c r="K85" s="7">
        <f t="shared" si="8"/>
        <v>200</v>
      </c>
      <c r="L85" s="7">
        <f t="shared" si="9"/>
        <v>1066.67</v>
      </c>
      <c r="M85" s="7" t="str">
        <f t="shared" si="10"/>
        <v>Unlimited</v>
      </c>
      <c r="N85" s="7" t="str">
        <f t="shared" si="11"/>
        <v>n.a.</v>
      </c>
      <c r="O85" s="7">
        <f t="shared" si="12"/>
        <v>6866.67</v>
      </c>
      <c r="P85" s="15" t="str">
        <f t="shared" si="13"/>
        <v>n.a.</v>
      </c>
      <c r="Q85" s="7">
        <f>J85*'Model inputs'!$B$8</f>
        <v>-86667</v>
      </c>
      <c r="R85" s="1" t="s">
        <v>164</v>
      </c>
      <c r="S85" s="1">
        <v>148</v>
      </c>
      <c r="T85" s="1">
        <v>158</v>
      </c>
    </row>
    <row r="86" spans="1:20" ht="21" customHeight="1">
      <c r="A86" s="8">
        <v>46281</v>
      </c>
      <c r="B86" s="1" t="s">
        <v>36</v>
      </c>
      <c r="C86" s="1" t="s">
        <v>90</v>
      </c>
      <c r="D86" s="7">
        <v>8000</v>
      </c>
      <c r="E86" s="7">
        <v>7800</v>
      </c>
      <c r="F86" s="7"/>
      <c r="G86" s="7">
        <f>'Option source'!B866</f>
        <v>1230</v>
      </c>
      <c r="H86" s="7">
        <f>'Option source'!B847</f>
        <v>1000</v>
      </c>
      <c r="I86" s="7"/>
      <c r="J86" s="7">
        <f t="shared" si="7"/>
        <v>-770</v>
      </c>
      <c r="K86" s="7">
        <f t="shared" si="8"/>
        <v>200</v>
      </c>
      <c r="L86" s="7">
        <f t="shared" si="9"/>
        <v>970</v>
      </c>
      <c r="M86" s="7">
        <f t="shared" si="10"/>
        <v>6830</v>
      </c>
      <c r="N86" s="7">
        <f t="shared" si="11"/>
        <v>6830</v>
      </c>
      <c r="O86" s="7" t="str">
        <f t="shared" si="12"/>
        <v>n.a.</v>
      </c>
      <c r="P86" s="15" t="str">
        <f t="shared" si="13"/>
        <v>n.a.</v>
      </c>
      <c r="Q86" s="7">
        <f>J86*'Model inputs'!$B$8</f>
        <v>-77000</v>
      </c>
      <c r="R86" s="1" t="s">
        <v>164</v>
      </c>
      <c r="S86" s="1">
        <v>861</v>
      </c>
      <c r="T86" s="1">
        <v>842</v>
      </c>
    </row>
    <row r="87" spans="1:20" ht="21" customHeight="1">
      <c r="A87" s="8">
        <v>46281</v>
      </c>
      <c r="B87" s="1" t="s">
        <v>36</v>
      </c>
      <c r="C87" s="1" t="s">
        <v>87</v>
      </c>
      <c r="D87" s="7">
        <v>5400</v>
      </c>
      <c r="E87" s="7">
        <v>5600</v>
      </c>
      <c r="F87" s="7"/>
      <c r="G87" s="7">
        <f>'Option source'!B135</f>
        <v>1470</v>
      </c>
      <c r="H87" s="7">
        <f>'Option source'!B153</f>
        <v>1233.1300000000001</v>
      </c>
      <c r="I87" s="7"/>
      <c r="J87" s="7">
        <f t="shared" si="7"/>
        <v>-996.26000000000022</v>
      </c>
      <c r="K87" s="7">
        <f t="shared" si="8"/>
        <v>200</v>
      </c>
      <c r="L87" s="7">
        <f t="shared" si="9"/>
        <v>1196.2600000000002</v>
      </c>
      <c r="M87" s="7" t="str">
        <f t="shared" si="10"/>
        <v>Unlimited</v>
      </c>
      <c r="N87" s="7" t="str">
        <f t="shared" si="11"/>
        <v>n.a.</v>
      </c>
      <c r="O87" s="7">
        <f t="shared" si="12"/>
        <v>6796.26</v>
      </c>
      <c r="P87" s="15" t="str">
        <f t="shared" si="13"/>
        <v>n.a.</v>
      </c>
      <c r="Q87" s="7">
        <f>J87*'Model inputs'!$B$8</f>
        <v>-99626.000000000029</v>
      </c>
      <c r="R87" s="1" t="s">
        <v>164</v>
      </c>
      <c r="S87" s="1">
        <v>130</v>
      </c>
      <c r="T87" s="1">
        <v>148</v>
      </c>
    </row>
    <row r="88" spans="1:20" ht="21" customHeight="1">
      <c r="A88" s="8">
        <v>46281</v>
      </c>
      <c r="B88" s="1" t="s">
        <v>36</v>
      </c>
      <c r="C88" s="1" t="s">
        <v>90</v>
      </c>
      <c r="D88" s="7">
        <v>8300</v>
      </c>
      <c r="E88" s="7">
        <v>8000</v>
      </c>
      <c r="F88" s="7"/>
      <c r="G88" s="7">
        <f>'Option source'!B885</f>
        <v>1520</v>
      </c>
      <c r="H88" s="7">
        <f>'Option source'!B866</f>
        <v>1230</v>
      </c>
      <c r="I88" s="7"/>
      <c r="J88" s="7">
        <f t="shared" si="7"/>
        <v>-940</v>
      </c>
      <c r="K88" s="7">
        <f t="shared" si="8"/>
        <v>300</v>
      </c>
      <c r="L88" s="7">
        <f t="shared" si="9"/>
        <v>1240</v>
      </c>
      <c r="M88" s="7">
        <f t="shared" si="10"/>
        <v>6760</v>
      </c>
      <c r="N88" s="7">
        <f t="shared" si="11"/>
        <v>6760</v>
      </c>
      <c r="O88" s="7" t="str">
        <f t="shared" si="12"/>
        <v>n.a.</v>
      </c>
      <c r="P88" s="15" t="str">
        <f t="shared" si="13"/>
        <v>n.a.</v>
      </c>
      <c r="Q88" s="7">
        <f>J88*'Model inputs'!$B$8</f>
        <v>-94000</v>
      </c>
      <c r="R88" s="1" t="s">
        <v>164</v>
      </c>
      <c r="S88" s="1">
        <v>880</v>
      </c>
      <c r="T88" s="1">
        <v>861</v>
      </c>
    </row>
    <row r="89" spans="1:20" ht="21" customHeight="1">
      <c r="A89" s="8">
        <v>46281</v>
      </c>
      <c r="B89" s="1" t="s">
        <v>36</v>
      </c>
      <c r="C89" s="1" t="s">
        <v>87</v>
      </c>
      <c r="D89" s="7">
        <v>5200</v>
      </c>
      <c r="E89" s="7">
        <v>5400</v>
      </c>
      <c r="F89" s="7"/>
      <c r="G89" s="7">
        <f>'Option source'!B116</f>
        <v>1678.07</v>
      </c>
      <c r="H89" s="7">
        <f>'Option source'!B135</f>
        <v>1470</v>
      </c>
      <c r="I89" s="7"/>
      <c r="J89" s="7">
        <f t="shared" si="7"/>
        <v>-1261.93</v>
      </c>
      <c r="K89" s="7">
        <f t="shared" si="8"/>
        <v>200</v>
      </c>
      <c r="L89" s="7">
        <f t="shared" si="9"/>
        <v>1461.93</v>
      </c>
      <c r="M89" s="7" t="str">
        <f t="shared" si="10"/>
        <v>Unlimited</v>
      </c>
      <c r="N89" s="7" t="str">
        <f t="shared" si="11"/>
        <v>n.a.</v>
      </c>
      <c r="O89" s="7">
        <f t="shared" si="12"/>
        <v>6861.93</v>
      </c>
      <c r="P89" s="15" t="str">
        <f t="shared" si="13"/>
        <v>n.a.</v>
      </c>
      <c r="Q89" s="7">
        <f>J89*'Model inputs'!$B$8</f>
        <v>-126193</v>
      </c>
      <c r="R89" s="1" t="s">
        <v>164</v>
      </c>
      <c r="S89" s="1">
        <v>111</v>
      </c>
      <c r="T89" s="1">
        <v>130</v>
      </c>
    </row>
    <row r="90" spans="1:20" ht="21" customHeight="1">
      <c r="A90" s="8">
        <v>46281</v>
      </c>
      <c r="B90" s="1" t="s">
        <v>36</v>
      </c>
      <c r="C90" s="1" t="s">
        <v>90</v>
      </c>
      <c r="D90" s="7">
        <v>8600</v>
      </c>
      <c r="E90" s="7">
        <v>8300</v>
      </c>
      <c r="F90" s="7"/>
      <c r="G90" s="7">
        <f>'Option source'!B904</f>
        <v>1648.65</v>
      </c>
      <c r="H90" s="7">
        <f>'Option source'!B885</f>
        <v>1520</v>
      </c>
      <c r="I90" s="7"/>
      <c r="J90" s="7">
        <f t="shared" si="7"/>
        <v>-1391.35</v>
      </c>
      <c r="K90" s="7">
        <f t="shared" si="8"/>
        <v>300</v>
      </c>
      <c r="L90" s="7">
        <f t="shared" si="9"/>
        <v>1691.35</v>
      </c>
      <c r="M90" s="7">
        <f t="shared" si="10"/>
        <v>6608.65</v>
      </c>
      <c r="N90" s="7">
        <f t="shared" si="11"/>
        <v>6608.65</v>
      </c>
      <c r="O90" s="7" t="str">
        <f t="shared" si="12"/>
        <v>n.a.</v>
      </c>
      <c r="P90" s="15" t="str">
        <f t="shared" si="13"/>
        <v>n.a.</v>
      </c>
      <c r="Q90" s="7">
        <f>J90*'Model inputs'!$B$8</f>
        <v>-139135</v>
      </c>
      <c r="R90" s="1" t="s">
        <v>164</v>
      </c>
      <c r="S90" s="1">
        <v>899</v>
      </c>
      <c r="T90" s="1">
        <v>880</v>
      </c>
    </row>
    <row r="91" spans="1:20" ht="21" customHeight="1">
      <c r="A91" s="8">
        <v>46281</v>
      </c>
      <c r="B91" s="1" t="s">
        <v>36</v>
      </c>
      <c r="C91" s="1" t="s">
        <v>87</v>
      </c>
      <c r="D91" s="7">
        <v>5000</v>
      </c>
      <c r="E91" s="7">
        <v>5200</v>
      </c>
      <c r="F91" s="7"/>
      <c r="G91" s="7">
        <f>'Option source'!B97</f>
        <v>1808.85</v>
      </c>
      <c r="H91" s="7">
        <f>'Option source'!B116</f>
        <v>1678.07</v>
      </c>
      <c r="I91" s="7"/>
      <c r="J91" s="7">
        <f t="shared" si="7"/>
        <v>-1547.29</v>
      </c>
      <c r="K91" s="7">
        <f t="shared" si="8"/>
        <v>200</v>
      </c>
      <c r="L91" s="7">
        <f t="shared" si="9"/>
        <v>1747.29</v>
      </c>
      <c r="M91" s="7" t="str">
        <f t="shared" si="10"/>
        <v>Unlimited</v>
      </c>
      <c r="N91" s="7" t="str">
        <f t="shared" si="11"/>
        <v>n.a.</v>
      </c>
      <c r="O91" s="7">
        <f t="shared" si="12"/>
        <v>6947.29</v>
      </c>
      <c r="P91" s="15" t="str">
        <f t="shared" si="13"/>
        <v>n.a.</v>
      </c>
      <c r="Q91" s="7">
        <f>J91*'Model inputs'!$B$8</f>
        <v>-154729</v>
      </c>
      <c r="R91" s="1" t="s">
        <v>164</v>
      </c>
      <c r="S91" s="1">
        <v>92</v>
      </c>
      <c r="T91" s="1">
        <v>111</v>
      </c>
    </row>
    <row r="92" spans="1:20" ht="21" customHeight="1">
      <c r="A92" s="8">
        <v>46281</v>
      </c>
      <c r="B92" s="1" t="s">
        <v>36</v>
      </c>
      <c r="C92" s="1" t="s">
        <v>87</v>
      </c>
      <c r="D92" s="7">
        <v>4800</v>
      </c>
      <c r="E92" s="7">
        <v>5000</v>
      </c>
      <c r="F92" s="7"/>
      <c r="G92" s="7">
        <f>'Option source'!B80</f>
        <v>2084.21</v>
      </c>
      <c r="H92" s="7">
        <f>'Option source'!B97</f>
        <v>1808.85</v>
      </c>
      <c r="I92" s="7"/>
      <c r="J92" s="7">
        <f t="shared" si="7"/>
        <v>-1533.4899999999998</v>
      </c>
      <c r="K92" s="7">
        <f t="shared" si="8"/>
        <v>200</v>
      </c>
      <c r="L92" s="7">
        <f t="shared" si="9"/>
        <v>1733.4899999999998</v>
      </c>
      <c r="M92" s="7" t="str">
        <f t="shared" si="10"/>
        <v>Unlimited</v>
      </c>
      <c r="N92" s="7" t="str">
        <f t="shared" si="11"/>
        <v>n.a.</v>
      </c>
      <c r="O92" s="7">
        <f t="shared" si="12"/>
        <v>6733.49</v>
      </c>
      <c r="P92" s="15" t="str">
        <f t="shared" si="13"/>
        <v>n.a.</v>
      </c>
      <c r="Q92" s="7">
        <f>J92*'Model inputs'!$B$8</f>
        <v>-153348.99999999997</v>
      </c>
      <c r="R92" s="1" t="s">
        <v>164</v>
      </c>
      <c r="S92" s="1">
        <v>75</v>
      </c>
      <c r="T92" s="1">
        <v>92</v>
      </c>
    </row>
    <row r="93" spans="1:20" ht="21" customHeight="1">
      <c r="A93" s="8">
        <v>46281</v>
      </c>
      <c r="B93" s="1" t="s">
        <v>36</v>
      </c>
      <c r="C93" s="1" t="s">
        <v>90</v>
      </c>
      <c r="D93" s="7">
        <v>8900</v>
      </c>
      <c r="E93" s="7">
        <v>8600</v>
      </c>
      <c r="F93" s="7"/>
      <c r="G93" s="7">
        <f>'Option source'!B919</f>
        <v>2022.5</v>
      </c>
      <c r="H93" s="7">
        <f>'Option source'!B904</f>
        <v>1648.65</v>
      </c>
      <c r="I93" s="7"/>
      <c r="J93" s="7">
        <f t="shared" si="7"/>
        <v>-1274.8000000000002</v>
      </c>
      <c r="K93" s="7">
        <f t="shared" si="8"/>
        <v>300</v>
      </c>
      <c r="L93" s="7">
        <f t="shared" si="9"/>
        <v>1574.8000000000002</v>
      </c>
      <c r="M93" s="7">
        <f t="shared" si="10"/>
        <v>7025.2</v>
      </c>
      <c r="N93" s="7">
        <f t="shared" si="11"/>
        <v>7025.2</v>
      </c>
      <c r="O93" s="7" t="str">
        <f t="shared" si="12"/>
        <v>n.a.</v>
      </c>
      <c r="P93" s="15" t="str">
        <f t="shared" si="13"/>
        <v>n.a.</v>
      </c>
      <c r="Q93" s="7">
        <f>J93*'Model inputs'!$B$8</f>
        <v>-127480.00000000001</v>
      </c>
      <c r="R93" s="1" t="s">
        <v>164</v>
      </c>
      <c r="S93" s="1">
        <v>914</v>
      </c>
      <c r="T93" s="1">
        <v>899</v>
      </c>
    </row>
    <row r="94" spans="1:20" ht="21" customHeight="1">
      <c r="A94" s="8">
        <v>46281</v>
      </c>
      <c r="B94" s="1" t="s">
        <v>36</v>
      </c>
      <c r="C94" s="1" t="s">
        <v>87</v>
      </c>
      <c r="D94" s="7">
        <v>4600</v>
      </c>
      <c r="E94" s="7">
        <v>4800</v>
      </c>
      <c r="F94" s="7"/>
      <c r="G94" s="7">
        <f>'Option source'!B63</f>
        <v>2280.1</v>
      </c>
      <c r="H94" s="7">
        <f>'Option source'!B80</f>
        <v>2084.21</v>
      </c>
      <c r="I94" s="7"/>
      <c r="J94" s="7">
        <f t="shared" si="7"/>
        <v>-1888.3200000000002</v>
      </c>
      <c r="K94" s="7">
        <f t="shared" si="8"/>
        <v>200</v>
      </c>
      <c r="L94" s="7">
        <f t="shared" si="9"/>
        <v>2088.3200000000002</v>
      </c>
      <c r="M94" s="7" t="str">
        <f t="shared" si="10"/>
        <v>Unlimited</v>
      </c>
      <c r="N94" s="7" t="str">
        <f t="shared" si="11"/>
        <v>n.a.</v>
      </c>
      <c r="O94" s="7">
        <f t="shared" si="12"/>
        <v>6888.32</v>
      </c>
      <c r="P94" s="15" t="str">
        <f t="shared" si="13"/>
        <v>n.a.</v>
      </c>
      <c r="Q94" s="7">
        <f>J94*'Model inputs'!$B$8</f>
        <v>-188832.00000000003</v>
      </c>
      <c r="R94" s="1" t="s">
        <v>164</v>
      </c>
      <c r="S94" s="1">
        <v>58</v>
      </c>
      <c r="T94" s="1">
        <v>75</v>
      </c>
    </row>
    <row r="95" spans="1:20" ht="21" customHeight="1">
      <c r="A95" s="8">
        <v>46281</v>
      </c>
      <c r="B95" s="1" t="s">
        <v>36</v>
      </c>
      <c r="C95" s="1" t="s">
        <v>90</v>
      </c>
      <c r="D95" s="7">
        <v>9200</v>
      </c>
      <c r="E95" s="7">
        <v>8900</v>
      </c>
      <c r="F95" s="7"/>
      <c r="G95" s="7">
        <f>'Option source'!B926</f>
        <v>2268.5100000000002</v>
      </c>
      <c r="H95" s="7">
        <f>'Option source'!B919</f>
        <v>2022.5</v>
      </c>
      <c r="I95" s="7"/>
      <c r="J95" s="7">
        <f t="shared" si="7"/>
        <v>-1776.4899999999998</v>
      </c>
      <c r="K95" s="7">
        <f t="shared" si="8"/>
        <v>300</v>
      </c>
      <c r="L95" s="7">
        <f t="shared" si="9"/>
        <v>2076.4899999999998</v>
      </c>
      <c r="M95" s="7">
        <f t="shared" si="10"/>
        <v>6823.51</v>
      </c>
      <c r="N95" s="7">
        <f t="shared" si="11"/>
        <v>6823.51</v>
      </c>
      <c r="O95" s="7" t="str">
        <f t="shared" si="12"/>
        <v>n.a.</v>
      </c>
      <c r="P95" s="15" t="str">
        <f t="shared" si="13"/>
        <v>n.a.</v>
      </c>
      <c r="Q95" s="7">
        <f>J95*'Model inputs'!$B$8</f>
        <v>-177648.99999999997</v>
      </c>
      <c r="R95" s="1" t="s">
        <v>164</v>
      </c>
      <c r="S95" s="1">
        <v>921</v>
      </c>
      <c r="T95" s="1">
        <v>914</v>
      </c>
    </row>
    <row r="96" spans="1:20" ht="21" customHeight="1">
      <c r="A96" s="8">
        <v>46281</v>
      </c>
      <c r="B96" s="1" t="s">
        <v>36</v>
      </c>
      <c r="C96" s="1" t="s">
        <v>87</v>
      </c>
      <c r="D96" s="7">
        <v>4400</v>
      </c>
      <c r="E96" s="7">
        <v>4600</v>
      </c>
      <c r="F96" s="7"/>
      <c r="G96" s="7">
        <f>'Option source'!B44</f>
        <v>2422</v>
      </c>
      <c r="H96" s="7">
        <f>'Option source'!B63</f>
        <v>2280.1</v>
      </c>
      <c r="I96" s="7"/>
      <c r="J96" s="7">
        <f t="shared" si="7"/>
        <v>-2138.1999999999998</v>
      </c>
      <c r="K96" s="7">
        <f t="shared" si="8"/>
        <v>200</v>
      </c>
      <c r="L96" s="7">
        <f t="shared" si="9"/>
        <v>2338.1999999999998</v>
      </c>
      <c r="M96" s="7" t="str">
        <f t="shared" si="10"/>
        <v>Unlimited</v>
      </c>
      <c r="N96" s="7" t="str">
        <f t="shared" si="11"/>
        <v>n.a.</v>
      </c>
      <c r="O96" s="7">
        <f t="shared" si="12"/>
        <v>6938.2</v>
      </c>
      <c r="P96" s="15" t="str">
        <f t="shared" si="13"/>
        <v>n.a.</v>
      </c>
      <c r="Q96" s="7">
        <f>J96*'Model inputs'!$B$8</f>
        <v>-213819.99999999997</v>
      </c>
      <c r="R96" s="1" t="s">
        <v>164</v>
      </c>
      <c r="S96" s="1">
        <v>39</v>
      </c>
      <c r="T96" s="1">
        <v>58</v>
      </c>
    </row>
    <row r="97" spans="1:20" ht="21" customHeight="1">
      <c r="A97" s="8">
        <v>46281</v>
      </c>
      <c r="B97" s="1" t="s">
        <v>36</v>
      </c>
      <c r="C97" s="1" t="s">
        <v>87</v>
      </c>
      <c r="D97" s="7">
        <v>4200</v>
      </c>
      <c r="E97" s="7">
        <v>4400</v>
      </c>
      <c r="F97" s="7"/>
      <c r="G97" s="7">
        <f>'Option source'!B25</f>
        <v>2587.4899999999998</v>
      </c>
      <c r="H97" s="7">
        <f>'Option source'!B44</f>
        <v>2422</v>
      </c>
      <c r="I97" s="7"/>
      <c r="J97" s="7">
        <f t="shared" si="7"/>
        <v>-2256.5100000000002</v>
      </c>
      <c r="K97" s="7">
        <f t="shared" si="8"/>
        <v>200</v>
      </c>
      <c r="L97" s="7">
        <f t="shared" si="9"/>
        <v>2456.5100000000002</v>
      </c>
      <c r="M97" s="7" t="str">
        <f t="shared" si="10"/>
        <v>Unlimited</v>
      </c>
      <c r="N97" s="7" t="str">
        <f t="shared" si="11"/>
        <v>n.a.</v>
      </c>
      <c r="O97" s="7">
        <f t="shared" si="12"/>
        <v>6856.51</v>
      </c>
      <c r="P97" s="15" t="str">
        <f t="shared" si="13"/>
        <v>n.a.</v>
      </c>
      <c r="Q97" s="7">
        <f>J97*'Model inputs'!$B$8</f>
        <v>-225651.00000000003</v>
      </c>
      <c r="R97" s="1" t="s">
        <v>164</v>
      </c>
      <c r="S97" s="1">
        <v>20</v>
      </c>
      <c r="T97" s="1">
        <v>39</v>
      </c>
    </row>
    <row r="98" spans="1:20" ht="21" customHeight="1">
      <c r="A98" s="8">
        <v>46280</v>
      </c>
      <c r="B98" s="1" t="s">
        <v>34</v>
      </c>
      <c r="C98" s="1" t="s">
        <v>87</v>
      </c>
      <c r="D98" s="7">
        <v>6600</v>
      </c>
      <c r="E98" s="7">
        <v>6800</v>
      </c>
      <c r="F98" s="7">
        <v>7000</v>
      </c>
      <c r="G98" s="7">
        <f>'Option source'!B238</f>
        <v>490</v>
      </c>
      <c r="H98" s="7">
        <f>'Option source'!B257</f>
        <v>380.09</v>
      </c>
      <c r="I98" s="7">
        <f>'Option source'!B276</f>
        <v>277.07</v>
      </c>
      <c r="J98" s="7">
        <f t="shared" si="7"/>
        <v>6.8900000000000432</v>
      </c>
      <c r="K98" s="7">
        <f t="shared" si="8"/>
        <v>200</v>
      </c>
      <c r="L98" s="7">
        <f t="shared" si="9"/>
        <v>193.10999999999996</v>
      </c>
      <c r="M98" s="7">
        <f t="shared" si="10"/>
        <v>6.8900000000000432</v>
      </c>
      <c r="N98" s="7">
        <f t="shared" si="11"/>
        <v>6606.89</v>
      </c>
      <c r="O98" s="7">
        <f t="shared" si="12"/>
        <v>6993.11</v>
      </c>
      <c r="P98" s="15">
        <f t="shared" si="13"/>
        <v>28.027576197387337</v>
      </c>
      <c r="Q98" s="7">
        <f>J98*'Model inputs'!$B$8</f>
        <v>689.00000000000432</v>
      </c>
      <c r="R98" s="1" t="s">
        <v>162</v>
      </c>
      <c r="S98" s="1">
        <v>233</v>
      </c>
      <c r="T98" s="1">
        <v>252</v>
      </c>
    </row>
    <row r="99" spans="1:20" ht="21" customHeight="1">
      <c r="A99" s="8">
        <v>46280</v>
      </c>
      <c r="B99" s="1" t="s">
        <v>34</v>
      </c>
      <c r="C99" s="1" t="s">
        <v>90</v>
      </c>
      <c r="D99" s="7">
        <v>6600</v>
      </c>
      <c r="E99" s="7">
        <v>6800</v>
      </c>
      <c r="F99" s="7">
        <v>7000</v>
      </c>
      <c r="G99" s="7">
        <f>'Option source'!B732</f>
        <v>220.68</v>
      </c>
      <c r="H99" s="7">
        <f>'Option source'!B751</f>
        <v>311.72000000000003</v>
      </c>
      <c r="I99" s="7">
        <f>'Option source'!B770</f>
        <v>418.29</v>
      </c>
      <c r="J99" s="7">
        <f t="shared" si="7"/>
        <v>15.529999999999973</v>
      </c>
      <c r="K99" s="7">
        <f t="shared" si="8"/>
        <v>200</v>
      </c>
      <c r="L99" s="7">
        <f t="shared" si="9"/>
        <v>184.47000000000003</v>
      </c>
      <c r="M99" s="7">
        <f t="shared" si="10"/>
        <v>15.529999999999973</v>
      </c>
      <c r="N99" s="7">
        <f t="shared" si="11"/>
        <v>6615.53</v>
      </c>
      <c r="O99" s="7">
        <f t="shared" si="12"/>
        <v>6984.47</v>
      </c>
      <c r="P99" s="15">
        <f t="shared" si="13"/>
        <v>11.878300064391523</v>
      </c>
      <c r="Q99" s="7">
        <f>J99*'Model inputs'!$B$8</f>
        <v>1552.9999999999973</v>
      </c>
      <c r="R99" s="1" t="s">
        <v>162</v>
      </c>
      <c r="S99" s="1">
        <v>727</v>
      </c>
      <c r="T99" s="1">
        <v>746</v>
      </c>
    </row>
    <row r="100" spans="1:20" ht="21" customHeight="1">
      <c r="A100" s="8">
        <v>46280</v>
      </c>
      <c r="B100" s="1" t="s">
        <v>34</v>
      </c>
      <c r="C100" s="1" t="s">
        <v>87</v>
      </c>
      <c r="D100" s="7">
        <v>6400</v>
      </c>
      <c r="E100" s="7">
        <v>6600</v>
      </c>
      <c r="F100" s="7">
        <v>6800</v>
      </c>
      <c r="G100" s="7">
        <f>'Option source'!B219</f>
        <v>600.20000000000005</v>
      </c>
      <c r="H100" s="7">
        <f>'Option source'!B238</f>
        <v>490</v>
      </c>
      <c r="I100" s="7">
        <f>'Option source'!B257</f>
        <v>380.09</v>
      </c>
      <c r="J100" s="7">
        <f t="shared" si="7"/>
        <v>0.29000000000002046</v>
      </c>
      <c r="K100" s="7">
        <f t="shared" si="8"/>
        <v>200</v>
      </c>
      <c r="L100" s="7">
        <f t="shared" si="9"/>
        <v>199.70999999999998</v>
      </c>
      <c r="M100" s="7">
        <f t="shared" si="10"/>
        <v>0.29000000000002046</v>
      </c>
      <c r="N100" s="7">
        <f t="shared" si="11"/>
        <v>6400.29</v>
      </c>
      <c r="O100" s="7">
        <f t="shared" si="12"/>
        <v>6799.71</v>
      </c>
      <c r="P100" s="15">
        <f t="shared" si="13"/>
        <v>688.65517241374448</v>
      </c>
      <c r="Q100" s="7">
        <f>J100*'Model inputs'!$B$8</f>
        <v>29.000000000002046</v>
      </c>
      <c r="R100" s="1" t="s">
        <v>162</v>
      </c>
      <c r="S100" s="1">
        <v>214</v>
      </c>
      <c r="T100" s="1">
        <v>233</v>
      </c>
    </row>
    <row r="101" spans="1:20" ht="21" customHeight="1">
      <c r="A101" s="8">
        <v>46280</v>
      </c>
      <c r="B101" s="1" t="s">
        <v>34</v>
      </c>
      <c r="C101" s="1" t="s">
        <v>90</v>
      </c>
      <c r="D101" s="7">
        <v>6400</v>
      </c>
      <c r="E101" s="7">
        <v>6600</v>
      </c>
      <c r="F101" s="7">
        <v>6800</v>
      </c>
      <c r="G101" s="7">
        <f>'Option source'!B713</f>
        <v>151.43</v>
      </c>
      <c r="H101" s="7">
        <f>'Option source'!B732</f>
        <v>220.68</v>
      </c>
      <c r="I101" s="7">
        <f>'Option source'!B751</f>
        <v>311.72000000000003</v>
      </c>
      <c r="J101" s="7">
        <f t="shared" si="7"/>
        <v>21.79000000000002</v>
      </c>
      <c r="K101" s="7">
        <f t="shared" si="8"/>
        <v>200</v>
      </c>
      <c r="L101" s="7">
        <f t="shared" si="9"/>
        <v>178.20999999999998</v>
      </c>
      <c r="M101" s="7">
        <f t="shared" si="10"/>
        <v>21.79000000000002</v>
      </c>
      <c r="N101" s="7">
        <f t="shared" si="11"/>
        <v>6421.79</v>
      </c>
      <c r="O101" s="7">
        <f t="shared" si="12"/>
        <v>6778.21</v>
      </c>
      <c r="P101" s="15">
        <f t="shared" si="13"/>
        <v>8.178522257916466</v>
      </c>
      <c r="Q101" s="7">
        <f>J101*'Model inputs'!$B$8</f>
        <v>2179.0000000000018</v>
      </c>
      <c r="R101" s="1" t="s">
        <v>162</v>
      </c>
      <c r="S101" s="1">
        <v>708</v>
      </c>
      <c r="T101" s="1">
        <v>727</v>
      </c>
    </row>
    <row r="102" spans="1:20" ht="21" customHeight="1">
      <c r="A102" s="8">
        <v>46280</v>
      </c>
      <c r="B102" s="1" t="s">
        <v>34</v>
      </c>
      <c r="C102" s="1" t="s">
        <v>87</v>
      </c>
      <c r="D102" s="7">
        <v>6800</v>
      </c>
      <c r="E102" s="7">
        <v>7000</v>
      </c>
      <c r="F102" s="7">
        <v>7200</v>
      </c>
      <c r="G102" s="7">
        <f>'Option source'!B257</f>
        <v>380.09</v>
      </c>
      <c r="H102" s="7">
        <f>'Option source'!B276</f>
        <v>277.07</v>
      </c>
      <c r="I102" s="7">
        <f>'Option source'!B295</f>
        <v>205.53</v>
      </c>
      <c r="J102" s="7">
        <f t="shared" si="7"/>
        <v>31.47999999999999</v>
      </c>
      <c r="K102" s="7">
        <f t="shared" si="8"/>
        <v>200</v>
      </c>
      <c r="L102" s="7">
        <f t="shared" si="9"/>
        <v>168.52</v>
      </c>
      <c r="M102" s="7">
        <f t="shared" si="10"/>
        <v>31.47999999999999</v>
      </c>
      <c r="N102" s="7">
        <f t="shared" si="11"/>
        <v>6831.48</v>
      </c>
      <c r="O102" s="7">
        <f t="shared" si="12"/>
        <v>7168.52</v>
      </c>
      <c r="P102" s="15">
        <f t="shared" si="13"/>
        <v>5.353240152477766</v>
      </c>
      <c r="Q102" s="7">
        <f>J102*'Model inputs'!$B$8</f>
        <v>3147.9999999999991</v>
      </c>
      <c r="R102" s="1" t="s">
        <v>162</v>
      </c>
      <c r="S102" s="1">
        <v>252</v>
      </c>
      <c r="T102" s="1">
        <v>271</v>
      </c>
    </row>
    <row r="103" spans="1:20" ht="21" customHeight="1">
      <c r="A103" s="8">
        <v>46280</v>
      </c>
      <c r="B103" s="1" t="s">
        <v>34</v>
      </c>
      <c r="C103" s="1" t="s">
        <v>90</v>
      </c>
      <c r="D103" s="7">
        <v>6800</v>
      </c>
      <c r="E103" s="7">
        <v>7000</v>
      </c>
      <c r="F103" s="7">
        <v>7200</v>
      </c>
      <c r="G103" s="7">
        <f>'Option source'!B751</f>
        <v>311.72000000000003</v>
      </c>
      <c r="H103" s="7">
        <f>'Option source'!B770</f>
        <v>418.29</v>
      </c>
      <c r="I103" s="7">
        <f>'Option source'!B789</f>
        <v>542</v>
      </c>
      <c r="J103" s="7">
        <f t="shared" si="7"/>
        <v>17.139999999999986</v>
      </c>
      <c r="K103" s="7">
        <f t="shared" si="8"/>
        <v>200</v>
      </c>
      <c r="L103" s="7">
        <f t="shared" si="9"/>
        <v>182.86</v>
      </c>
      <c r="M103" s="7">
        <f t="shared" si="10"/>
        <v>17.139999999999986</v>
      </c>
      <c r="N103" s="7">
        <f t="shared" si="11"/>
        <v>6817.14</v>
      </c>
      <c r="O103" s="7">
        <f t="shared" si="12"/>
        <v>7182.86</v>
      </c>
      <c r="P103" s="15">
        <f t="shared" si="13"/>
        <v>10.668611435239216</v>
      </c>
      <c r="Q103" s="7">
        <f>J103*'Model inputs'!$B$8</f>
        <v>1713.9999999999986</v>
      </c>
      <c r="R103" s="1" t="s">
        <v>162</v>
      </c>
      <c r="S103" s="1">
        <v>746</v>
      </c>
      <c r="T103" s="1">
        <v>765</v>
      </c>
    </row>
    <row r="104" spans="1:20" ht="21" customHeight="1">
      <c r="A104" s="8">
        <v>46280</v>
      </c>
      <c r="B104" s="1" t="s">
        <v>34</v>
      </c>
      <c r="C104" s="1" t="s">
        <v>87</v>
      </c>
      <c r="D104" s="7">
        <v>6200</v>
      </c>
      <c r="E104" s="7">
        <v>6400</v>
      </c>
      <c r="F104" s="7">
        <v>6600</v>
      </c>
      <c r="G104" s="7">
        <f>'Option source'!B200</f>
        <v>757.6</v>
      </c>
      <c r="H104" s="7">
        <f>'Option source'!B219</f>
        <v>600.20000000000005</v>
      </c>
      <c r="I104" s="7">
        <f>'Option source'!B238</f>
        <v>490</v>
      </c>
      <c r="J104" s="7">
        <f t="shared" si="7"/>
        <v>47.199999999999932</v>
      </c>
      <c r="K104" s="7">
        <f t="shared" si="8"/>
        <v>200</v>
      </c>
      <c r="L104" s="7">
        <f t="shared" si="9"/>
        <v>152.80000000000007</v>
      </c>
      <c r="M104" s="7">
        <f t="shared" si="10"/>
        <v>47.199999999999932</v>
      </c>
      <c r="N104" s="7">
        <f t="shared" si="11"/>
        <v>6247.2</v>
      </c>
      <c r="O104" s="7">
        <f t="shared" si="12"/>
        <v>6552.8</v>
      </c>
      <c r="P104" s="15">
        <f t="shared" si="13"/>
        <v>3.2372881355932264</v>
      </c>
      <c r="Q104" s="7">
        <f>J104*'Model inputs'!$B$8</f>
        <v>4719.9999999999927</v>
      </c>
      <c r="R104" s="1" t="s">
        <v>162</v>
      </c>
      <c r="S104" s="1">
        <v>195</v>
      </c>
      <c r="T104" s="1">
        <v>214</v>
      </c>
    </row>
    <row r="105" spans="1:20" ht="21" customHeight="1">
      <c r="A105" s="8">
        <v>46280</v>
      </c>
      <c r="B105" s="1" t="s">
        <v>34</v>
      </c>
      <c r="C105" s="1" t="s">
        <v>90</v>
      </c>
      <c r="D105" s="7">
        <v>6200</v>
      </c>
      <c r="E105" s="7">
        <v>6400</v>
      </c>
      <c r="F105" s="7">
        <v>6600</v>
      </c>
      <c r="G105" s="7">
        <f>'Option source'!B694</f>
        <v>97.24</v>
      </c>
      <c r="H105" s="7">
        <f>'Option source'!B713</f>
        <v>151.43</v>
      </c>
      <c r="I105" s="7">
        <f>'Option source'!B732</f>
        <v>220.68</v>
      </c>
      <c r="J105" s="7">
        <f t="shared" si="7"/>
        <v>15.060000000000002</v>
      </c>
      <c r="K105" s="7">
        <f t="shared" si="8"/>
        <v>200</v>
      </c>
      <c r="L105" s="7">
        <f t="shared" si="9"/>
        <v>184.94</v>
      </c>
      <c r="M105" s="7">
        <f t="shared" si="10"/>
        <v>15.060000000000002</v>
      </c>
      <c r="N105" s="7">
        <f t="shared" si="11"/>
        <v>6215.06</v>
      </c>
      <c r="O105" s="7">
        <f t="shared" si="12"/>
        <v>6584.94</v>
      </c>
      <c r="P105" s="15">
        <f t="shared" si="13"/>
        <v>12.280212483399733</v>
      </c>
      <c r="Q105" s="7">
        <f>J105*'Model inputs'!$B$8</f>
        <v>1506.0000000000002</v>
      </c>
      <c r="R105" s="1" t="s">
        <v>162</v>
      </c>
      <c r="S105" s="1">
        <v>689</v>
      </c>
      <c r="T105" s="1">
        <v>708</v>
      </c>
    </row>
    <row r="106" spans="1:20" ht="21" customHeight="1">
      <c r="A106" s="8">
        <v>46280</v>
      </c>
      <c r="B106" s="1" t="s">
        <v>34</v>
      </c>
      <c r="C106" s="1" t="s">
        <v>87</v>
      </c>
      <c r="D106" s="7">
        <v>7000</v>
      </c>
      <c r="E106" s="7">
        <v>7200</v>
      </c>
      <c r="F106" s="7">
        <v>7400</v>
      </c>
      <c r="G106" s="7">
        <f>'Option source'!B276</f>
        <v>277.07</v>
      </c>
      <c r="H106" s="7">
        <f>'Option source'!B295</f>
        <v>205.53</v>
      </c>
      <c r="I106" s="7">
        <f>'Option source'!B314</f>
        <v>148.96</v>
      </c>
      <c r="J106" s="7">
        <f t="shared" si="7"/>
        <v>14.969999999999999</v>
      </c>
      <c r="K106" s="7">
        <f t="shared" si="8"/>
        <v>200</v>
      </c>
      <c r="L106" s="7">
        <f t="shared" si="9"/>
        <v>185.03</v>
      </c>
      <c r="M106" s="7">
        <f t="shared" si="10"/>
        <v>14.969999999999999</v>
      </c>
      <c r="N106" s="7">
        <f t="shared" si="11"/>
        <v>7014.97</v>
      </c>
      <c r="O106" s="7">
        <f t="shared" si="12"/>
        <v>7385.03</v>
      </c>
      <c r="P106" s="15">
        <f t="shared" si="13"/>
        <v>12.360053440213761</v>
      </c>
      <c r="Q106" s="7">
        <f>J106*'Model inputs'!$B$8</f>
        <v>1497</v>
      </c>
      <c r="R106" s="1" t="s">
        <v>162</v>
      </c>
      <c r="S106" s="1">
        <v>271</v>
      </c>
      <c r="T106" s="1">
        <v>290</v>
      </c>
    </row>
    <row r="107" spans="1:20" ht="21" customHeight="1">
      <c r="A107" s="8">
        <v>46280</v>
      </c>
      <c r="B107" s="1" t="s">
        <v>34</v>
      </c>
      <c r="C107" s="1" t="s">
        <v>87</v>
      </c>
      <c r="D107" s="7">
        <v>6000</v>
      </c>
      <c r="E107" s="7">
        <v>6200</v>
      </c>
      <c r="F107" s="7">
        <v>6400</v>
      </c>
      <c r="G107" s="7">
        <f>'Option source'!B181</f>
        <v>930</v>
      </c>
      <c r="H107" s="7">
        <f>'Option source'!B200</f>
        <v>757.6</v>
      </c>
      <c r="I107" s="7">
        <f>'Option source'!B219</f>
        <v>600.20000000000005</v>
      </c>
      <c r="J107" s="7">
        <f t="shared" si="7"/>
        <v>15</v>
      </c>
      <c r="K107" s="7">
        <f t="shared" si="8"/>
        <v>200</v>
      </c>
      <c r="L107" s="7">
        <f t="shared" si="9"/>
        <v>185</v>
      </c>
      <c r="M107" s="7">
        <f t="shared" si="10"/>
        <v>15</v>
      </c>
      <c r="N107" s="7">
        <f t="shared" si="11"/>
        <v>6015</v>
      </c>
      <c r="O107" s="7">
        <f t="shared" si="12"/>
        <v>6385</v>
      </c>
      <c r="P107" s="15">
        <f t="shared" si="13"/>
        <v>12.333333333333334</v>
      </c>
      <c r="Q107" s="7">
        <f>J107*'Model inputs'!$B$8</f>
        <v>1500</v>
      </c>
      <c r="R107" s="1" t="s">
        <v>162</v>
      </c>
      <c r="S107" s="1">
        <v>176</v>
      </c>
      <c r="T107" s="1">
        <v>195</v>
      </c>
    </row>
    <row r="108" spans="1:20" ht="21" customHeight="1">
      <c r="A108" s="8">
        <v>46280</v>
      </c>
      <c r="B108" s="1" t="s">
        <v>34</v>
      </c>
      <c r="C108" s="1" t="s">
        <v>90</v>
      </c>
      <c r="D108" s="7">
        <v>6000</v>
      </c>
      <c r="E108" s="7">
        <v>6200</v>
      </c>
      <c r="F108" s="7">
        <v>6400</v>
      </c>
      <c r="G108" s="7">
        <f>'Option source'!B675</f>
        <v>59.49</v>
      </c>
      <c r="H108" s="7">
        <f>'Option source'!B694</f>
        <v>97.24</v>
      </c>
      <c r="I108" s="7">
        <f>'Option source'!B713</f>
        <v>151.43</v>
      </c>
      <c r="J108" s="7">
        <f t="shared" si="7"/>
        <v>16.440000000000026</v>
      </c>
      <c r="K108" s="7">
        <f t="shared" si="8"/>
        <v>200</v>
      </c>
      <c r="L108" s="7">
        <f t="shared" si="9"/>
        <v>183.55999999999997</v>
      </c>
      <c r="M108" s="7">
        <f t="shared" si="10"/>
        <v>16.440000000000026</v>
      </c>
      <c r="N108" s="7">
        <f t="shared" si="11"/>
        <v>6016.44</v>
      </c>
      <c r="O108" s="7">
        <f t="shared" si="12"/>
        <v>6383.56</v>
      </c>
      <c r="P108" s="15">
        <f t="shared" si="13"/>
        <v>11.165450121654482</v>
      </c>
      <c r="Q108" s="7">
        <f>J108*'Model inputs'!$B$8</f>
        <v>1644.0000000000027</v>
      </c>
      <c r="R108" s="1" t="s">
        <v>162</v>
      </c>
      <c r="S108" s="1">
        <v>670</v>
      </c>
      <c r="T108" s="1">
        <v>689</v>
      </c>
    </row>
    <row r="109" spans="1:20" ht="21" customHeight="1">
      <c r="A109" s="8">
        <v>46280</v>
      </c>
      <c r="B109" s="1" t="s">
        <v>34</v>
      </c>
      <c r="C109" s="1" t="s">
        <v>87</v>
      </c>
      <c r="D109" s="7">
        <v>7200</v>
      </c>
      <c r="E109" s="7">
        <v>7400</v>
      </c>
      <c r="F109" s="7">
        <v>7600</v>
      </c>
      <c r="G109" s="7">
        <f>'Option source'!B295</f>
        <v>205.53</v>
      </c>
      <c r="H109" s="7">
        <f>'Option source'!B314</f>
        <v>148.96</v>
      </c>
      <c r="I109" s="7">
        <f>'Option source'!B333</f>
        <v>106.1</v>
      </c>
      <c r="J109" s="7">
        <f t="shared" si="7"/>
        <v>13.70999999999998</v>
      </c>
      <c r="K109" s="7">
        <f t="shared" si="8"/>
        <v>200</v>
      </c>
      <c r="L109" s="7">
        <f t="shared" si="9"/>
        <v>186.29000000000002</v>
      </c>
      <c r="M109" s="7">
        <f t="shared" si="10"/>
        <v>13.70999999999998</v>
      </c>
      <c r="N109" s="7">
        <f t="shared" si="11"/>
        <v>7213.71</v>
      </c>
      <c r="O109" s="7">
        <f t="shared" si="12"/>
        <v>7586.29</v>
      </c>
      <c r="P109" s="15">
        <f t="shared" si="13"/>
        <v>13.587892049598855</v>
      </c>
      <c r="Q109" s="7">
        <f>J109*'Model inputs'!$B$8</f>
        <v>1370.999999999998</v>
      </c>
      <c r="R109" s="1" t="s">
        <v>162</v>
      </c>
      <c r="S109" s="1">
        <v>290</v>
      </c>
      <c r="T109" s="1">
        <v>309</v>
      </c>
    </row>
    <row r="110" spans="1:20" ht="21" customHeight="1">
      <c r="A110" s="8">
        <v>46280</v>
      </c>
      <c r="B110" s="1" t="s">
        <v>34</v>
      </c>
      <c r="C110" s="1" t="s">
        <v>90</v>
      </c>
      <c r="D110" s="7">
        <v>5800</v>
      </c>
      <c r="E110" s="7">
        <v>6000</v>
      </c>
      <c r="F110" s="7">
        <v>6200</v>
      </c>
      <c r="G110" s="7">
        <f>'Option source'!B656</f>
        <v>32.86</v>
      </c>
      <c r="H110" s="7">
        <f>'Option source'!B675</f>
        <v>59.49</v>
      </c>
      <c r="I110" s="7">
        <f>'Option source'!B694</f>
        <v>97.24</v>
      </c>
      <c r="J110" s="7">
        <f t="shared" si="7"/>
        <v>11.11999999999999</v>
      </c>
      <c r="K110" s="7">
        <f t="shared" si="8"/>
        <v>200</v>
      </c>
      <c r="L110" s="7">
        <f t="shared" si="9"/>
        <v>188.88</v>
      </c>
      <c r="M110" s="7">
        <f t="shared" si="10"/>
        <v>11.11999999999999</v>
      </c>
      <c r="N110" s="7">
        <f t="shared" si="11"/>
        <v>5811.12</v>
      </c>
      <c r="O110" s="7">
        <f t="shared" si="12"/>
        <v>6188.88</v>
      </c>
      <c r="P110" s="15">
        <f t="shared" si="13"/>
        <v>16.985611510791383</v>
      </c>
      <c r="Q110" s="7">
        <f>J110*'Model inputs'!$B$8</f>
        <v>1111.9999999999991</v>
      </c>
      <c r="R110" s="1" t="s">
        <v>162</v>
      </c>
      <c r="S110" s="1">
        <v>651</v>
      </c>
      <c r="T110" s="1">
        <v>670</v>
      </c>
    </row>
    <row r="111" spans="1:20" ht="21" customHeight="1">
      <c r="A111" s="8">
        <v>46280</v>
      </c>
      <c r="B111" s="1" t="s">
        <v>34</v>
      </c>
      <c r="C111" s="1" t="s">
        <v>87</v>
      </c>
      <c r="D111" s="7">
        <v>7400</v>
      </c>
      <c r="E111" s="7">
        <v>7600</v>
      </c>
      <c r="F111" s="7">
        <v>7800</v>
      </c>
      <c r="G111" s="7">
        <f>'Option source'!B314</f>
        <v>148.96</v>
      </c>
      <c r="H111" s="7">
        <f>'Option source'!B333</f>
        <v>106.1</v>
      </c>
      <c r="I111" s="7">
        <f>'Option source'!B352</f>
        <v>74.959999999999994</v>
      </c>
      <c r="J111" s="7">
        <f t="shared" si="7"/>
        <v>11.720000000000013</v>
      </c>
      <c r="K111" s="7">
        <f t="shared" si="8"/>
        <v>200</v>
      </c>
      <c r="L111" s="7">
        <f t="shared" si="9"/>
        <v>188.27999999999997</v>
      </c>
      <c r="M111" s="7">
        <f t="shared" si="10"/>
        <v>11.720000000000013</v>
      </c>
      <c r="N111" s="7">
        <f t="shared" si="11"/>
        <v>7411.72</v>
      </c>
      <c r="O111" s="7">
        <f t="shared" si="12"/>
        <v>7788.28</v>
      </c>
      <c r="P111" s="15">
        <f t="shared" si="13"/>
        <v>16.064846416382231</v>
      </c>
      <c r="Q111" s="7">
        <f>J111*'Model inputs'!$B$8</f>
        <v>1172.0000000000014</v>
      </c>
      <c r="R111" s="1" t="s">
        <v>162</v>
      </c>
      <c r="S111" s="1">
        <v>309</v>
      </c>
      <c r="T111" s="1">
        <v>328</v>
      </c>
    </row>
    <row r="112" spans="1:20" ht="21" customHeight="1">
      <c r="A112" s="8">
        <v>46280</v>
      </c>
      <c r="B112" s="1" t="s">
        <v>34</v>
      </c>
      <c r="C112" s="1" t="s">
        <v>90</v>
      </c>
      <c r="D112" s="7">
        <v>5600</v>
      </c>
      <c r="E112" s="7">
        <v>5800</v>
      </c>
      <c r="F112" s="7">
        <v>6000</v>
      </c>
      <c r="G112" s="7">
        <f>'Option source'!B637</f>
        <v>17.760000000000002</v>
      </c>
      <c r="H112" s="7">
        <f>'Option source'!B656</f>
        <v>32.86</v>
      </c>
      <c r="I112" s="7">
        <f>'Option source'!B675</f>
        <v>59.49</v>
      </c>
      <c r="J112" s="7">
        <f t="shared" si="7"/>
        <v>11.530000000000008</v>
      </c>
      <c r="K112" s="7">
        <f t="shared" si="8"/>
        <v>200</v>
      </c>
      <c r="L112" s="7">
        <f t="shared" si="9"/>
        <v>188.47</v>
      </c>
      <c r="M112" s="7">
        <f t="shared" si="10"/>
        <v>11.530000000000008</v>
      </c>
      <c r="N112" s="7">
        <f t="shared" si="11"/>
        <v>5611.53</v>
      </c>
      <c r="O112" s="7">
        <f t="shared" si="12"/>
        <v>5988.47</v>
      </c>
      <c r="P112" s="15">
        <f t="shared" si="13"/>
        <v>16.346053772766684</v>
      </c>
      <c r="Q112" s="7">
        <f>J112*'Model inputs'!$B$8</f>
        <v>1153.0000000000009</v>
      </c>
      <c r="R112" s="1" t="s">
        <v>162</v>
      </c>
      <c r="S112" s="1">
        <v>632</v>
      </c>
      <c r="T112" s="1">
        <v>651</v>
      </c>
    </row>
    <row r="113" spans="1:20" ht="21" customHeight="1">
      <c r="A113" s="8">
        <v>46280</v>
      </c>
      <c r="B113" s="1" t="s">
        <v>34</v>
      </c>
      <c r="C113" s="1" t="s">
        <v>87</v>
      </c>
      <c r="D113" s="7">
        <v>7600</v>
      </c>
      <c r="E113" s="7">
        <v>7800</v>
      </c>
      <c r="F113" s="7">
        <v>8000</v>
      </c>
      <c r="G113" s="7">
        <f>'Option source'!B333</f>
        <v>106.1</v>
      </c>
      <c r="H113" s="7">
        <f>'Option source'!B352</f>
        <v>74.959999999999994</v>
      </c>
      <c r="I113" s="7">
        <f>'Option source'!B371</f>
        <v>53.36</v>
      </c>
      <c r="J113" s="7">
        <f t="shared" si="7"/>
        <v>9.5400000000000063</v>
      </c>
      <c r="K113" s="7">
        <f t="shared" si="8"/>
        <v>200</v>
      </c>
      <c r="L113" s="7">
        <f t="shared" si="9"/>
        <v>190.45999999999998</v>
      </c>
      <c r="M113" s="7">
        <f t="shared" si="10"/>
        <v>9.5400000000000063</v>
      </c>
      <c r="N113" s="7">
        <f t="shared" si="11"/>
        <v>7609.54</v>
      </c>
      <c r="O113" s="7">
        <f t="shared" si="12"/>
        <v>7990.46</v>
      </c>
      <c r="P113" s="15">
        <f t="shared" si="13"/>
        <v>19.96436058700208</v>
      </c>
      <c r="Q113" s="7">
        <f>J113*'Model inputs'!$B$8</f>
        <v>954.00000000000068</v>
      </c>
      <c r="R113" s="1" t="s">
        <v>162</v>
      </c>
      <c r="S113" s="1">
        <v>328</v>
      </c>
      <c r="T113" s="1">
        <v>347</v>
      </c>
    </row>
    <row r="114" spans="1:20" ht="21" customHeight="1">
      <c r="A114" s="8">
        <v>46280</v>
      </c>
      <c r="B114" s="1" t="s">
        <v>34</v>
      </c>
      <c r="C114" s="1" t="s">
        <v>90</v>
      </c>
      <c r="D114" s="7">
        <v>5400</v>
      </c>
      <c r="E114" s="7">
        <v>5600</v>
      </c>
      <c r="F114" s="7">
        <v>5800</v>
      </c>
      <c r="G114" s="7">
        <f>'Option source'!B618</f>
        <v>9.9</v>
      </c>
      <c r="H114" s="7">
        <f>'Option source'!B637</f>
        <v>17.760000000000002</v>
      </c>
      <c r="I114" s="7">
        <f>'Option source'!B656</f>
        <v>32.86</v>
      </c>
      <c r="J114" s="7">
        <f t="shared" si="7"/>
        <v>7.2399999999999949</v>
      </c>
      <c r="K114" s="7">
        <f t="shared" si="8"/>
        <v>200</v>
      </c>
      <c r="L114" s="7">
        <f t="shared" si="9"/>
        <v>192.76</v>
      </c>
      <c r="M114" s="7">
        <f t="shared" si="10"/>
        <v>7.2399999999999949</v>
      </c>
      <c r="N114" s="7">
        <f t="shared" si="11"/>
        <v>5407.24</v>
      </c>
      <c r="O114" s="7">
        <f t="shared" si="12"/>
        <v>5792.76</v>
      </c>
      <c r="P114" s="15">
        <f t="shared" si="13"/>
        <v>26.624309392265211</v>
      </c>
      <c r="Q114" s="7">
        <f>J114*'Model inputs'!$B$8</f>
        <v>723.99999999999955</v>
      </c>
      <c r="R114" s="1" t="s">
        <v>162</v>
      </c>
      <c r="S114" s="1">
        <v>613</v>
      </c>
      <c r="T114" s="1">
        <v>632</v>
      </c>
    </row>
    <row r="115" spans="1:20" ht="21" customHeight="1">
      <c r="A115" s="8">
        <v>46280</v>
      </c>
      <c r="B115" s="1" t="s">
        <v>34</v>
      </c>
      <c r="C115" s="1" t="s">
        <v>90</v>
      </c>
      <c r="D115" s="7">
        <v>5200</v>
      </c>
      <c r="E115" s="7">
        <v>5400</v>
      </c>
      <c r="F115" s="7">
        <v>5600</v>
      </c>
      <c r="G115" s="7">
        <f>'Option source'!B599</f>
        <v>5.46</v>
      </c>
      <c r="H115" s="7">
        <f>'Option source'!B618</f>
        <v>9.9</v>
      </c>
      <c r="I115" s="7">
        <f>'Option source'!B637</f>
        <v>17.760000000000002</v>
      </c>
      <c r="J115" s="7">
        <f t="shared" si="7"/>
        <v>3.4200000000000017</v>
      </c>
      <c r="K115" s="7">
        <f t="shared" si="8"/>
        <v>200</v>
      </c>
      <c r="L115" s="7">
        <f t="shared" si="9"/>
        <v>196.57999999999998</v>
      </c>
      <c r="M115" s="7">
        <f t="shared" si="10"/>
        <v>3.4200000000000017</v>
      </c>
      <c r="N115" s="7">
        <f t="shared" si="11"/>
        <v>5203.42</v>
      </c>
      <c r="O115" s="7">
        <f t="shared" si="12"/>
        <v>5596.58</v>
      </c>
      <c r="P115" s="15">
        <f t="shared" si="13"/>
        <v>57.479532163742654</v>
      </c>
      <c r="Q115" s="7">
        <f>J115*'Model inputs'!$B$8</f>
        <v>342.00000000000017</v>
      </c>
      <c r="R115" s="1" t="s">
        <v>162</v>
      </c>
      <c r="S115" s="1">
        <v>594</v>
      </c>
      <c r="T115" s="1">
        <v>613</v>
      </c>
    </row>
    <row r="116" spans="1:20" ht="21" customHeight="1">
      <c r="A116" s="8">
        <v>46280</v>
      </c>
      <c r="B116" s="1" t="s">
        <v>34</v>
      </c>
      <c r="C116" s="1" t="s">
        <v>90</v>
      </c>
      <c r="D116" s="7">
        <v>5000</v>
      </c>
      <c r="E116" s="7">
        <v>5200</v>
      </c>
      <c r="F116" s="7">
        <v>5400</v>
      </c>
      <c r="G116" s="7">
        <f>'Option source'!B580</f>
        <v>3.46</v>
      </c>
      <c r="H116" s="7">
        <f>'Option source'!B599</f>
        <v>5.46</v>
      </c>
      <c r="I116" s="7">
        <f>'Option source'!B618</f>
        <v>9.9</v>
      </c>
      <c r="J116" s="7">
        <f t="shared" si="7"/>
        <v>2.4400000000000004</v>
      </c>
      <c r="K116" s="7">
        <f t="shared" si="8"/>
        <v>200</v>
      </c>
      <c r="L116" s="7">
        <f t="shared" si="9"/>
        <v>197.56</v>
      </c>
      <c r="M116" s="7">
        <f t="shared" si="10"/>
        <v>2.4400000000000004</v>
      </c>
      <c r="N116" s="7">
        <f t="shared" si="11"/>
        <v>5002.4399999999996</v>
      </c>
      <c r="O116" s="7">
        <f t="shared" si="12"/>
        <v>5397.56</v>
      </c>
      <c r="P116" s="15">
        <f t="shared" si="13"/>
        <v>80.967213114754088</v>
      </c>
      <c r="Q116" s="7">
        <f>J116*'Model inputs'!$B$8</f>
        <v>244.00000000000003</v>
      </c>
      <c r="R116" s="1" t="s">
        <v>162</v>
      </c>
      <c r="S116" s="1">
        <v>575</v>
      </c>
      <c r="T116" s="1">
        <v>594</v>
      </c>
    </row>
    <row r="117" spans="1:20" ht="21" customHeight="1">
      <c r="A117" s="8">
        <v>46280</v>
      </c>
      <c r="B117" s="1" t="s">
        <v>34</v>
      </c>
      <c r="C117" s="1" t="s">
        <v>87</v>
      </c>
      <c r="D117" s="7">
        <v>8000</v>
      </c>
      <c r="E117" s="7">
        <v>8300</v>
      </c>
      <c r="F117" s="7">
        <v>8600</v>
      </c>
      <c r="G117" s="7">
        <f>'Option source'!B371</f>
        <v>53.36</v>
      </c>
      <c r="H117" s="7">
        <f>'Option source'!B390</f>
        <v>31.45</v>
      </c>
      <c r="I117" s="7">
        <f>'Option source'!B409</f>
        <v>19.149999999999999</v>
      </c>
      <c r="J117" s="7">
        <f t="shared" si="7"/>
        <v>9.61</v>
      </c>
      <c r="K117" s="7">
        <f t="shared" si="8"/>
        <v>300</v>
      </c>
      <c r="L117" s="7">
        <f t="shared" si="9"/>
        <v>290.39</v>
      </c>
      <c r="M117" s="7">
        <f t="shared" si="10"/>
        <v>9.61</v>
      </c>
      <c r="N117" s="7">
        <f t="shared" si="11"/>
        <v>8009.61</v>
      </c>
      <c r="O117" s="7">
        <f t="shared" si="12"/>
        <v>8590.39</v>
      </c>
      <c r="P117" s="15">
        <f t="shared" si="13"/>
        <v>30.217481789802289</v>
      </c>
      <c r="Q117" s="7">
        <f>J117*'Model inputs'!$B$8</f>
        <v>961</v>
      </c>
      <c r="R117" s="1" t="s">
        <v>162</v>
      </c>
      <c r="S117" s="1">
        <v>366</v>
      </c>
      <c r="T117" s="1">
        <v>385</v>
      </c>
    </row>
    <row r="118" spans="1:20" ht="21" customHeight="1">
      <c r="A118" s="8">
        <v>46280</v>
      </c>
      <c r="B118" s="1" t="s">
        <v>34</v>
      </c>
      <c r="C118" s="1" t="s">
        <v>90</v>
      </c>
      <c r="D118" s="7">
        <v>4800</v>
      </c>
      <c r="E118" s="7">
        <v>5000</v>
      </c>
      <c r="F118" s="7">
        <v>5200</v>
      </c>
      <c r="G118" s="7">
        <f>'Option source'!B561</f>
        <v>2.64</v>
      </c>
      <c r="H118" s="7">
        <f>'Option source'!B580</f>
        <v>3.46</v>
      </c>
      <c r="I118" s="7">
        <f>'Option source'!B599</f>
        <v>5.46</v>
      </c>
      <c r="J118" s="7">
        <f t="shared" si="7"/>
        <v>1.1800000000000006</v>
      </c>
      <c r="K118" s="7">
        <f t="shared" si="8"/>
        <v>200</v>
      </c>
      <c r="L118" s="7">
        <f t="shared" si="9"/>
        <v>198.82</v>
      </c>
      <c r="M118" s="7">
        <f t="shared" si="10"/>
        <v>1.1800000000000006</v>
      </c>
      <c r="N118" s="7">
        <f t="shared" si="11"/>
        <v>4801.18</v>
      </c>
      <c r="O118" s="7">
        <f t="shared" si="12"/>
        <v>5198.82</v>
      </c>
      <c r="P118" s="15">
        <f t="shared" si="13"/>
        <v>168.49152542372872</v>
      </c>
      <c r="Q118" s="7">
        <f>J118*'Model inputs'!$B$8</f>
        <v>118.00000000000006</v>
      </c>
      <c r="R118" s="1" t="s">
        <v>162</v>
      </c>
      <c r="S118" s="1">
        <v>556</v>
      </c>
      <c r="T118" s="1">
        <v>575</v>
      </c>
    </row>
    <row r="119" spans="1:20" ht="21" customHeight="1">
      <c r="A119" s="8">
        <v>46280</v>
      </c>
      <c r="B119" s="1" t="s">
        <v>34</v>
      </c>
      <c r="C119" s="1" t="s">
        <v>87</v>
      </c>
      <c r="D119" s="7">
        <v>8300</v>
      </c>
      <c r="E119" s="7">
        <v>8600</v>
      </c>
      <c r="F119" s="7">
        <v>8900</v>
      </c>
      <c r="G119" s="7">
        <f>'Option source'!B390</f>
        <v>31.45</v>
      </c>
      <c r="H119" s="7">
        <f>'Option source'!B409</f>
        <v>19.149999999999999</v>
      </c>
      <c r="I119" s="7">
        <f>'Option source'!B428</f>
        <v>9.81</v>
      </c>
      <c r="J119" s="7">
        <f t="shared" si="7"/>
        <v>2.9600000000000026</v>
      </c>
      <c r="K119" s="7">
        <f t="shared" si="8"/>
        <v>300</v>
      </c>
      <c r="L119" s="7">
        <f t="shared" si="9"/>
        <v>297.04000000000002</v>
      </c>
      <c r="M119" s="7">
        <f t="shared" si="10"/>
        <v>2.9600000000000026</v>
      </c>
      <c r="N119" s="7">
        <f t="shared" si="11"/>
        <v>8302.9599999999991</v>
      </c>
      <c r="O119" s="7">
        <f t="shared" si="12"/>
        <v>8897.0400000000009</v>
      </c>
      <c r="P119" s="15">
        <f t="shared" si="13"/>
        <v>100.35135135135127</v>
      </c>
      <c r="Q119" s="7">
        <f>J119*'Model inputs'!$B$8</f>
        <v>296.00000000000028</v>
      </c>
      <c r="R119" s="1" t="s">
        <v>162</v>
      </c>
      <c r="S119" s="1">
        <v>385</v>
      </c>
      <c r="T119" s="1">
        <v>404</v>
      </c>
    </row>
    <row r="120" spans="1:20" ht="21" customHeight="1">
      <c r="A120" s="8">
        <v>46280</v>
      </c>
      <c r="B120" s="1" t="s">
        <v>34</v>
      </c>
      <c r="C120" s="1" t="s">
        <v>87</v>
      </c>
      <c r="D120" s="7">
        <v>8600</v>
      </c>
      <c r="E120" s="7">
        <v>8900</v>
      </c>
      <c r="F120" s="7">
        <v>9200</v>
      </c>
      <c r="G120" s="7">
        <f>'Option source'!B409</f>
        <v>19.149999999999999</v>
      </c>
      <c r="H120" s="7">
        <f>'Option source'!B428</f>
        <v>9.81</v>
      </c>
      <c r="I120" s="7">
        <f>'Option source'!B447</f>
        <v>5.93</v>
      </c>
      <c r="J120" s="7">
        <f t="shared" si="7"/>
        <v>5.4599999999999973</v>
      </c>
      <c r="K120" s="7">
        <f t="shared" si="8"/>
        <v>300</v>
      </c>
      <c r="L120" s="7">
        <f t="shared" si="9"/>
        <v>294.54000000000002</v>
      </c>
      <c r="M120" s="7">
        <f t="shared" si="10"/>
        <v>5.4599999999999973</v>
      </c>
      <c r="N120" s="7">
        <f t="shared" si="11"/>
        <v>8605.4599999999991</v>
      </c>
      <c r="O120" s="7">
        <f t="shared" si="12"/>
        <v>9194.5400000000009</v>
      </c>
      <c r="P120" s="15">
        <f t="shared" si="13"/>
        <v>53.945054945054977</v>
      </c>
      <c r="Q120" s="7">
        <f>J120*'Model inputs'!$B$8</f>
        <v>545.99999999999977</v>
      </c>
      <c r="R120" s="1" t="s">
        <v>162</v>
      </c>
      <c r="S120" s="1">
        <v>404</v>
      </c>
      <c r="T120" s="1">
        <v>423</v>
      </c>
    </row>
    <row r="121" spans="1:20" ht="21" customHeight="1">
      <c r="A121" s="8">
        <v>46280</v>
      </c>
      <c r="B121" s="1" t="s">
        <v>34</v>
      </c>
      <c r="C121" s="1" t="s">
        <v>87</v>
      </c>
      <c r="D121" s="7">
        <v>8900</v>
      </c>
      <c r="E121" s="7">
        <v>9200</v>
      </c>
      <c r="F121" s="7">
        <v>9500</v>
      </c>
      <c r="G121" s="7">
        <f>'Option source'!B428</f>
        <v>9.81</v>
      </c>
      <c r="H121" s="7">
        <f>'Option source'!B447</f>
        <v>5.93</v>
      </c>
      <c r="I121" s="7">
        <f>'Option source'!B466</f>
        <v>3.7</v>
      </c>
      <c r="J121" s="7">
        <f t="shared" si="7"/>
        <v>1.6500000000000012</v>
      </c>
      <c r="K121" s="7">
        <f t="shared" si="8"/>
        <v>300</v>
      </c>
      <c r="L121" s="7">
        <f t="shared" si="9"/>
        <v>298.35000000000002</v>
      </c>
      <c r="M121" s="7">
        <f t="shared" si="10"/>
        <v>1.6500000000000012</v>
      </c>
      <c r="N121" s="7">
        <f t="shared" si="11"/>
        <v>8901.65</v>
      </c>
      <c r="O121" s="7">
        <f t="shared" si="12"/>
        <v>9498.35</v>
      </c>
      <c r="P121" s="15">
        <f t="shared" si="13"/>
        <v>180.8181818181817</v>
      </c>
      <c r="Q121" s="7">
        <f>J121*'Model inputs'!$B$8</f>
        <v>165.00000000000011</v>
      </c>
      <c r="R121" s="1" t="s">
        <v>162</v>
      </c>
      <c r="S121" s="1">
        <v>423</v>
      </c>
      <c r="T121" s="1">
        <v>442</v>
      </c>
    </row>
    <row r="122" spans="1:20" ht="21" customHeight="1">
      <c r="A122" s="8">
        <v>46280</v>
      </c>
      <c r="B122" s="1" t="s">
        <v>34</v>
      </c>
      <c r="C122" s="1" t="s">
        <v>90</v>
      </c>
      <c r="D122" s="7">
        <v>7000</v>
      </c>
      <c r="E122" s="7">
        <v>7200</v>
      </c>
      <c r="F122" s="7">
        <v>7400</v>
      </c>
      <c r="G122" s="7">
        <f>'Option source'!B770</f>
        <v>418.29</v>
      </c>
      <c r="H122" s="7">
        <f>'Option source'!B789</f>
        <v>542</v>
      </c>
      <c r="I122" s="7">
        <f>'Option source'!B808</f>
        <v>663.54</v>
      </c>
      <c r="J122" s="7">
        <f t="shared" si="7"/>
        <v>-2.1700000000000728</v>
      </c>
      <c r="K122" s="7">
        <f t="shared" si="8"/>
        <v>200</v>
      </c>
      <c r="L122" s="7">
        <f t="shared" si="9"/>
        <v>202.17000000000007</v>
      </c>
      <c r="M122" s="7">
        <f t="shared" si="10"/>
        <v>0</v>
      </c>
      <c r="N122" s="7" t="str">
        <f t="shared" si="11"/>
        <v>n.a.</v>
      </c>
      <c r="O122" s="7" t="str">
        <f t="shared" si="12"/>
        <v>n.a.</v>
      </c>
      <c r="P122" s="15" t="str">
        <f t="shared" si="13"/>
        <v>n.a.</v>
      </c>
      <c r="Q122" s="7">
        <f>J122*'Model inputs'!$B$8</f>
        <v>-217.00000000000728</v>
      </c>
      <c r="R122" s="1" t="s">
        <v>163</v>
      </c>
      <c r="S122" s="1">
        <v>765</v>
      </c>
      <c r="T122" s="1">
        <v>784</v>
      </c>
    </row>
    <row r="123" spans="1:20" ht="21" customHeight="1">
      <c r="A123" s="8">
        <v>46280</v>
      </c>
      <c r="B123" s="1" t="s">
        <v>34</v>
      </c>
      <c r="C123" s="1" t="s">
        <v>90</v>
      </c>
      <c r="D123" s="7">
        <v>7200</v>
      </c>
      <c r="E123" s="7">
        <v>7400</v>
      </c>
      <c r="F123" s="7">
        <v>7600</v>
      </c>
      <c r="G123" s="7">
        <f>'Option source'!B789</f>
        <v>542</v>
      </c>
      <c r="H123" s="7">
        <f>'Option source'!B808</f>
        <v>663.54</v>
      </c>
      <c r="I123" s="7">
        <f>'Option source'!B827</f>
        <v>860.85</v>
      </c>
      <c r="J123" s="7">
        <f t="shared" si="7"/>
        <v>75.770000000000095</v>
      </c>
      <c r="K123" s="7">
        <f t="shared" si="8"/>
        <v>200</v>
      </c>
      <c r="L123" s="7">
        <f t="shared" si="9"/>
        <v>124.2299999999999</v>
      </c>
      <c r="M123" s="7">
        <f t="shared" si="10"/>
        <v>75.770000000000095</v>
      </c>
      <c r="N123" s="7">
        <f t="shared" si="11"/>
        <v>7275.77</v>
      </c>
      <c r="O123" s="7">
        <f t="shared" si="12"/>
        <v>7524.23</v>
      </c>
      <c r="P123" s="15">
        <f t="shared" si="13"/>
        <v>1.6395671109937937</v>
      </c>
      <c r="Q123" s="7">
        <f>J123*'Model inputs'!$B$8</f>
        <v>7577.0000000000091</v>
      </c>
      <c r="R123" s="1" t="s">
        <v>164</v>
      </c>
      <c r="S123" s="1">
        <v>784</v>
      </c>
      <c r="T123" s="1">
        <v>803</v>
      </c>
    </row>
    <row r="124" spans="1:20" ht="21" customHeight="1">
      <c r="A124" s="8">
        <v>46280</v>
      </c>
      <c r="B124" s="1" t="s">
        <v>34</v>
      </c>
      <c r="C124" s="1" t="s">
        <v>87</v>
      </c>
      <c r="D124" s="7">
        <v>5800</v>
      </c>
      <c r="E124" s="7">
        <v>6000</v>
      </c>
      <c r="F124" s="7">
        <v>6200</v>
      </c>
      <c r="G124" s="7">
        <f>'Option source'!B162</f>
        <v>1198.6500000000001</v>
      </c>
      <c r="H124" s="7">
        <f>'Option source'!B181</f>
        <v>930</v>
      </c>
      <c r="I124" s="7">
        <f>'Option source'!B200</f>
        <v>757.6</v>
      </c>
      <c r="J124" s="7">
        <f t="shared" si="7"/>
        <v>96.250000000000114</v>
      </c>
      <c r="K124" s="7">
        <f t="shared" si="8"/>
        <v>200</v>
      </c>
      <c r="L124" s="7">
        <f t="shared" si="9"/>
        <v>103.74999999999989</v>
      </c>
      <c r="M124" s="7">
        <f t="shared" si="10"/>
        <v>96.250000000000114</v>
      </c>
      <c r="N124" s="7">
        <f t="shared" si="11"/>
        <v>5896.25</v>
      </c>
      <c r="O124" s="7">
        <f t="shared" si="12"/>
        <v>6103.75</v>
      </c>
      <c r="P124" s="15">
        <f t="shared" si="13"/>
        <v>1.0779220779220755</v>
      </c>
      <c r="Q124" s="7">
        <f>J124*'Model inputs'!$B$8</f>
        <v>9625.0000000000109</v>
      </c>
      <c r="R124" s="1" t="s">
        <v>164</v>
      </c>
      <c r="S124" s="1">
        <v>157</v>
      </c>
      <c r="T124" s="1">
        <v>176</v>
      </c>
    </row>
    <row r="125" spans="1:20" ht="21" customHeight="1">
      <c r="A125" s="8">
        <v>46280</v>
      </c>
      <c r="B125" s="1" t="s">
        <v>34</v>
      </c>
      <c r="C125" s="1" t="s">
        <v>90</v>
      </c>
      <c r="D125" s="7">
        <v>7400</v>
      </c>
      <c r="E125" s="7">
        <v>7600</v>
      </c>
      <c r="F125" s="7">
        <v>7800</v>
      </c>
      <c r="G125" s="7">
        <f>'Option source'!B808</f>
        <v>663.54</v>
      </c>
      <c r="H125" s="7">
        <f>'Option source'!B827</f>
        <v>860.85</v>
      </c>
      <c r="I125" s="7">
        <f>'Option source'!B846</f>
        <v>1064.72</v>
      </c>
      <c r="J125" s="7">
        <f t="shared" si="7"/>
        <v>6.5599999999999454</v>
      </c>
      <c r="K125" s="7">
        <f t="shared" si="8"/>
        <v>200</v>
      </c>
      <c r="L125" s="7">
        <f t="shared" si="9"/>
        <v>193.44000000000005</v>
      </c>
      <c r="M125" s="7">
        <f t="shared" si="10"/>
        <v>6.5599999999999454</v>
      </c>
      <c r="N125" s="7">
        <f t="shared" si="11"/>
        <v>7406.5599999999995</v>
      </c>
      <c r="O125" s="7">
        <f t="shared" si="12"/>
        <v>7793.4400000000005</v>
      </c>
      <c r="P125" s="15">
        <f t="shared" si="13"/>
        <v>29.487804878049033</v>
      </c>
      <c r="Q125" s="7">
        <f>J125*'Model inputs'!$B$8</f>
        <v>655.99999999999454</v>
      </c>
      <c r="R125" s="1" t="s">
        <v>164</v>
      </c>
      <c r="S125" s="1">
        <v>803</v>
      </c>
      <c r="T125" s="1">
        <v>822</v>
      </c>
    </row>
    <row r="126" spans="1:20" ht="21" customHeight="1">
      <c r="A126" s="8">
        <v>46280</v>
      </c>
      <c r="B126" s="1" t="s">
        <v>34</v>
      </c>
      <c r="C126" s="1" t="s">
        <v>87</v>
      </c>
      <c r="D126" s="7">
        <v>5600</v>
      </c>
      <c r="E126" s="7">
        <v>5800</v>
      </c>
      <c r="F126" s="7">
        <v>6000</v>
      </c>
      <c r="G126" s="7">
        <f>'Option source'!B152</f>
        <v>1455</v>
      </c>
      <c r="H126" s="7">
        <f>'Option source'!B162</f>
        <v>1198.6500000000001</v>
      </c>
      <c r="I126" s="7">
        <f>'Option source'!B181</f>
        <v>930</v>
      </c>
      <c r="J126" s="7">
        <f t="shared" si="7"/>
        <v>-12.300000000000182</v>
      </c>
      <c r="K126" s="7">
        <f t="shared" si="8"/>
        <v>200</v>
      </c>
      <c r="L126" s="7">
        <f t="shared" si="9"/>
        <v>212.30000000000018</v>
      </c>
      <c r="M126" s="7">
        <f t="shared" si="10"/>
        <v>0</v>
      </c>
      <c r="N126" s="7" t="str">
        <f t="shared" si="11"/>
        <v>n.a.</v>
      </c>
      <c r="O126" s="7" t="str">
        <f t="shared" si="12"/>
        <v>n.a.</v>
      </c>
      <c r="P126" s="15" t="str">
        <f t="shared" si="13"/>
        <v>n.a.</v>
      </c>
      <c r="Q126" s="7">
        <f>J126*'Model inputs'!$B$8</f>
        <v>-1230.0000000000182</v>
      </c>
      <c r="R126" s="1" t="s">
        <v>163</v>
      </c>
      <c r="S126" s="1">
        <v>147</v>
      </c>
      <c r="T126" s="1">
        <v>157</v>
      </c>
    </row>
    <row r="127" spans="1:20" ht="21" customHeight="1">
      <c r="A127" s="8">
        <v>46280</v>
      </c>
      <c r="B127" s="1" t="s">
        <v>34</v>
      </c>
      <c r="C127" s="1" t="s">
        <v>90</v>
      </c>
      <c r="D127" s="7">
        <v>7600</v>
      </c>
      <c r="E127" s="7">
        <v>7800</v>
      </c>
      <c r="F127" s="7">
        <v>8000</v>
      </c>
      <c r="G127" s="7">
        <f>'Option source'!B827</f>
        <v>860.85</v>
      </c>
      <c r="H127" s="7">
        <f>'Option source'!B846</f>
        <v>1064.72</v>
      </c>
      <c r="I127" s="7">
        <f>'Option source'!B865</f>
        <v>1230</v>
      </c>
      <c r="J127" s="7">
        <f t="shared" si="7"/>
        <v>-38.590000000000146</v>
      </c>
      <c r="K127" s="7">
        <f t="shared" si="8"/>
        <v>200</v>
      </c>
      <c r="L127" s="7">
        <f t="shared" si="9"/>
        <v>238.59000000000015</v>
      </c>
      <c r="M127" s="7">
        <f t="shared" si="10"/>
        <v>0</v>
      </c>
      <c r="N127" s="7" t="str">
        <f t="shared" si="11"/>
        <v>n.a.</v>
      </c>
      <c r="O127" s="7" t="str">
        <f t="shared" si="12"/>
        <v>n.a.</v>
      </c>
      <c r="P127" s="15" t="str">
        <f t="shared" si="13"/>
        <v>n.a.</v>
      </c>
      <c r="Q127" s="7">
        <f>J127*'Model inputs'!$B$8</f>
        <v>-3859.0000000000146</v>
      </c>
      <c r="R127" s="1" t="s">
        <v>163</v>
      </c>
      <c r="S127" s="1">
        <v>822</v>
      </c>
      <c r="T127" s="1">
        <v>841</v>
      </c>
    </row>
    <row r="128" spans="1:20" ht="21" customHeight="1">
      <c r="A128" s="8">
        <v>46280</v>
      </c>
      <c r="B128" s="1" t="s">
        <v>34</v>
      </c>
      <c r="C128" s="1" t="s">
        <v>87</v>
      </c>
      <c r="D128" s="7">
        <v>5400</v>
      </c>
      <c r="E128" s="7">
        <v>5600</v>
      </c>
      <c r="F128" s="7">
        <v>5800</v>
      </c>
      <c r="G128" s="7">
        <f>'Option source'!B134</f>
        <v>1470</v>
      </c>
      <c r="H128" s="7">
        <f>'Option source'!B152</f>
        <v>1455</v>
      </c>
      <c r="I128" s="7">
        <f>'Option source'!B162</f>
        <v>1198.6500000000001</v>
      </c>
      <c r="J128" s="7">
        <f t="shared" si="7"/>
        <v>-241.34999999999991</v>
      </c>
      <c r="K128" s="7">
        <f t="shared" si="8"/>
        <v>200</v>
      </c>
      <c r="L128" s="7">
        <f t="shared" si="9"/>
        <v>441.34999999999991</v>
      </c>
      <c r="M128" s="7">
        <f t="shared" si="10"/>
        <v>0</v>
      </c>
      <c r="N128" s="7" t="str">
        <f t="shared" si="11"/>
        <v>n.a.</v>
      </c>
      <c r="O128" s="7" t="str">
        <f t="shared" si="12"/>
        <v>n.a.</v>
      </c>
      <c r="P128" s="15" t="str">
        <f t="shared" si="13"/>
        <v>n.a.</v>
      </c>
      <c r="Q128" s="7">
        <f>J128*'Model inputs'!$B$8</f>
        <v>-24134.999999999993</v>
      </c>
      <c r="R128" s="1" t="s">
        <v>163</v>
      </c>
      <c r="S128" s="1">
        <v>129</v>
      </c>
      <c r="T128" s="1">
        <v>147</v>
      </c>
    </row>
    <row r="129" spans="1:20" ht="21" customHeight="1">
      <c r="A129" s="8">
        <v>46280</v>
      </c>
      <c r="B129" s="1" t="s">
        <v>34</v>
      </c>
      <c r="C129" s="1" t="s">
        <v>87</v>
      </c>
      <c r="D129" s="7">
        <v>5200</v>
      </c>
      <c r="E129" s="7">
        <v>5400</v>
      </c>
      <c r="F129" s="7">
        <v>5600</v>
      </c>
      <c r="G129" s="7">
        <f>'Option source'!B115</f>
        <v>1678.07</v>
      </c>
      <c r="H129" s="7">
        <f>'Option source'!B134</f>
        <v>1470</v>
      </c>
      <c r="I129" s="7">
        <f>'Option source'!B152</f>
        <v>1455</v>
      </c>
      <c r="J129" s="7">
        <f t="shared" si="7"/>
        <v>193.06999999999994</v>
      </c>
      <c r="K129" s="7">
        <f t="shared" si="8"/>
        <v>200</v>
      </c>
      <c r="L129" s="7">
        <f t="shared" si="9"/>
        <v>6.9300000000000637</v>
      </c>
      <c r="M129" s="7">
        <f t="shared" si="10"/>
        <v>193.06999999999994</v>
      </c>
      <c r="N129" s="7">
        <f t="shared" si="11"/>
        <v>5393.07</v>
      </c>
      <c r="O129" s="7">
        <f t="shared" si="12"/>
        <v>5406.93</v>
      </c>
      <c r="P129" s="15">
        <f t="shared" si="13"/>
        <v>3.5893717304604889E-2</v>
      </c>
      <c r="Q129" s="7">
        <f>J129*'Model inputs'!$B$8</f>
        <v>19306.999999999993</v>
      </c>
      <c r="R129" s="1" t="s">
        <v>164</v>
      </c>
      <c r="S129" s="1">
        <v>110</v>
      </c>
      <c r="T129" s="1">
        <v>129</v>
      </c>
    </row>
    <row r="130" spans="1:20" ht="21" customHeight="1">
      <c r="A130" s="8">
        <v>46280</v>
      </c>
      <c r="B130" s="1" t="s">
        <v>34</v>
      </c>
      <c r="C130" s="1" t="s">
        <v>87</v>
      </c>
      <c r="D130" s="7">
        <v>5000</v>
      </c>
      <c r="E130" s="7">
        <v>5200</v>
      </c>
      <c r="F130" s="7">
        <v>5400</v>
      </c>
      <c r="G130" s="7">
        <f>'Option source'!B96</f>
        <v>1851</v>
      </c>
      <c r="H130" s="7">
        <f>'Option source'!B115</f>
        <v>1678.07</v>
      </c>
      <c r="I130" s="7">
        <f>'Option source'!B134</f>
        <v>1470</v>
      </c>
      <c r="J130" s="7">
        <f t="shared" si="7"/>
        <v>-35.139999999999873</v>
      </c>
      <c r="K130" s="7">
        <f t="shared" si="8"/>
        <v>200</v>
      </c>
      <c r="L130" s="7">
        <f t="shared" si="9"/>
        <v>235.13999999999987</v>
      </c>
      <c r="M130" s="7">
        <f t="shared" si="10"/>
        <v>0</v>
      </c>
      <c r="N130" s="7" t="str">
        <f t="shared" si="11"/>
        <v>n.a.</v>
      </c>
      <c r="O130" s="7" t="str">
        <f t="shared" si="12"/>
        <v>n.a.</v>
      </c>
      <c r="P130" s="15" t="str">
        <f t="shared" si="13"/>
        <v>n.a.</v>
      </c>
      <c r="Q130" s="7">
        <f>J130*'Model inputs'!$B$8</f>
        <v>-3513.9999999999873</v>
      </c>
      <c r="R130" s="1" t="s">
        <v>163</v>
      </c>
      <c r="S130" s="1">
        <v>91</v>
      </c>
      <c r="T130" s="1">
        <v>110</v>
      </c>
    </row>
    <row r="131" spans="1:20" ht="21" customHeight="1">
      <c r="A131" s="8">
        <v>46280</v>
      </c>
      <c r="B131" s="1" t="s">
        <v>34</v>
      </c>
      <c r="C131" s="1" t="s">
        <v>90</v>
      </c>
      <c r="D131" s="7">
        <v>8000</v>
      </c>
      <c r="E131" s="7">
        <v>8300</v>
      </c>
      <c r="F131" s="7">
        <v>8600</v>
      </c>
      <c r="G131" s="7">
        <f>'Option source'!B865</f>
        <v>1230</v>
      </c>
      <c r="H131" s="7">
        <f>'Option source'!B884</f>
        <v>1520</v>
      </c>
      <c r="I131" s="7">
        <f>'Option source'!B903</f>
        <v>1648.65</v>
      </c>
      <c r="J131" s="7">
        <f t="shared" si="7"/>
        <v>-161.34999999999991</v>
      </c>
      <c r="K131" s="7">
        <f t="shared" si="8"/>
        <v>300</v>
      </c>
      <c r="L131" s="7">
        <f t="shared" si="9"/>
        <v>461.34999999999991</v>
      </c>
      <c r="M131" s="7">
        <f t="shared" si="10"/>
        <v>0</v>
      </c>
      <c r="N131" s="7" t="str">
        <f t="shared" si="11"/>
        <v>n.a.</v>
      </c>
      <c r="O131" s="7" t="str">
        <f t="shared" si="12"/>
        <v>n.a.</v>
      </c>
      <c r="P131" s="15" t="str">
        <f t="shared" si="13"/>
        <v>n.a.</v>
      </c>
      <c r="Q131" s="7">
        <f>J131*'Model inputs'!$B$8</f>
        <v>-16134.999999999991</v>
      </c>
      <c r="R131" s="1" t="s">
        <v>163</v>
      </c>
      <c r="S131" s="1">
        <v>860</v>
      </c>
      <c r="T131" s="1">
        <v>879</v>
      </c>
    </row>
    <row r="132" spans="1:20" ht="21" customHeight="1">
      <c r="A132" s="8">
        <v>46280</v>
      </c>
      <c r="B132" s="1" t="s">
        <v>34</v>
      </c>
      <c r="C132" s="1" t="s">
        <v>87</v>
      </c>
      <c r="D132" s="7">
        <v>4800</v>
      </c>
      <c r="E132" s="7">
        <v>5000</v>
      </c>
      <c r="F132" s="7">
        <v>5200</v>
      </c>
      <c r="G132" s="7">
        <f>'Option source'!B79</f>
        <v>2084.21</v>
      </c>
      <c r="H132" s="7">
        <f>'Option source'!B96</f>
        <v>1851</v>
      </c>
      <c r="I132" s="7">
        <f>'Option source'!B115</f>
        <v>1678.07</v>
      </c>
      <c r="J132" s="7">
        <f t="shared" si="7"/>
        <v>60.279999999999973</v>
      </c>
      <c r="K132" s="7">
        <f t="shared" si="8"/>
        <v>200</v>
      </c>
      <c r="L132" s="7">
        <f t="shared" si="9"/>
        <v>139.72000000000003</v>
      </c>
      <c r="M132" s="7">
        <f t="shared" si="10"/>
        <v>60.279999999999973</v>
      </c>
      <c r="N132" s="7">
        <f t="shared" si="11"/>
        <v>4860.28</v>
      </c>
      <c r="O132" s="7">
        <f t="shared" si="12"/>
        <v>5139.72</v>
      </c>
      <c r="P132" s="15">
        <f t="shared" si="13"/>
        <v>2.3178500331785017</v>
      </c>
      <c r="Q132" s="7">
        <f>J132*'Model inputs'!$B$8</f>
        <v>6027.9999999999973</v>
      </c>
      <c r="R132" s="1" t="s">
        <v>164</v>
      </c>
      <c r="S132" s="1">
        <v>74</v>
      </c>
      <c r="T132" s="1">
        <v>91</v>
      </c>
    </row>
    <row r="133" spans="1:20" ht="21" customHeight="1">
      <c r="A133" s="8">
        <v>46280</v>
      </c>
      <c r="B133" s="1" t="s">
        <v>34</v>
      </c>
      <c r="C133" s="1" t="s">
        <v>90</v>
      </c>
      <c r="D133" s="7">
        <v>8300</v>
      </c>
      <c r="E133" s="7">
        <v>8600</v>
      </c>
      <c r="F133" s="7">
        <v>8900</v>
      </c>
      <c r="G133" s="7">
        <f>'Option source'!B884</f>
        <v>1520</v>
      </c>
      <c r="H133" s="7">
        <f>'Option source'!B903</f>
        <v>1648.65</v>
      </c>
      <c r="I133" s="7">
        <f>'Option source'!B918</f>
        <v>2022.5</v>
      </c>
      <c r="J133" s="7">
        <f t="shared" si="7"/>
        <v>245.19999999999982</v>
      </c>
      <c r="K133" s="7">
        <f t="shared" si="8"/>
        <v>300</v>
      </c>
      <c r="L133" s="7">
        <f t="shared" si="9"/>
        <v>54.800000000000182</v>
      </c>
      <c r="M133" s="7">
        <f t="shared" si="10"/>
        <v>245.19999999999982</v>
      </c>
      <c r="N133" s="7">
        <f t="shared" si="11"/>
        <v>8545.2000000000007</v>
      </c>
      <c r="O133" s="7">
        <f t="shared" si="12"/>
        <v>8654.7999999999993</v>
      </c>
      <c r="P133" s="15">
        <f t="shared" si="13"/>
        <v>0.22349102773246421</v>
      </c>
      <c r="Q133" s="7">
        <f>J133*'Model inputs'!$B$8</f>
        <v>24519.999999999982</v>
      </c>
      <c r="R133" s="1" t="s">
        <v>164</v>
      </c>
      <c r="S133" s="1">
        <v>879</v>
      </c>
      <c r="T133" s="1">
        <v>898</v>
      </c>
    </row>
    <row r="134" spans="1:20" ht="21" customHeight="1">
      <c r="A134" s="8">
        <v>46280</v>
      </c>
      <c r="B134" s="1" t="s">
        <v>34</v>
      </c>
      <c r="C134" s="1" t="s">
        <v>87</v>
      </c>
      <c r="D134" s="7">
        <v>4600</v>
      </c>
      <c r="E134" s="7">
        <v>4800</v>
      </c>
      <c r="F134" s="7">
        <v>5000</v>
      </c>
      <c r="G134" s="7">
        <f>'Option source'!B62</f>
        <v>2280.1</v>
      </c>
      <c r="H134" s="7">
        <f>'Option source'!B79</f>
        <v>2084.21</v>
      </c>
      <c r="I134" s="7">
        <f>'Option source'!B96</f>
        <v>1851</v>
      </c>
      <c r="J134" s="7">
        <f t="shared" si="7"/>
        <v>-37.320000000000164</v>
      </c>
      <c r="K134" s="7">
        <f t="shared" si="8"/>
        <v>200</v>
      </c>
      <c r="L134" s="7">
        <f t="shared" si="9"/>
        <v>237.32000000000016</v>
      </c>
      <c r="M134" s="7">
        <f t="shared" si="10"/>
        <v>0</v>
      </c>
      <c r="N134" s="7" t="str">
        <f t="shared" si="11"/>
        <v>n.a.</v>
      </c>
      <c r="O134" s="7" t="str">
        <f t="shared" si="12"/>
        <v>n.a.</v>
      </c>
      <c r="P134" s="15" t="str">
        <f t="shared" si="13"/>
        <v>n.a.</v>
      </c>
      <c r="Q134" s="7">
        <f>J134*'Model inputs'!$B$8</f>
        <v>-3732.0000000000164</v>
      </c>
      <c r="R134" s="1" t="s">
        <v>163</v>
      </c>
      <c r="S134" s="1">
        <v>57</v>
      </c>
      <c r="T134" s="1">
        <v>74</v>
      </c>
    </row>
    <row r="135" spans="1:20" ht="21" customHeight="1">
      <c r="A135" s="8">
        <v>46280</v>
      </c>
      <c r="B135" s="1" t="s">
        <v>34</v>
      </c>
      <c r="C135" s="1" t="s">
        <v>90</v>
      </c>
      <c r="D135" s="7">
        <v>4600</v>
      </c>
      <c r="E135" s="7">
        <v>4800</v>
      </c>
      <c r="F135" s="7">
        <v>5000</v>
      </c>
      <c r="G135" s="7">
        <f>'Option source'!B542</f>
        <v>1.8</v>
      </c>
      <c r="H135" s="7">
        <f>'Option source'!B561</f>
        <v>2.64</v>
      </c>
      <c r="I135" s="7">
        <f>'Option source'!B580</f>
        <v>3.46</v>
      </c>
      <c r="J135" s="7">
        <f t="shared" ref="J135:J198" si="14">G135-2*H135+IF(B135="Butterfly",I135,0)</f>
        <v>-2.0000000000000462E-2</v>
      </c>
      <c r="K135" s="7">
        <f t="shared" ref="K135:K198" si="15">ABS(E135-D135)</f>
        <v>200</v>
      </c>
      <c r="L135" s="7">
        <f t="shared" ref="L135:L198" si="16">K135-J135</f>
        <v>200.02</v>
      </c>
      <c r="M135" s="7">
        <f t="shared" ref="M135:M198" si="17">IF(B135="Butterfly",MAX(J135,0),IF(C135="call","Unlimited",MAX(2*E135-D135+J135,J135,0)))</f>
        <v>0</v>
      </c>
      <c r="N135" s="7" t="str">
        <f t="shared" ref="N135:N198" si="18">IF(B135="Butterfly",IF(AND(J135&gt;0,J135&lt;K135),D135+J135,"n.a."),IF(C135="call",IF(AND(J135&gt;0,J135&lt;K135),D135+J135,"n.a."),IF(AND(K135&gt;J135,2*E135-D135+J135&gt;=0),2*E135-D135+J135,"n.a.")))</f>
        <v>n.a.</v>
      </c>
      <c r="O135" s="7" t="str">
        <f t="shared" ref="O135:O198" si="19">IF(B135="Butterfly",IF(AND(J135&gt;0,J135&lt;K135),F135-J135,"n.a."),IF(C135="call",IF(K135&gt;J135,2*E135-D135-J135,"n.a."),IF(AND(J135&gt;0,J135&lt;K135),D135-J135,"n.a.")))</f>
        <v>n.a.</v>
      </c>
      <c r="P135" s="15" t="str">
        <f t="shared" ref="P135:P198" si="20">IF(AND(B135="Butterfly",J135&gt;0,J135&lt;K135),L135/J135,"n.a.")</f>
        <v>n.a.</v>
      </c>
      <c r="Q135" s="7">
        <f>J135*'Model inputs'!$B$8</f>
        <v>-2.0000000000000462</v>
      </c>
      <c r="R135" s="1" t="s">
        <v>163</v>
      </c>
      <c r="S135" s="1">
        <v>537</v>
      </c>
      <c r="T135" s="1">
        <v>556</v>
      </c>
    </row>
    <row r="136" spans="1:20" ht="21" customHeight="1">
      <c r="A136" s="8">
        <v>46280</v>
      </c>
      <c r="B136" s="1" t="s">
        <v>34</v>
      </c>
      <c r="C136" s="1" t="s">
        <v>87</v>
      </c>
      <c r="D136" s="7">
        <v>4400</v>
      </c>
      <c r="E136" s="7">
        <v>4600</v>
      </c>
      <c r="F136" s="7">
        <v>4800</v>
      </c>
      <c r="G136" s="7">
        <f>'Option source'!B43</f>
        <v>2422</v>
      </c>
      <c r="H136" s="7">
        <f>'Option source'!B62</f>
        <v>2280.1</v>
      </c>
      <c r="I136" s="7">
        <f>'Option source'!B79</f>
        <v>2084.21</v>
      </c>
      <c r="J136" s="7">
        <f t="shared" si="14"/>
        <v>-53.989999999999782</v>
      </c>
      <c r="K136" s="7">
        <f t="shared" si="15"/>
        <v>200</v>
      </c>
      <c r="L136" s="7">
        <f t="shared" si="16"/>
        <v>253.98999999999978</v>
      </c>
      <c r="M136" s="7">
        <f t="shared" si="17"/>
        <v>0</v>
      </c>
      <c r="N136" s="7" t="str">
        <f t="shared" si="18"/>
        <v>n.a.</v>
      </c>
      <c r="O136" s="7" t="str">
        <f t="shared" si="19"/>
        <v>n.a.</v>
      </c>
      <c r="P136" s="15" t="str">
        <f t="shared" si="20"/>
        <v>n.a.</v>
      </c>
      <c r="Q136" s="7">
        <f>J136*'Model inputs'!$B$8</f>
        <v>-5398.9999999999782</v>
      </c>
      <c r="R136" s="1" t="s">
        <v>163</v>
      </c>
      <c r="S136" s="1">
        <v>38</v>
      </c>
      <c r="T136" s="1">
        <v>57</v>
      </c>
    </row>
    <row r="137" spans="1:20" ht="21" customHeight="1">
      <c r="A137" s="8">
        <v>46280</v>
      </c>
      <c r="B137" s="1" t="s">
        <v>34</v>
      </c>
      <c r="C137" s="1" t="s">
        <v>90</v>
      </c>
      <c r="D137" s="7">
        <v>4400</v>
      </c>
      <c r="E137" s="7">
        <v>4600</v>
      </c>
      <c r="F137" s="7">
        <v>4800</v>
      </c>
      <c r="G137" s="7">
        <f>'Option source'!B523</f>
        <v>1.71</v>
      </c>
      <c r="H137" s="7">
        <f>'Option source'!B542</f>
        <v>1.8</v>
      </c>
      <c r="I137" s="7">
        <f>'Option source'!B561</f>
        <v>2.64</v>
      </c>
      <c r="J137" s="7">
        <f t="shared" si="14"/>
        <v>0.75</v>
      </c>
      <c r="K137" s="7">
        <f t="shared" si="15"/>
        <v>200</v>
      </c>
      <c r="L137" s="7">
        <f t="shared" si="16"/>
        <v>199.25</v>
      </c>
      <c r="M137" s="7">
        <f t="shared" si="17"/>
        <v>0.75</v>
      </c>
      <c r="N137" s="7">
        <f t="shared" si="18"/>
        <v>4400.75</v>
      </c>
      <c r="O137" s="7">
        <f t="shared" si="19"/>
        <v>4799.25</v>
      </c>
      <c r="P137" s="15">
        <f t="shared" si="20"/>
        <v>265.66666666666669</v>
      </c>
      <c r="Q137" s="7">
        <f>J137*'Model inputs'!$B$8</f>
        <v>75</v>
      </c>
      <c r="R137" s="1" t="s">
        <v>164</v>
      </c>
      <c r="S137" s="1">
        <v>518</v>
      </c>
      <c r="T137" s="1">
        <v>537</v>
      </c>
    </row>
    <row r="138" spans="1:20" ht="21" customHeight="1">
      <c r="A138" s="8">
        <v>46280</v>
      </c>
      <c r="B138" s="1" t="s">
        <v>34</v>
      </c>
      <c r="C138" s="1" t="s">
        <v>90</v>
      </c>
      <c r="D138" s="7">
        <v>8600</v>
      </c>
      <c r="E138" s="7">
        <v>8900</v>
      </c>
      <c r="F138" s="7">
        <v>9200</v>
      </c>
      <c r="G138" s="7">
        <f>'Option source'!B903</f>
        <v>1648.65</v>
      </c>
      <c r="H138" s="7">
        <f>'Option source'!B918</f>
        <v>2022.5</v>
      </c>
      <c r="I138" s="7">
        <f>'Option source'!B925</f>
        <v>2041.57</v>
      </c>
      <c r="J138" s="7">
        <f t="shared" si="14"/>
        <v>-354.78</v>
      </c>
      <c r="K138" s="7">
        <f t="shared" si="15"/>
        <v>300</v>
      </c>
      <c r="L138" s="7">
        <f t="shared" si="16"/>
        <v>654.78</v>
      </c>
      <c r="M138" s="7">
        <f t="shared" si="17"/>
        <v>0</v>
      </c>
      <c r="N138" s="7" t="str">
        <f t="shared" si="18"/>
        <v>n.a.</v>
      </c>
      <c r="O138" s="7" t="str">
        <f t="shared" si="19"/>
        <v>n.a.</v>
      </c>
      <c r="P138" s="15" t="str">
        <f t="shared" si="20"/>
        <v>n.a.</v>
      </c>
      <c r="Q138" s="7">
        <f>J138*'Model inputs'!$B$8</f>
        <v>-35478</v>
      </c>
      <c r="R138" s="1" t="s">
        <v>163</v>
      </c>
      <c r="S138" s="1">
        <v>898</v>
      </c>
      <c r="T138" s="1">
        <v>913</v>
      </c>
    </row>
    <row r="139" spans="1:20" ht="21" customHeight="1">
      <c r="A139" s="8">
        <v>46280</v>
      </c>
      <c r="B139" s="1" t="s">
        <v>34</v>
      </c>
      <c r="C139" s="1" t="s">
        <v>87</v>
      </c>
      <c r="D139" s="7">
        <v>4200</v>
      </c>
      <c r="E139" s="7">
        <v>4400</v>
      </c>
      <c r="F139" s="7">
        <v>4600</v>
      </c>
      <c r="G139" s="7">
        <f>'Option source'!B24</f>
        <v>2597.16</v>
      </c>
      <c r="H139" s="7">
        <f>'Option source'!B43</f>
        <v>2422</v>
      </c>
      <c r="I139" s="7">
        <f>'Option source'!B62</f>
        <v>2280.1</v>
      </c>
      <c r="J139" s="7">
        <f t="shared" si="14"/>
        <v>33.259999999999764</v>
      </c>
      <c r="K139" s="7">
        <f t="shared" si="15"/>
        <v>200</v>
      </c>
      <c r="L139" s="7">
        <f t="shared" si="16"/>
        <v>166.74000000000024</v>
      </c>
      <c r="M139" s="7">
        <f t="shared" si="17"/>
        <v>33.259999999999764</v>
      </c>
      <c r="N139" s="7">
        <f t="shared" si="18"/>
        <v>4233.26</v>
      </c>
      <c r="O139" s="7">
        <f t="shared" si="19"/>
        <v>4566.74</v>
      </c>
      <c r="P139" s="15">
        <f t="shared" si="20"/>
        <v>5.0132291040289063</v>
      </c>
      <c r="Q139" s="7">
        <f>J139*'Model inputs'!$B$8</f>
        <v>3325.9999999999764</v>
      </c>
      <c r="R139" s="1" t="s">
        <v>164</v>
      </c>
      <c r="S139" s="1">
        <v>19</v>
      </c>
      <c r="T139" s="1">
        <v>38</v>
      </c>
    </row>
    <row r="140" spans="1:20" ht="21" customHeight="1">
      <c r="A140" s="8">
        <v>46280</v>
      </c>
      <c r="B140" s="1" t="s">
        <v>34</v>
      </c>
      <c r="C140" s="1" t="s">
        <v>90</v>
      </c>
      <c r="D140" s="7">
        <v>4200</v>
      </c>
      <c r="E140" s="7">
        <v>4400</v>
      </c>
      <c r="F140" s="7">
        <v>4600</v>
      </c>
      <c r="G140" s="7">
        <f>'Option source'!B504</f>
        <v>1.19</v>
      </c>
      <c r="H140" s="7">
        <f>'Option source'!B523</f>
        <v>1.71</v>
      </c>
      <c r="I140" s="7">
        <f>'Option source'!B542</f>
        <v>1.8</v>
      </c>
      <c r="J140" s="7">
        <f t="shared" si="14"/>
        <v>-0.42999999999999994</v>
      </c>
      <c r="K140" s="7">
        <f t="shared" si="15"/>
        <v>200</v>
      </c>
      <c r="L140" s="7">
        <f t="shared" si="16"/>
        <v>200.43</v>
      </c>
      <c r="M140" s="7">
        <f t="shared" si="17"/>
        <v>0</v>
      </c>
      <c r="N140" s="7" t="str">
        <f t="shared" si="18"/>
        <v>n.a.</v>
      </c>
      <c r="O140" s="7" t="str">
        <f t="shared" si="19"/>
        <v>n.a.</v>
      </c>
      <c r="P140" s="15" t="str">
        <f t="shared" si="20"/>
        <v>n.a.</v>
      </c>
      <c r="Q140" s="7">
        <f>J140*'Model inputs'!$B$8</f>
        <v>-42.999999999999993</v>
      </c>
      <c r="R140" s="1" t="s">
        <v>163</v>
      </c>
      <c r="S140" s="1">
        <v>499</v>
      </c>
      <c r="T140" s="1">
        <v>518</v>
      </c>
    </row>
    <row r="141" spans="1:20" ht="21" customHeight="1">
      <c r="A141" s="8">
        <v>46280</v>
      </c>
      <c r="B141" s="1" t="s">
        <v>36</v>
      </c>
      <c r="C141" s="1" t="s">
        <v>87</v>
      </c>
      <c r="D141" s="7">
        <v>6600</v>
      </c>
      <c r="E141" s="7">
        <v>6800</v>
      </c>
      <c r="F141" s="7"/>
      <c r="G141" s="7">
        <f>'Option source'!B238</f>
        <v>490</v>
      </c>
      <c r="H141" s="7">
        <f>'Option source'!B257</f>
        <v>380.09</v>
      </c>
      <c r="I141" s="7"/>
      <c r="J141" s="7">
        <f t="shared" si="14"/>
        <v>-270.17999999999995</v>
      </c>
      <c r="K141" s="7">
        <f t="shared" si="15"/>
        <v>200</v>
      </c>
      <c r="L141" s="7">
        <f t="shared" si="16"/>
        <v>470.17999999999995</v>
      </c>
      <c r="M141" s="7" t="str">
        <f t="shared" si="17"/>
        <v>Unlimited</v>
      </c>
      <c r="N141" s="7" t="str">
        <f t="shared" si="18"/>
        <v>n.a.</v>
      </c>
      <c r="O141" s="7">
        <f t="shared" si="19"/>
        <v>7270.18</v>
      </c>
      <c r="P141" s="15" t="str">
        <f t="shared" si="20"/>
        <v>n.a.</v>
      </c>
      <c r="Q141" s="7">
        <f>J141*'Model inputs'!$B$8</f>
        <v>-27017.999999999996</v>
      </c>
      <c r="R141" s="1" t="s">
        <v>162</v>
      </c>
      <c r="S141" s="1">
        <v>233</v>
      </c>
      <c r="T141" s="1">
        <v>252</v>
      </c>
    </row>
    <row r="142" spans="1:20" ht="21" customHeight="1">
      <c r="A142" s="8">
        <v>46280</v>
      </c>
      <c r="B142" s="1" t="s">
        <v>36</v>
      </c>
      <c r="C142" s="1" t="s">
        <v>90</v>
      </c>
      <c r="D142" s="7">
        <v>7000</v>
      </c>
      <c r="E142" s="7">
        <v>6800</v>
      </c>
      <c r="F142" s="7"/>
      <c r="G142" s="7">
        <f>'Option source'!B770</f>
        <v>418.29</v>
      </c>
      <c r="H142" s="7">
        <f>'Option source'!B751</f>
        <v>311.72000000000003</v>
      </c>
      <c r="I142" s="7"/>
      <c r="J142" s="7">
        <f t="shared" si="14"/>
        <v>-205.15000000000003</v>
      </c>
      <c r="K142" s="7">
        <f t="shared" si="15"/>
        <v>200</v>
      </c>
      <c r="L142" s="7">
        <f t="shared" si="16"/>
        <v>405.15000000000003</v>
      </c>
      <c r="M142" s="7">
        <f t="shared" si="17"/>
        <v>6394.85</v>
      </c>
      <c r="N142" s="7">
        <f t="shared" si="18"/>
        <v>6394.85</v>
      </c>
      <c r="O142" s="7" t="str">
        <f t="shared" si="19"/>
        <v>n.a.</v>
      </c>
      <c r="P142" s="15" t="str">
        <f t="shared" si="20"/>
        <v>n.a.</v>
      </c>
      <c r="Q142" s="7">
        <f>J142*'Model inputs'!$B$8</f>
        <v>-20515.000000000004</v>
      </c>
      <c r="R142" s="1" t="s">
        <v>162</v>
      </c>
      <c r="S142" s="1">
        <v>765</v>
      </c>
      <c r="T142" s="1">
        <v>746</v>
      </c>
    </row>
    <row r="143" spans="1:20" ht="21" customHeight="1">
      <c r="A143" s="8">
        <v>46280</v>
      </c>
      <c r="B143" s="1" t="s">
        <v>36</v>
      </c>
      <c r="C143" s="1" t="s">
        <v>87</v>
      </c>
      <c r="D143" s="7">
        <v>6400</v>
      </c>
      <c r="E143" s="7">
        <v>6600</v>
      </c>
      <c r="F143" s="7"/>
      <c r="G143" s="7">
        <f>'Option source'!B219</f>
        <v>600.20000000000005</v>
      </c>
      <c r="H143" s="7">
        <f>'Option source'!B238</f>
        <v>490</v>
      </c>
      <c r="I143" s="7"/>
      <c r="J143" s="7">
        <f t="shared" si="14"/>
        <v>-379.79999999999995</v>
      </c>
      <c r="K143" s="7">
        <f t="shared" si="15"/>
        <v>200</v>
      </c>
      <c r="L143" s="7">
        <f t="shared" si="16"/>
        <v>579.79999999999995</v>
      </c>
      <c r="M143" s="7" t="str">
        <f t="shared" si="17"/>
        <v>Unlimited</v>
      </c>
      <c r="N143" s="7" t="str">
        <f t="shared" si="18"/>
        <v>n.a.</v>
      </c>
      <c r="O143" s="7">
        <f t="shared" si="19"/>
        <v>7179.8</v>
      </c>
      <c r="P143" s="15" t="str">
        <f t="shared" si="20"/>
        <v>n.a.</v>
      </c>
      <c r="Q143" s="7">
        <f>J143*'Model inputs'!$B$8</f>
        <v>-37979.999999999993</v>
      </c>
      <c r="R143" s="1" t="s">
        <v>162</v>
      </c>
      <c r="S143" s="1">
        <v>214</v>
      </c>
      <c r="T143" s="1">
        <v>233</v>
      </c>
    </row>
    <row r="144" spans="1:20" ht="21" customHeight="1">
      <c r="A144" s="8">
        <v>46280</v>
      </c>
      <c r="B144" s="1" t="s">
        <v>36</v>
      </c>
      <c r="C144" s="1" t="s">
        <v>90</v>
      </c>
      <c r="D144" s="7">
        <v>6800</v>
      </c>
      <c r="E144" s="7">
        <v>6600</v>
      </c>
      <c r="F144" s="7"/>
      <c r="G144" s="7">
        <f>'Option source'!B751</f>
        <v>311.72000000000003</v>
      </c>
      <c r="H144" s="7">
        <f>'Option source'!B732</f>
        <v>220.68</v>
      </c>
      <c r="I144" s="7"/>
      <c r="J144" s="7">
        <f t="shared" si="14"/>
        <v>-129.63999999999999</v>
      </c>
      <c r="K144" s="7">
        <f t="shared" si="15"/>
        <v>200</v>
      </c>
      <c r="L144" s="7">
        <f t="shared" si="16"/>
        <v>329.64</v>
      </c>
      <c r="M144" s="7">
        <f t="shared" si="17"/>
        <v>6270.36</v>
      </c>
      <c r="N144" s="7">
        <f t="shared" si="18"/>
        <v>6270.36</v>
      </c>
      <c r="O144" s="7" t="str">
        <f t="shared" si="19"/>
        <v>n.a.</v>
      </c>
      <c r="P144" s="15" t="str">
        <f t="shared" si="20"/>
        <v>n.a.</v>
      </c>
      <c r="Q144" s="7">
        <f>J144*'Model inputs'!$B$8</f>
        <v>-12963.999999999998</v>
      </c>
      <c r="R144" s="1" t="s">
        <v>162</v>
      </c>
      <c r="S144" s="1">
        <v>746</v>
      </c>
      <c r="T144" s="1">
        <v>727</v>
      </c>
    </row>
    <row r="145" spans="1:20" ht="21" customHeight="1">
      <c r="A145" s="8">
        <v>46280</v>
      </c>
      <c r="B145" s="1" t="s">
        <v>36</v>
      </c>
      <c r="C145" s="1" t="s">
        <v>87</v>
      </c>
      <c r="D145" s="7">
        <v>6800</v>
      </c>
      <c r="E145" s="7">
        <v>7000</v>
      </c>
      <c r="F145" s="7"/>
      <c r="G145" s="7">
        <f>'Option source'!B257</f>
        <v>380.09</v>
      </c>
      <c r="H145" s="7">
        <f>'Option source'!B276</f>
        <v>277.07</v>
      </c>
      <c r="I145" s="7"/>
      <c r="J145" s="7">
        <f t="shared" si="14"/>
        <v>-174.05</v>
      </c>
      <c r="K145" s="7">
        <f t="shared" si="15"/>
        <v>200</v>
      </c>
      <c r="L145" s="7">
        <f t="shared" si="16"/>
        <v>374.05</v>
      </c>
      <c r="M145" s="7" t="str">
        <f t="shared" si="17"/>
        <v>Unlimited</v>
      </c>
      <c r="N145" s="7" t="str">
        <f t="shared" si="18"/>
        <v>n.a.</v>
      </c>
      <c r="O145" s="7">
        <f t="shared" si="19"/>
        <v>7374.05</v>
      </c>
      <c r="P145" s="15" t="str">
        <f t="shared" si="20"/>
        <v>n.a.</v>
      </c>
      <c r="Q145" s="7">
        <f>J145*'Model inputs'!$B$8</f>
        <v>-17405</v>
      </c>
      <c r="R145" s="1" t="s">
        <v>162</v>
      </c>
      <c r="S145" s="1">
        <v>252</v>
      </c>
      <c r="T145" s="1">
        <v>271</v>
      </c>
    </row>
    <row r="146" spans="1:20" ht="21" customHeight="1">
      <c r="A146" s="8">
        <v>46280</v>
      </c>
      <c r="B146" s="1" t="s">
        <v>36</v>
      </c>
      <c r="C146" s="1" t="s">
        <v>90</v>
      </c>
      <c r="D146" s="7">
        <v>7200</v>
      </c>
      <c r="E146" s="7">
        <v>7000</v>
      </c>
      <c r="F146" s="7"/>
      <c r="G146" s="7">
        <f>'Option source'!B789</f>
        <v>542</v>
      </c>
      <c r="H146" s="7">
        <f>'Option source'!B770</f>
        <v>418.29</v>
      </c>
      <c r="I146" s="7"/>
      <c r="J146" s="7">
        <f t="shared" si="14"/>
        <v>-294.58000000000004</v>
      </c>
      <c r="K146" s="7">
        <f t="shared" si="15"/>
        <v>200</v>
      </c>
      <c r="L146" s="7">
        <f t="shared" si="16"/>
        <v>494.58000000000004</v>
      </c>
      <c r="M146" s="7">
        <f t="shared" si="17"/>
        <v>6505.42</v>
      </c>
      <c r="N146" s="7">
        <f t="shared" si="18"/>
        <v>6505.42</v>
      </c>
      <c r="O146" s="7" t="str">
        <f t="shared" si="19"/>
        <v>n.a.</v>
      </c>
      <c r="P146" s="15" t="str">
        <f t="shared" si="20"/>
        <v>n.a.</v>
      </c>
      <c r="Q146" s="7">
        <f>J146*'Model inputs'!$B$8</f>
        <v>-29458.000000000004</v>
      </c>
      <c r="R146" s="1" t="s">
        <v>162</v>
      </c>
      <c r="S146" s="1">
        <v>784</v>
      </c>
      <c r="T146" s="1">
        <v>765</v>
      </c>
    </row>
    <row r="147" spans="1:20" ht="21" customHeight="1">
      <c r="A147" s="8">
        <v>46280</v>
      </c>
      <c r="B147" s="1" t="s">
        <v>36</v>
      </c>
      <c r="C147" s="1" t="s">
        <v>87</v>
      </c>
      <c r="D147" s="7">
        <v>6200</v>
      </c>
      <c r="E147" s="7">
        <v>6400</v>
      </c>
      <c r="F147" s="7"/>
      <c r="G147" s="7">
        <f>'Option source'!B200</f>
        <v>757.6</v>
      </c>
      <c r="H147" s="7">
        <f>'Option source'!B219</f>
        <v>600.20000000000005</v>
      </c>
      <c r="I147" s="7"/>
      <c r="J147" s="7">
        <f t="shared" si="14"/>
        <v>-442.80000000000007</v>
      </c>
      <c r="K147" s="7">
        <f t="shared" si="15"/>
        <v>200</v>
      </c>
      <c r="L147" s="7">
        <f t="shared" si="16"/>
        <v>642.80000000000007</v>
      </c>
      <c r="M147" s="7" t="str">
        <f t="shared" si="17"/>
        <v>Unlimited</v>
      </c>
      <c r="N147" s="7" t="str">
        <f t="shared" si="18"/>
        <v>n.a.</v>
      </c>
      <c r="O147" s="7">
        <f t="shared" si="19"/>
        <v>7042.8</v>
      </c>
      <c r="P147" s="15" t="str">
        <f t="shared" si="20"/>
        <v>n.a.</v>
      </c>
      <c r="Q147" s="7">
        <f>J147*'Model inputs'!$B$8</f>
        <v>-44280.000000000007</v>
      </c>
      <c r="R147" s="1" t="s">
        <v>162</v>
      </c>
      <c r="S147" s="1">
        <v>195</v>
      </c>
      <c r="T147" s="1">
        <v>214</v>
      </c>
    </row>
    <row r="148" spans="1:20" ht="21" customHeight="1">
      <c r="A148" s="8">
        <v>46280</v>
      </c>
      <c r="B148" s="1" t="s">
        <v>36</v>
      </c>
      <c r="C148" s="1" t="s">
        <v>90</v>
      </c>
      <c r="D148" s="7">
        <v>6600</v>
      </c>
      <c r="E148" s="7">
        <v>6400</v>
      </c>
      <c r="F148" s="7"/>
      <c r="G148" s="7">
        <f>'Option source'!B732</f>
        <v>220.68</v>
      </c>
      <c r="H148" s="7">
        <f>'Option source'!B713</f>
        <v>151.43</v>
      </c>
      <c r="I148" s="7"/>
      <c r="J148" s="7">
        <f t="shared" si="14"/>
        <v>-82.18</v>
      </c>
      <c r="K148" s="7">
        <f t="shared" si="15"/>
        <v>200</v>
      </c>
      <c r="L148" s="7">
        <f t="shared" si="16"/>
        <v>282.18</v>
      </c>
      <c r="M148" s="7">
        <f t="shared" si="17"/>
        <v>6117.82</v>
      </c>
      <c r="N148" s="7">
        <f t="shared" si="18"/>
        <v>6117.82</v>
      </c>
      <c r="O148" s="7" t="str">
        <f t="shared" si="19"/>
        <v>n.a.</v>
      </c>
      <c r="P148" s="15" t="str">
        <f t="shared" si="20"/>
        <v>n.a.</v>
      </c>
      <c r="Q148" s="7">
        <f>J148*'Model inputs'!$B$8</f>
        <v>-8218</v>
      </c>
      <c r="R148" s="1" t="s">
        <v>162</v>
      </c>
      <c r="S148" s="1">
        <v>727</v>
      </c>
      <c r="T148" s="1">
        <v>708</v>
      </c>
    </row>
    <row r="149" spans="1:20" ht="21" customHeight="1">
      <c r="A149" s="8">
        <v>46280</v>
      </c>
      <c r="B149" s="1" t="s">
        <v>36</v>
      </c>
      <c r="C149" s="1" t="s">
        <v>87</v>
      </c>
      <c r="D149" s="7">
        <v>7000</v>
      </c>
      <c r="E149" s="7">
        <v>7200</v>
      </c>
      <c r="F149" s="7"/>
      <c r="G149" s="7">
        <f>'Option source'!B276</f>
        <v>277.07</v>
      </c>
      <c r="H149" s="7">
        <f>'Option source'!B295</f>
        <v>205.53</v>
      </c>
      <c r="I149" s="7"/>
      <c r="J149" s="7">
        <f t="shared" si="14"/>
        <v>-133.99</v>
      </c>
      <c r="K149" s="7">
        <f t="shared" si="15"/>
        <v>200</v>
      </c>
      <c r="L149" s="7">
        <f t="shared" si="16"/>
        <v>333.99</v>
      </c>
      <c r="M149" s="7" t="str">
        <f t="shared" si="17"/>
        <v>Unlimited</v>
      </c>
      <c r="N149" s="7" t="str">
        <f t="shared" si="18"/>
        <v>n.a.</v>
      </c>
      <c r="O149" s="7">
        <f t="shared" si="19"/>
        <v>7533.99</v>
      </c>
      <c r="P149" s="15" t="str">
        <f t="shared" si="20"/>
        <v>n.a.</v>
      </c>
      <c r="Q149" s="7">
        <f>J149*'Model inputs'!$B$8</f>
        <v>-13399</v>
      </c>
      <c r="R149" s="1" t="s">
        <v>162</v>
      </c>
      <c r="S149" s="1">
        <v>271</v>
      </c>
      <c r="T149" s="1">
        <v>290</v>
      </c>
    </row>
    <row r="150" spans="1:20" ht="21" customHeight="1">
      <c r="A150" s="8">
        <v>46280</v>
      </c>
      <c r="B150" s="1" t="s">
        <v>36</v>
      </c>
      <c r="C150" s="1" t="s">
        <v>87</v>
      </c>
      <c r="D150" s="7">
        <v>6000</v>
      </c>
      <c r="E150" s="7">
        <v>6200</v>
      </c>
      <c r="F150" s="7"/>
      <c r="G150" s="7">
        <f>'Option source'!B181</f>
        <v>930</v>
      </c>
      <c r="H150" s="7">
        <f>'Option source'!B200</f>
        <v>757.6</v>
      </c>
      <c r="I150" s="7"/>
      <c r="J150" s="7">
        <f t="shared" si="14"/>
        <v>-585.20000000000005</v>
      </c>
      <c r="K150" s="7">
        <f t="shared" si="15"/>
        <v>200</v>
      </c>
      <c r="L150" s="7">
        <f t="shared" si="16"/>
        <v>785.2</v>
      </c>
      <c r="M150" s="7" t="str">
        <f t="shared" si="17"/>
        <v>Unlimited</v>
      </c>
      <c r="N150" s="7" t="str">
        <f t="shared" si="18"/>
        <v>n.a.</v>
      </c>
      <c r="O150" s="7">
        <f t="shared" si="19"/>
        <v>6985.2</v>
      </c>
      <c r="P150" s="15" t="str">
        <f t="shared" si="20"/>
        <v>n.a.</v>
      </c>
      <c r="Q150" s="7">
        <f>J150*'Model inputs'!$B$8</f>
        <v>-58520.000000000007</v>
      </c>
      <c r="R150" s="1" t="s">
        <v>162</v>
      </c>
      <c r="S150" s="1">
        <v>176</v>
      </c>
      <c r="T150" s="1">
        <v>195</v>
      </c>
    </row>
    <row r="151" spans="1:20" ht="21" customHeight="1">
      <c r="A151" s="8">
        <v>46280</v>
      </c>
      <c r="B151" s="1" t="s">
        <v>36</v>
      </c>
      <c r="C151" s="1" t="s">
        <v>90</v>
      </c>
      <c r="D151" s="7">
        <v>6400</v>
      </c>
      <c r="E151" s="7">
        <v>6200</v>
      </c>
      <c r="F151" s="7"/>
      <c r="G151" s="7">
        <f>'Option source'!B713</f>
        <v>151.43</v>
      </c>
      <c r="H151" s="7">
        <f>'Option source'!B694</f>
        <v>97.24</v>
      </c>
      <c r="I151" s="7"/>
      <c r="J151" s="7">
        <f t="shared" si="14"/>
        <v>-43.049999999999983</v>
      </c>
      <c r="K151" s="7">
        <f t="shared" si="15"/>
        <v>200</v>
      </c>
      <c r="L151" s="7">
        <f t="shared" si="16"/>
        <v>243.04999999999998</v>
      </c>
      <c r="M151" s="7">
        <f t="shared" si="17"/>
        <v>5956.95</v>
      </c>
      <c r="N151" s="7">
        <f t="shared" si="18"/>
        <v>5956.95</v>
      </c>
      <c r="O151" s="7" t="str">
        <f t="shared" si="19"/>
        <v>n.a.</v>
      </c>
      <c r="P151" s="15" t="str">
        <f t="shared" si="20"/>
        <v>n.a.</v>
      </c>
      <c r="Q151" s="7">
        <f>J151*'Model inputs'!$B$8</f>
        <v>-4304.9999999999982</v>
      </c>
      <c r="R151" s="1" t="s">
        <v>162</v>
      </c>
      <c r="S151" s="1">
        <v>708</v>
      </c>
      <c r="T151" s="1">
        <v>689</v>
      </c>
    </row>
    <row r="152" spans="1:20" ht="21" customHeight="1">
      <c r="A152" s="8">
        <v>46280</v>
      </c>
      <c r="B152" s="1" t="s">
        <v>36</v>
      </c>
      <c r="C152" s="1" t="s">
        <v>87</v>
      </c>
      <c r="D152" s="7">
        <v>7200</v>
      </c>
      <c r="E152" s="7">
        <v>7400</v>
      </c>
      <c r="F152" s="7"/>
      <c r="G152" s="7">
        <f>'Option source'!B295</f>
        <v>205.53</v>
      </c>
      <c r="H152" s="7">
        <f>'Option source'!B314</f>
        <v>148.96</v>
      </c>
      <c r="I152" s="7"/>
      <c r="J152" s="7">
        <f t="shared" si="14"/>
        <v>-92.390000000000015</v>
      </c>
      <c r="K152" s="7">
        <f t="shared" si="15"/>
        <v>200</v>
      </c>
      <c r="L152" s="7">
        <f t="shared" si="16"/>
        <v>292.39</v>
      </c>
      <c r="M152" s="7" t="str">
        <f t="shared" si="17"/>
        <v>Unlimited</v>
      </c>
      <c r="N152" s="7" t="str">
        <f t="shared" si="18"/>
        <v>n.a.</v>
      </c>
      <c r="O152" s="7">
        <f t="shared" si="19"/>
        <v>7692.39</v>
      </c>
      <c r="P152" s="15" t="str">
        <f t="shared" si="20"/>
        <v>n.a.</v>
      </c>
      <c r="Q152" s="7">
        <f>J152*'Model inputs'!$B$8</f>
        <v>-9239.0000000000018</v>
      </c>
      <c r="R152" s="1" t="s">
        <v>162</v>
      </c>
      <c r="S152" s="1">
        <v>290</v>
      </c>
      <c r="T152" s="1">
        <v>309</v>
      </c>
    </row>
    <row r="153" spans="1:20" ht="21" customHeight="1">
      <c r="A153" s="8">
        <v>46280</v>
      </c>
      <c r="B153" s="1" t="s">
        <v>36</v>
      </c>
      <c r="C153" s="1" t="s">
        <v>90</v>
      </c>
      <c r="D153" s="7">
        <v>6200</v>
      </c>
      <c r="E153" s="7">
        <v>6000</v>
      </c>
      <c r="F153" s="7"/>
      <c r="G153" s="7">
        <f>'Option source'!B694</f>
        <v>97.24</v>
      </c>
      <c r="H153" s="7">
        <f>'Option source'!B675</f>
        <v>59.49</v>
      </c>
      <c r="I153" s="7"/>
      <c r="J153" s="7">
        <f t="shared" si="14"/>
        <v>-21.740000000000009</v>
      </c>
      <c r="K153" s="7">
        <f t="shared" si="15"/>
        <v>200</v>
      </c>
      <c r="L153" s="7">
        <f t="shared" si="16"/>
        <v>221.74</v>
      </c>
      <c r="M153" s="7">
        <f t="shared" si="17"/>
        <v>5778.26</v>
      </c>
      <c r="N153" s="7">
        <f t="shared" si="18"/>
        <v>5778.26</v>
      </c>
      <c r="O153" s="7" t="str">
        <f t="shared" si="19"/>
        <v>n.a.</v>
      </c>
      <c r="P153" s="15" t="str">
        <f t="shared" si="20"/>
        <v>n.a.</v>
      </c>
      <c r="Q153" s="7">
        <f>J153*'Model inputs'!$B$8</f>
        <v>-2174.0000000000009</v>
      </c>
      <c r="R153" s="1" t="s">
        <v>162</v>
      </c>
      <c r="S153" s="1">
        <v>689</v>
      </c>
      <c r="T153" s="1">
        <v>670</v>
      </c>
    </row>
    <row r="154" spans="1:20" ht="21" customHeight="1">
      <c r="A154" s="8">
        <v>46280</v>
      </c>
      <c r="B154" s="1" t="s">
        <v>36</v>
      </c>
      <c r="C154" s="1" t="s">
        <v>87</v>
      </c>
      <c r="D154" s="7">
        <v>7400</v>
      </c>
      <c r="E154" s="7">
        <v>7600</v>
      </c>
      <c r="F154" s="7"/>
      <c r="G154" s="7">
        <f>'Option source'!B314</f>
        <v>148.96</v>
      </c>
      <c r="H154" s="7">
        <f>'Option source'!B333</f>
        <v>106.1</v>
      </c>
      <c r="I154" s="7"/>
      <c r="J154" s="7">
        <f t="shared" si="14"/>
        <v>-63.239999999999981</v>
      </c>
      <c r="K154" s="7">
        <f t="shared" si="15"/>
        <v>200</v>
      </c>
      <c r="L154" s="7">
        <f t="shared" si="16"/>
        <v>263.24</v>
      </c>
      <c r="M154" s="7" t="str">
        <f t="shared" si="17"/>
        <v>Unlimited</v>
      </c>
      <c r="N154" s="7" t="str">
        <f t="shared" si="18"/>
        <v>n.a.</v>
      </c>
      <c r="O154" s="7">
        <f t="shared" si="19"/>
        <v>7863.24</v>
      </c>
      <c r="P154" s="15" t="str">
        <f t="shared" si="20"/>
        <v>n.a.</v>
      </c>
      <c r="Q154" s="7">
        <f>J154*'Model inputs'!$B$8</f>
        <v>-6323.9999999999982</v>
      </c>
      <c r="R154" s="1" t="s">
        <v>162</v>
      </c>
      <c r="S154" s="1">
        <v>309</v>
      </c>
      <c r="T154" s="1">
        <v>328</v>
      </c>
    </row>
    <row r="155" spans="1:20" ht="21" customHeight="1">
      <c r="A155" s="8">
        <v>46280</v>
      </c>
      <c r="B155" s="1" t="s">
        <v>36</v>
      </c>
      <c r="C155" s="1" t="s">
        <v>90</v>
      </c>
      <c r="D155" s="7">
        <v>6000</v>
      </c>
      <c r="E155" s="7">
        <v>5800</v>
      </c>
      <c r="F155" s="7"/>
      <c r="G155" s="7">
        <f>'Option source'!B675</f>
        <v>59.49</v>
      </c>
      <c r="H155" s="7">
        <f>'Option source'!B656</f>
        <v>32.86</v>
      </c>
      <c r="I155" s="7"/>
      <c r="J155" s="7">
        <f t="shared" si="14"/>
        <v>-6.2299999999999969</v>
      </c>
      <c r="K155" s="7">
        <f t="shared" si="15"/>
        <v>200</v>
      </c>
      <c r="L155" s="7">
        <f t="shared" si="16"/>
        <v>206.23</v>
      </c>
      <c r="M155" s="7">
        <f t="shared" si="17"/>
        <v>5593.77</v>
      </c>
      <c r="N155" s="7">
        <f t="shared" si="18"/>
        <v>5593.77</v>
      </c>
      <c r="O155" s="7" t="str">
        <f t="shared" si="19"/>
        <v>n.a.</v>
      </c>
      <c r="P155" s="15" t="str">
        <f t="shared" si="20"/>
        <v>n.a.</v>
      </c>
      <c r="Q155" s="7">
        <f>J155*'Model inputs'!$B$8</f>
        <v>-622.99999999999966</v>
      </c>
      <c r="R155" s="1" t="s">
        <v>162</v>
      </c>
      <c r="S155" s="1">
        <v>670</v>
      </c>
      <c r="T155" s="1">
        <v>651</v>
      </c>
    </row>
    <row r="156" spans="1:20" ht="21" customHeight="1">
      <c r="A156" s="8">
        <v>46280</v>
      </c>
      <c r="B156" s="1" t="s">
        <v>36</v>
      </c>
      <c r="C156" s="1" t="s">
        <v>87</v>
      </c>
      <c r="D156" s="7">
        <v>7600</v>
      </c>
      <c r="E156" s="7">
        <v>7800</v>
      </c>
      <c r="F156" s="7"/>
      <c r="G156" s="7">
        <f>'Option source'!B333</f>
        <v>106.1</v>
      </c>
      <c r="H156" s="7">
        <f>'Option source'!B352</f>
        <v>74.959999999999994</v>
      </c>
      <c r="I156" s="7"/>
      <c r="J156" s="7">
        <f t="shared" si="14"/>
        <v>-43.819999999999993</v>
      </c>
      <c r="K156" s="7">
        <f t="shared" si="15"/>
        <v>200</v>
      </c>
      <c r="L156" s="7">
        <f t="shared" si="16"/>
        <v>243.82</v>
      </c>
      <c r="M156" s="7" t="str">
        <f t="shared" si="17"/>
        <v>Unlimited</v>
      </c>
      <c r="N156" s="7" t="str">
        <f t="shared" si="18"/>
        <v>n.a.</v>
      </c>
      <c r="O156" s="7">
        <f t="shared" si="19"/>
        <v>8043.82</v>
      </c>
      <c r="P156" s="15" t="str">
        <f t="shared" si="20"/>
        <v>n.a.</v>
      </c>
      <c r="Q156" s="7">
        <f>J156*'Model inputs'!$B$8</f>
        <v>-4381.9999999999991</v>
      </c>
      <c r="R156" s="1" t="s">
        <v>162</v>
      </c>
      <c r="S156" s="1">
        <v>328</v>
      </c>
      <c r="T156" s="1">
        <v>347</v>
      </c>
    </row>
    <row r="157" spans="1:20" ht="21" customHeight="1">
      <c r="A157" s="8">
        <v>46280</v>
      </c>
      <c r="B157" s="1" t="s">
        <v>36</v>
      </c>
      <c r="C157" s="1" t="s">
        <v>90</v>
      </c>
      <c r="D157" s="7">
        <v>5800</v>
      </c>
      <c r="E157" s="7">
        <v>5600</v>
      </c>
      <c r="F157" s="7"/>
      <c r="G157" s="7">
        <f>'Option source'!B656</f>
        <v>32.86</v>
      </c>
      <c r="H157" s="7">
        <f>'Option source'!B637</f>
        <v>17.760000000000002</v>
      </c>
      <c r="I157" s="7"/>
      <c r="J157" s="7">
        <f t="shared" si="14"/>
        <v>-2.6600000000000037</v>
      </c>
      <c r="K157" s="7">
        <f t="shared" si="15"/>
        <v>200</v>
      </c>
      <c r="L157" s="7">
        <f t="shared" si="16"/>
        <v>202.66</v>
      </c>
      <c r="M157" s="7">
        <f t="shared" si="17"/>
        <v>5397.34</v>
      </c>
      <c r="N157" s="7">
        <f t="shared" si="18"/>
        <v>5397.34</v>
      </c>
      <c r="O157" s="7" t="str">
        <f t="shared" si="19"/>
        <v>n.a.</v>
      </c>
      <c r="P157" s="15" t="str">
        <f t="shared" si="20"/>
        <v>n.a.</v>
      </c>
      <c r="Q157" s="7">
        <f>J157*'Model inputs'!$B$8</f>
        <v>-266.00000000000034</v>
      </c>
      <c r="R157" s="1" t="s">
        <v>162</v>
      </c>
      <c r="S157" s="1">
        <v>651</v>
      </c>
      <c r="T157" s="1">
        <v>632</v>
      </c>
    </row>
    <row r="158" spans="1:20" ht="21" customHeight="1">
      <c r="A158" s="8">
        <v>46280</v>
      </c>
      <c r="B158" s="1" t="s">
        <v>36</v>
      </c>
      <c r="C158" s="1" t="s">
        <v>87</v>
      </c>
      <c r="D158" s="7">
        <v>7800</v>
      </c>
      <c r="E158" s="7">
        <v>8000</v>
      </c>
      <c r="F158" s="7"/>
      <c r="G158" s="7">
        <f>'Option source'!B352</f>
        <v>74.959999999999994</v>
      </c>
      <c r="H158" s="7">
        <f>'Option source'!B371</f>
        <v>53.36</v>
      </c>
      <c r="I158" s="7"/>
      <c r="J158" s="7">
        <f t="shared" si="14"/>
        <v>-31.760000000000005</v>
      </c>
      <c r="K158" s="7">
        <f t="shared" si="15"/>
        <v>200</v>
      </c>
      <c r="L158" s="7">
        <f t="shared" si="16"/>
        <v>231.76</v>
      </c>
      <c r="M158" s="7" t="str">
        <f t="shared" si="17"/>
        <v>Unlimited</v>
      </c>
      <c r="N158" s="7" t="str">
        <f t="shared" si="18"/>
        <v>n.a.</v>
      </c>
      <c r="O158" s="7">
        <f t="shared" si="19"/>
        <v>8231.76</v>
      </c>
      <c r="P158" s="15" t="str">
        <f t="shared" si="20"/>
        <v>n.a.</v>
      </c>
      <c r="Q158" s="7">
        <f>J158*'Model inputs'!$B$8</f>
        <v>-3176.0000000000005</v>
      </c>
      <c r="R158" s="1" t="s">
        <v>162</v>
      </c>
      <c r="S158" s="1">
        <v>347</v>
      </c>
      <c r="T158" s="1">
        <v>366</v>
      </c>
    </row>
    <row r="159" spans="1:20" ht="21" customHeight="1">
      <c r="A159" s="8">
        <v>46280</v>
      </c>
      <c r="B159" s="1" t="s">
        <v>36</v>
      </c>
      <c r="C159" s="1" t="s">
        <v>87</v>
      </c>
      <c r="D159" s="7">
        <v>5200</v>
      </c>
      <c r="E159" s="7">
        <v>5400</v>
      </c>
      <c r="F159" s="7"/>
      <c r="G159" s="7">
        <f>'Option source'!B115</f>
        <v>1678.07</v>
      </c>
      <c r="H159" s="7">
        <f>'Option source'!B134</f>
        <v>1470</v>
      </c>
      <c r="I159" s="7"/>
      <c r="J159" s="7">
        <f t="shared" si="14"/>
        <v>-1261.93</v>
      </c>
      <c r="K159" s="7">
        <f t="shared" si="15"/>
        <v>200</v>
      </c>
      <c r="L159" s="7">
        <f t="shared" si="16"/>
        <v>1461.93</v>
      </c>
      <c r="M159" s="7" t="str">
        <f t="shared" si="17"/>
        <v>Unlimited</v>
      </c>
      <c r="N159" s="7" t="str">
        <f t="shared" si="18"/>
        <v>n.a.</v>
      </c>
      <c r="O159" s="7">
        <f t="shared" si="19"/>
        <v>6861.93</v>
      </c>
      <c r="P159" s="15" t="str">
        <f t="shared" si="20"/>
        <v>n.a.</v>
      </c>
      <c r="Q159" s="7">
        <f>J159*'Model inputs'!$B$8</f>
        <v>-126193</v>
      </c>
      <c r="R159" s="1" t="s">
        <v>162</v>
      </c>
      <c r="S159" s="1">
        <v>110</v>
      </c>
      <c r="T159" s="1">
        <v>129</v>
      </c>
    </row>
    <row r="160" spans="1:20" ht="21" customHeight="1">
      <c r="A160" s="8">
        <v>46280</v>
      </c>
      <c r="B160" s="1" t="s">
        <v>36</v>
      </c>
      <c r="C160" s="1" t="s">
        <v>90</v>
      </c>
      <c r="D160" s="7">
        <v>5600</v>
      </c>
      <c r="E160" s="7">
        <v>5400</v>
      </c>
      <c r="F160" s="7"/>
      <c r="G160" s="7">
        <f>'Option source'!B637</f>
        <v>17.760000000000002</v>
      </c>
      <c r="H160" s="7">
        <f>'Option source'!B618</f>
        <v>9.9</v>
      </c>
      <c r="I160" s="7"/>
      <c r="J160" s="7">
        <f t="shared" si="14"/>
        <v>-2.0399999999999991</v>
      </c>
      <c r="K160" s="7">
        <f t="shared" si="15"/>
        <v>200</v>
      </c>
      <c r="L160" s="7">
        <f t="shared" si="16"/>
        <v>202.04</v>
      </c>
      <c r="M160" s="7">
        <f t="shared" si="17"/>
        <v>5197.96</v>
      </c>
      <c r="N160" s="7">
        <f t="shared" si="18"/>
        <v>5197.96</v>
      </c>
      <c r="O160" s="7" t="str">
        <f t="shared" si="19"/>
        <v>n.a.</v>
      </c>
      <c r="P160" s="15" t="str">
        <f t="shared" si="20"/>
        <v>n.a.</v>
      </c>
      <c r="Q160" s="7">
        <f>J160*'Model inputs'!$B$8</f>
        <v>-203.99999999999991</v>
      </c>
      <c r="R160" s="1" t="s">
        <v>162</v>
      </c>
      <c r="S160" s="1">
        <v>632</v>
      </c>
      <c r="T160" s="1">
        <v>613</v>
      </c>
    </row>
    <row r="161" spans="1:20" ht="21" customHeight="1">
      <c r="A161" s="8">
        <v>46280</v>
      </c>
      <c r="B161" s="1" t="s">
        <v>36</v>
      </c>
      <c r="C161" s="1" t="s">
        <v>90</v>
      </c>
      <c r="D161" s="7">
        <v>5400</v>
      </c>
      <c r="E161" s="7">
        <v>5200</v>
      </c>
      <c r="F161" s="7"/>
      <c r="G161" s="7">
        <f>'Option source'!B618</f>
        <v>9.9</v>
      </c>
      <c r="H161" s="7">
        <f>'Option source'!B599</f>
        <v>5.46</v>
      </c>
      <c r="I161" s="7"/>
      <c r="J161" s="7">
        <f t="shared" si="14"/>
        <v>-1.0199999999999996</v>
      </c>
      <c r="K161" s="7">
        <f t="shared" si="15"/>
        <v>200</v>
      </c>
      <c r="L161" s="7">
        <f t="shared" si="16"/>
        <v>201.02</v>
      </c>
      <c r="M161" s="7">
        <f t="shared" si="17"/>
        <v>4998.9799999999996</v>
      </c>
      <c r="N161" s="7">
        <f t="shared" si="18"/>
        <v>4998.9799999999996</v>
      </c>
      <c r="O161" s="7" t="str">
        <f t="shared" si="19"/>
        <v>n.a.</v>
      </c>
      <c r="P161" s="15" t="str">
        <f t="shared" si="20"/>
        <v>n.a.</v>
      </c>
      <c r="Q161" s="7">
        <f>J161*'Model inputs'!$B$8</f>
        <v>-101.99999999999996</v>
      </c>
      <c r="R161" s="1" t="s">
        <v>162</v>
      </c>
      <c r="S161" s="1">
        <v>613</v>
      </c>
      <c r="T161" s="1">
        <v>594</v>
      </c>
    </row>
    <row r="162" spans="1:20" ht="21" customHeight="1">
      <c r="A162" s="8">
        <v>46280</v>
      </c>
      <c r="B162" s="1" t="s">
        <v>36</v>
      </c>
      <c r="C162" s="1" t="s">
        <v>87</v>
      </c>
      <c r="D162" s="7">
        <v>8000</v>
      </c>
      <c r="E162" s="7">
        <v>8300</v>
      </c>
      <c r="F162" s="7"/>
      <c r="G162" s="7">
        <f>'Option source'!B371</f>
        <v>53.36</v>
      </c>
      <c r="H162" s="7">
        <f>'Option source'!B390</f>
        <v>31.45</v>
      </c>
      <c r="I162" s="7"/>
      <c r="J162" s="7">
        <f t="shared" si="14"/>
        <v>-9.5399999999999991</v>
      </c>
      <c r="K162" s="7">
        <f t="shared" si="15"/>
        <v>300</v>
      </c>
      <c r="L162" s="7">
        <f t="shared" si="16"/>
        <v>309.54000000000002</v>
      </c>
      <c r="M162" s="7" t="str">
        <f t="shared" si="17"/>
        <v>Unlimited</v>
      </c>
      <c r="N162" s="7" t="str">
        <f t="shared" si="18"/>
        <v>n.a.</v>
      </c>
      <c r="O162" s="7">
        <f t="shared" si="19"/>
        <v>8609.5400000000009</v>
      </c>
      <c r="P162" s="15" t="str">
        <f t="shared" si="20"/>
        <v>n.a.</v>
      </c>
      <c r="Q162" s="7">
        <f>J162*'Model inputs'!$B$8</f>
        <v>-953.99999999999989</v>
      </c>
      <c r="R162" s="1" t="s">
        <v>162</v>
      </c>
      <c r="S162" s="1">
        <v>366</v>
      </c>
      <c r="T162" s="1">
        <v>385</v>
      </c>
    </row>
    <row r="163" spans="1:20" ht="21" customHeight="1">
      <c r="A163" s="8">
        <v>46280</v>
      </c>
      <c r="B163" s="1" t="s">
        <v>36</v>
      </c>
      <c r="C163" s="1" t="s">
        <v>90</v>
      </c>
      <c r="D163" s="7">
        <v>5200</v>
      </c>
      <c r="E163" s="7">
        <v>5000</v>
      </c>
      <c r="F163" s="7"/>
      <c r="G163" s="7">
        <f>'Option source'!B599</f>
        <v>5.46</v>
      </c>
      <c r="H163" s="7">
        <f>'Option source'!B580</f>
        <v>3.46</v>
      </c>
      <c r="I163" s="7"/>
      <c r="J163" s="7">
        <f t="shared" si="14"/>
        <v>-1.46</v>
      </c>
      <c r="K163" s="7">
        <f t="shared" si="15"/>
        <v>200</v>
      </c>
      <c r="L163" s="7">
        <f t="shared" si="16"/>
        <v>201.46</v>
      </c>
      <c r="M163" s="7">
        <f t="shared" si="17"/>
        <v>4798.54</v>
      </c>
      <c r="N163" s="7">
        <f t="shared" si="18"/>
        <v>4798.54</v>
      </c>
      <c r="O163" s="7" t="str">
        <f t="shared" si="19"/>
        <v>n.a.</v>
      </c>
      <c r="P163" s="15" t="str">
        <f t="shared" si="20"/>
        <v>n.a.</v>
      </c>
      <c r="Q163" s="7">
        <f>J163*'Model inputs'!$B$8</f>
        <v>-146</v>
      </c>
      <c r="R163" s="1" t="s">
        <v>162</v>
      </c>
      <c r="S163" s="1">
        <v>594</v>
      </c>
      <c r="T163" s="1">
        <v>575</v>
      </c>
    </row>
    <row r="164" spans="1:20" ht="21" customHeight="1">
      <c r="A164" s="8">
        <v>46280</v>
      </c>
      <c r="B164" s="1" t="s">
        <v>36</v>
      </c>
      <c r="C164" s="1" t="s">
        <v>87</v>
      </c>
      <c r="D164" s="7">
        <v>8300</v>
      </c>
      <c r="E164" s="7">
        <v>8600</v>
      </c>
      <c r="F164" s="7"/>
      <c r="G164" s="7">
        <f>'Option source'!B390</f>
        <v>31.45</v>
      </c>
      <c r="H164" s="7">
        <f>'Option source'!B409</f>
        <v>19.149999999999999</v>
      </c>
      <c r="I164" s="7"/>
      <c r="J164" s="7">
        <f t="shared" si="14"/>
        <v>-6.8499999999999979</v>
      </c>
      <c r="K164" s="7">
        <f t="shared" si="15"/>
        <v>300</v>
      </c>
      <c r="L164" s="7">
        <f t="shared" si="16"/>
        <v>306.85000000000002</v>
      </c>
      <c r="M164" s="7" t="str">
        <f t="shared" si="17"/>
        <v>Unlimited</v>
      </c>
      <c r="N164" s="7" t="str">
        <f t="shared" si="18"/>
        <v>n.a.</v>
      </c>
      <c r="O164" s="7">
        <f t="shared" si="19"/>
        <v>8906.85</v>
      </c>
      <c r="P164" s="15" t="str">
        <f t="shared" si="20"/>
        <v>n.a.</v>
      </c>
      <c r="Q164" s="7">
        <f>J164*'Model inputs'!$B$8</f>
        <v>-684.99999999999977</v>
      </c>
      <c r="R164" s="1" t="s">
        <v>162</v>
      </c>
      <c r="S164" s="1">
        <v>385</v>
      </c>
      <c r="T164" s="1">
        <v>404</v>
      </c>
    </row>
    <row r="165" spans="1:20" ht="21" customHeight="1">
      <c r="A165" s="8">
        <v>46280</v>
      </c>
      <c r="B165" s="1" t="s">
        <v>36</v>
      </c>
      <c r="C165" s="1" t="s">
        <v>90</v>
      </c>
      <c r="D165" s="7">
        <v>5000</v>
      </c>
      <c r="E165" s="7">
        <v>4800</v>
      </c>
      <c r="F165" s="7"/>
      <c r="G165" s="7">
        <f>'Option source'!B580</f>
        <v>3.46</v>
      </c>
      <c r="H165" s="7">
        <f>'Option source'!B561</f>
        <v>2.64</v>
      </c>
      <c r="I165" s="7"/>
      <c r="J165" s="7">
        <f t="shared" si="14"/>
        <v>-1.8200000000000003</v>
      </c>
      <c r="K165" s="7">
        <f t="shared" si="15"/>
        <v>200</v>
      </c>
      <c r="L165" s="7">
        <f t="shared" si="16"/>
        <v>201.82</v>
      </c>
      <c r="M165" s="7">
        <f t="shared" si="17"/>
        <v>4598.18</v>
      </c>
      <c r="N165" s="7">
        <f t="shared" si="18"/>
        <v>4598.18</v>
      </c>
      <c r="O165" s="7" t="str">
        <f t="shared" si="19"/>
        <v>n.a.</v>
      </c>
      <c r="P165" s="15" t="str">
        <f t="shared" si="20"/>
        <v>n.a.</v>
      </c>
      <c r="Q165" s="7">
        <f>J165*'Model inputs'!$B$8</f>
        <v>-182.00000000000003</v>
      </c>
      <c r="R165" s="1" t="s">
        <v>162</v>
      </c>
      <c r="S165" s="1">
        <v>575</v>
      </c>
      <c r="T165" s="1">
        <v>556</v>
      </c>
    </row>
    <row r="166" spans="1:20" ht="21" customHeight="1">
      <c r="A166" s="8">
        <v>46280</v>
      </c>
      <c r="B166" s="1" t="s">
        <v>36</v>
      </c>
      <c r="C166" s="1" t="s">
        <v>90</v>
      </c>
      <c r="D166" s="7">
        <v>4800</v>
      </c>
      <c r="E166" s="7">
        <v>4600</v>
      </c>
      <c r="F166" s="7"/>
      <c r="G166" s="7">
        <f>'Option source'!B561</f>
        <v>2.64</v>
      </c>
      <c r="H166" s="7">
        <f>'Option source'!B542</f>
        <v>1.8</v>
      </c>
      <c r="I166" s="7"/>
      <c r="J166" s="7">
        <f t="shared" si="14"/>
        <v>-0.96</v>
      </c>
      <c r="K166" s="7">
        <f t="shared" si="15"/>
        <v>200</v>
      </c>
      <c r="L166" s="7">
        <f t="shared" si="16"/>
        <v>200.96</v>
      </c>
      <c r="M166" s="7">
        <f t="shared" si="17"/>
        <v>4399.04</v>
      </c>
      <c r="N166" s="7">
        <f t="shared" si="18"/>
        <v>4399.04</v>
      </c>
      <c r="O166" s="7" t="str">
        <f t="shared" si="19"/>
        <v>n.a.</v>
      </c>
      <c r="P166" s="15" t="str">
        <f t="shared" si="20"/>
        <v>n.a.</v>
      </c>
      <c r="Q166" s="7">
        <f>J166*'Model inputs'!$B$8</f>
        <v>-96</v>
      </c>
      <c r="R166" s="1" t="s">
        <v>162</v>
      </c>
      <c r="S166" s="1">
        <v>556</v>
      </c>
      <c r="T166" s="1">
        <v>537</v>
      </c>
    </row>
    <row r="167" spans="1:20" ht="21" customHeight="1">
      <c r="A167" s="8">
        <v>46280</v>
      </c>
      <c r="B167" s="1" t="s">
        <v>36</v>
      </c>
      <c r="C167" s="1" t="s">
        <v>87</v>
      </c>
      <c r="D167" s="7">
        <v>8600</v>
      </c>
      <c r="E167" s="7">
        <v>8900</v>
      </c>
      <c r="F167" s="7"/>
      <c r="G167" s="7">
        <f>'Option source'!B409</f>
        <v>19.149999999999999</v>
      </c>
      <c r="H167" s="7">
        <f>'Option source'!B428</f>
        <v>9.81</v>
      </c>
      <c r="I167" s="7"/>
      <c r="J167" s="7">
        <f t="shared" si="14"/>
        <v>-0.47000000000000242</v>
      </c>
      <c r="K167" s="7">
        <f t="shared" si="15"/>
        <v>300</v>
      </c>
      <c r="L167" s="7">
        <f t="shared" si="16"/>
        <v>300.47000000000003</v>
      </c>
      <c r="M167" s="7" t="str">
        <f t="shared" si="17"/>
        <v>Unlimited</v>
      </c>
      <c r="N167" s="7" t="str">
        <f t="shared" si="18"/>
        <v>n.a.</v>
      </c>
      <c r="O167" s="7">
        <f t="shared" si="19"/>
        <v>9200.4699999999993</v>
      </c>
      <c r="P167" s="15" t="str">
        <f t="shared" si="20"/>
        <v>n.a.</v>
      </c>
      <c r="Q167" s="7">
        <f>J167*'Model inputs'!$B$8</f>
        <v>-47.000000000000242</v>
      </c>
      <c r="R167" s="1" t="s">
        <v>162</v>
      </c>
      <c r="S167" s="1">
        <v>404</v>
      </c>
      <c r="T167" s="1">
        <v>423</v>
      </c>
    </row>
    <row r="168" spans="1:20" ht="21" customHeight="1">
      <c r="A168" s="8">
        <v>46280</v>
      </c>
      <c r="B168" s="1" t="s">
        <v>36</v>
      </c>
      <c r="C168" s="1" t="s">
        <v>87</v>
      </c>
      <c r="D168" s="7">
        <v>8900</v>
      </c>
      <c r="E168" s="7">
        <v>9200</v>
      </c>
      <c r="F168" s="7"/>
      <c r="G168" s="7">
        <f>'Option source'!B428</f>
        <v>9.81</v>
      </c>
      <c r="H168" s="7">
        <f>'Option source'!B447</f>
        <v>5.93</v>
      </c>
      <c r="I168" s="7"/>
      <c r="J168" s="7">
        <f t="shared" si="14"/>
        <v>-2.0499999999999989</v>
      </c>
      <c r="K168" s="7">
        <f t="shared" si="15"/>
        <v>300</v>
      </c>
      <c r="L168" s="7">
        <f t="shared" si="16"/>
        <v>302.05</v>
      </c>
      <c r="M168" s="7" t="str">
        <f t="shared" si="17"/>
        <v>Unlimited</v>
      </c>
      <c r="N168" s="7" t="str">
        <f t="shared" si="18"/>
        <v>n.a.</v>
      </c>
      <c r="O168" s="7">
        <f t="shared" si="19"/>
        <v>9502.0499999999993</v>
      </c>
      <c r="P168" s="15" t="str">
        <f t="shared" si="20"/>
        <v>n.a.</v>
      </c>
      <c r="Q168" s="7">
        <f>J168*'Model inputs'!$B$8</f>
        <v>-204.99999999999989</v>
      </c>
      <c r="R168" s="1" t="s">
        <v>162</v>
      </c>
      <c r="S168" s="1">
        <v>423</v>
      </c>
      <c r="T168" s="1">
        <v>442</v>
      </c>
    </row>
    <row r="169" spans="1:20" ht="21" customHeight="1">
      <c r="A169" s="8">
        <v>46280</v>
      </c>
      <c r="B169" s="1" t="s">
        <v>36</v>
      </c>
      <c r="C169" s="1" t="s">
        <v>87</v>
      </c>
      <c r="D169" s="7">
        <v>9200</v>
      </c>
      <c r="E169" s="7">
        <v>9500</v>
      </c>
      <c r="F169" s="7"/>
      <c r="G169" s="7">
        <f>'Option source'!B447</f>
        <v>5.93</v>
      </c>
      <c r="H169" s="7">
        <f>'Option source'!B466</f>
        <v>3.7</v>
      </c>
      <c r="I169" s="7"/>
      <c r="J169" s="7">
        <f t="shared" si="14"/>
        <v>-1.4700000000000006</v>
      </c>
      <c r="K169" s="7">
        <f t="shared" si="15"/>
        <v>300</v>
      </c>
      <c r="L169" s="7">
        <f t="shared" si="16"/>
        <v>301.47000000000003</v>
      </c>
      <c r="M169" s="7" t="str">
        <f t="shared" si="17"/>
        <v>Unlimited</v>
      </c>
      <c r="N169" s="7" t="str">
        <f t="shared" si="18"/>
        <v>n.a.</v>
      </c>
      <c r="O169" s="7">
        <f t="shared" si="19"/>
        <v>9801.4699999999993</v>
      </c>
      <c r="P169" s="15" t="str">
        <f t="shared" si="20"/>
        <v>n.a.</v>
      </c>
      <c r="Q169" s="7">
        <f>J169*'Model inputs'!$B$8</f>
        <v>-147.00000000000006</v>
      </c>
      <c r="R169" s="1" t="s">
        <v>162</v>
      </c>
      <c r="S169" s="1">
        <v>442</v>
      </c>
      <c r="T169" s="1">
        <v>461</v>
      </c>
    </row>
    <row r="170" spans="1:20" ht="21" customHeight="1">
      <c r="A170" s="8">
        <v>46280</v>
      </c>
      <c r="B170" s="1" t="s">
        <v>36</v>
      </c>
      <c r="C170" s="1" t="s">
        <v>87</v>
      </c>
      <c r="D170" s="7">
        <v>9500</v>
      </c>
      <c r="E170" s="7">
        <v>9900</v>
      </c>
      <c r="F170" s="7"/>
      <c r="G170" s="7">
        <f>'Option source'!B466</f>
        <v>3.7</v>
      </c>
      <c r="H170" s="7">
        <f>'Option source'!B485</f>
        <v>2.44</v>
      </c>
      <c r="I170" s="7"/>
      <c r="J170" s="7">
        <f t="shared" si="14"/>
        <v>-1.1799999999999997</v>
      </c>
      <c r="K170" s="7">
        <f t="shared" si="15"/>
        <v>400</v>
      </c>
      <c r="L170" s="7">
        <f t="shared" si="16"/>
        <v>401.18</v>
      </c>
      <c r="M170" s="7" t="str">
        <f t="shared" si="17"/>
        <v>Unlimited</v>
      </c>
      <c r="N170" s="7" t="str">
        <f t="shared" si="18"/>
        <v>n.a.</v>
      </c>
      <c r="O170" s="7">
        <f t="shared" si="19"/>
        <v>10301.18</v>
      </c>
      <c r="P170" s="15" t="str">
        <f t="shared" si="20"/>
        <v>n.a.</v>
      </c>
      <c r="Q170" s="7">
        <f>J170*'Model inputs'!$B$8</f>
        <v>-117.99999999999997</v>
      </c>
      <c r="R170" s="1" t="s">
        <v>162</v>
      </c>
      <c r="S170" s="1">
        <v>461</v>
      </c>
      <c r="T170" s="1">
        <v>480</v>
      </c>
    </row>
    <row r="171" spans="1:20" ht="21" customHeight="1">
      <c r="A171" s="8">
        <v>46280</v>
      </c>
      <c r="B171" s="1" t="s">
        <v>36</v>
      </c>
      <c r="C171" s="1" t="s">
        <v>90</v>
      </c>
      <c r="D171" s="7">
        <v>7400</v>
      </c>
      <c r="E171" s="7">
        <v>7200</v>
      </c>
      <c r="F171" s="7"/>
      <c r="G171" s="7">
        <f>'Option source'!B808</f>
        <v>663.54</v>
      </c>
      <c r="H171" s="7">
        <f>'Option source'!B789</f>
        <v>542</v>
      </c>
      <c r="I171" s="7"/>
      <c r="J171" s="7">
        <f t="shared" si="14"/>
        <v>-420.46000000000004</v>
      </c>
      <c r="K171" s="7">
        <f t="shared" si="15"/>
        <v>200</v>
      </c>
      <c r="L171" s="7">
        <f t="shared" si="16"/>
        <v>620.46</v>
      </c>
      <c r="M171" s="7">
        <f t="shared" si="17"/>
        <v>6579.54</v>
      </c>
      <c r="N171" s="7">
        <f t="shared" si="18"/>
        <v>6579.54</v>
      </c>
      <c r="O171" s="7" t="str">
        <f t="shared" si="19"/>
        <v>n.a.</v>
      </c>
      <c r="P171" s="15" t="str">
        <f t="shared" si="20"/>
        <v>n.a.</v>
      </c>
      <c r="Q171" s="7">
        <f>J171*'Model inputs'!$B$8</f>
        <v>-42046</v>
      </c>
      <c r="R171" s="1" t="s">
        <v>164</v>
      </c>
      <c r="S171" s="1">
        <v>803</v>
      </c>
      <c r="T171" s="1">
        <v>784</v>
      </c>
    </row>
    <row r="172" spans="1:20" ht="21" customHeight="1">
      <c r="A172" s="8">
        <v>46280</v>
      </c>
      <c r="B172" s="1" t="s">
        <v>36</v>
      </c>
      <c r="C172" s="1" t="s">
        <v>90</v>
      </c>
      <c r="D172" s="7">
        <v>7600</v>
      </c>
      <c r="E172" s="7">
        <v>7400</v>
      </c>
      <c r="F172" s="7"/>
      <c r="G172" s="7">
        <f>'Option source'!B827</f>
        <v>860.85</v>
      </c>
      <c r="H172" s="7">
        <f>'Option source'!B808</f>
        <v>663.54</v>
      </c>
      <c r="I172" s="7"/>
      <c r="J172" s="7">
        <f t="shared" si="14"/>
        <v>-466.2299999999999</v>
      </c>
      <c r="K172" s="7">
        <f t="shared" si="15"/>
        <v>200</v>
      </c>
      <c r="L172" s="7">
        <f t="shared" si="16"/>
        <v>666.2299999999999</v>
      </c>
      <c r="M172" s="7">
        <f t="shared" si="17"/>
        <v>6733.77</v>
      </c>
      <c r="N172" s="7">
        <f t="shared" si="18"/>
        <v>6733.77</v>
      </c>
      <c r="O172" s="7" t="str">
        <f t="shared" si="19"/>
        <v>n.a.</v>
      </c>
      <c r="P172" s="15" t="str">
        <f t="shared" si="20"/>
        <v>n.a.</v>
      </c>
      <c r="Q172" s="7">
        <f>J172*'Model inputs'!$B$8</f>
        <v>-46622.999999999993</v>
      </c>
      <c r="R172" s="1" t="s">
        <v>164</v>
      </c>
      <c r="S172" s="1">
        <v>822</v>
      </c>
      <c r="T172" s="1">
        <v>803</v>
      </c>
    </row>
    <row r="173" spans="1:20" ht="21" customHeight="1">
      <c r="A173" s="8">
        <v>46280</v>
      </c>
      <c r="B173" s="1" t="s">
        <v>36</v>
      </c>
      <c r="C173" s="1" t="s">
        <v>87</v>
      </c>
      <c r="D173" s="7">
        <v>5800</v>
      </c>
      <c r="E173" s="7">
        <v>6000</v>
      </c>
      <c r="F173" s="7"/>
      <c r="G173" s="7">
        <f>'Option source'!B162</f>
        <v>1198.6500000000001</v>
      </c>
      <c r="H173" s="7">
        <f>'Option source'!B181</f>
        <v>930</v>
      </c>
      <c r="I173" s="7"/>
      <c r="J173" s="7">
        <f t="shared" si="14"/>
        <v>-661.34999999999991</v>
      </c>
      <c r="K173" s="7">
        <f t="shared" si="15"/>
        <v>200</v>
      </c>
      <c r="L173" s="7">
        <f t="shared" si="16"/>
        <v>861.34999999999991</v>
      </c>
      <c r="M173" s="7" t="str">
        <f t="shared" si="17"/>
        <v>Unlimited</v>
      </c>
      <c r="N173" s="7" t="str">
        <f t="shared" si="18"/>
        <v>n.a.</v>
      </c>
      <c r="O173" s="7">
        <f t="shared" si="19"/>
        <v>6861.35</v>
      </c>
      <c r="P173" s="15" t="str">
        <f t="shared" si="20"/>
        <v>n.a.</v>
      </c>
      <c r="Q173" s="7">
        <f>J173*'Model inputs'!$B$8</f>
        <v>-66134.999999999985</v>
      </c>
      <c r="R173" s="1" t="s">
        <v>164</v>
      </c>
      <c r="S173" s="1">
        <v>157</v>
      </c>
      <c r="T173" s="1">
        <v>176</v>
      </c>
    </row>
    <row r="174" spans="1:20" ht="21" customHeight="1">
      <c r="A174" s="8">
        <v>46280</v>
      </c>
      <c r="B174" s="1" t="s">
        <v>36</v>
      </c>
      <c r="C174" s="1" t="s">
        <v>90</v>
      </c>
      <c r="D174" s="7">
        <v>7800</v>
      </c>
      <c r="E174" s="7">
        <v>7600</v>
      </c>
      <c r="F174" s="7"/>
      <c r="G174" s="7">
        <f>'Option source'!B846</f>
        <v>1064.72</v>
      </c>
      <c r="H174" s="7">
        <f>'Option source'!B827</f>
        <v>860.85</v>
      </c>
      <c r="I174" s="7"/>
      <c r="J174" s="7">
        <f t="shared" si="14"/>
        <v>-656.98</v>
      </c>
      <c r="K174" s="7">
        <f t="shared" si="15"/>
        <v>200</v>
      </c>
      <c r="L174" s="7">
        <f t="shared" si="16"/>
        <v>856.98</v>
      </c>
      <c r="M174" s="7">
        <f t="shared" si="17"/>
        <v>6743.02</v>
      </c>
      <c r="N174" s="7">
        <f t="shared" si="18"/>
        <v>6743.02</v>
      </c>
      <c r="O174" s="7" t="str">
        <f t="shared" si="19"/>
        <v>n.a.</v>
      </c>
      <c r="P174" s="15" t="str">
        <f t="shared" si="20"/>
        <v>n.a.</v>
      </c>
      <c r="Q174" s="7">
        <f>J174*'Model inputs'!$B$8</f>
        <v>-65698</v>
      </c>
      <c r="R174" s="1" t="s">
        <v>164</v>
      </c>
      <c r="S174" s="1">
        <v>841</v>
      </c>
      <c r="T174" s="1">
        <v>822</v>
      </c>
    </row>
    <row r="175" spans="1:20" ht="21" customHeight="1">
      <c r="A175" s="8">
        <v>46280</v>
      </c>
      <c r="B175" s="1" t="s">
        <v>36</v>
      </c>
      <c r="C175" s="1" t="s">
        <v>87</v>
      </c>
      <c r="D175" s="7">
        <v>5600</v>
      </c>
      <c r="E175" s="7">
        <v>5800</v>
      </c>
      <c r="F175" s="7"/>
      <c r="G175" s="7">
        <f>'Option source'!B152</f>
        <v>1455</v>
      </c>
      <c r="H175" s="7">
        <f>'Option source'!B162</f>
        <v>1198.6500000000001</v>
      </c>
      <c r="I175" s="7"/>
      <c r="J175" s="7">
        <f t="shared" si="14"/>
        <v>-942.30000000000018</v>
      </c>
      <c r="K175" s="7">
        <f t="shared" si="15"/>
        <v>200</v>
      </c>
      <c r="L175" s="7">
        <f t="shared" si="16"/>
        <v>1142.3000000000002</v>
      </c>
      <c r="M175" s="7" t="str">
        <f t="shared" si="17"/>
        <v>Unlimited</v>
      </c>
      <c r="N175" s="7" t="str">
        <f t="shared" si="18"/>
        <v>n.a.</v>
      </c>
      <c r="O175" s="7">
        <f t="shared" si="19"/>
        <v>6942.3</v>
      </c>
      <c r="P175" s="15" t="str">
        <f t="shared" si="20"/>
        <v>n.a.</v>
      </c>
      <c r="Q175" s="7">
        <f>J175*'Model inputs'!$B$8</f>
        <v>-94230.000000000015</v>
      </c>
      <c r="R175" s="1" t="s">
        <v>164</v>
      </c>
      <c r="S175" s="1">
        <v>147</v>
      </c>
      <c r="T175" s="1">
        <v>157</v>
      </c>
    </row>
    <row r="176" spans="1:20" ht="21" customHeight="1">
      <c r="A176" s="8">
        <v>46280</v>
      </c>
      <c r="B176" s="1" t="s">
        <v>36</v>
      </c>
      <c r="C176" s="1" t="s">
        <v>90</v>
      </c>
      <c r="D176" s="7">
        <v>8000</v>
      </c>
      <c r="E176" s="7">
        <v>7800</v>
      </c>
      <c r="F176" s="7"/>
      <c r="G176" s="7">
        <f>'Option source'!B865</f>
        <v>1230</v>
      </c>
      <c r="H176" s="7">
        <f>'Option source'!B846</f>
        <v>1064.72</v>
      </c>
      <c r="I176" s="7"/>
      <c r="J176" s="7">
        <f t="shared" si="14"/>
        <v>-899.44</v>
      </c>
      <c r="K176" s="7">
        <f t="shared" si="15"/>
        <v>200</v>
      </c>
      <c r="L176" s="7">
        <f t="shared" si="16"/>
        <v>1099.44</v>
      </c>
      <c r="M176" s="7">
        <f t="shared" si="17"/>
        <v>6700.5599999999995</v>
      </c>
      <c r="N176" s="7">
        <f t="shared" si="18"/>
        <v>6700.5599999999995</v>
      </c>
      <c r="O176" s="7" t="str">
        <f t="shared" si="19"/>
        <v>n.a.</v>
      </c>
      <c r="P176" s="15" t="str">
        <f t="shared" si="20"/>
        <v>n.a.</v>
      </c>
      <c r="Q176" s="7">
        <f>J176*'Model inputs'!$B$8</f>
        <v>-89944</v>
      </c>
      <c r="R176" s="1" t="s">
        <v>164</v>
      </c>
      <c r="S176" s="1">
        <v>860</v>
      </c>
      <c r="T176" s="1">
        <v>841</v>
      </c>
    </row>
    <row r="177" spans="1:20" ht="21" customHeight="1">
      <c r="A177" s="8">
        <v>46280</v>
      </c>
      <c r="B177" s="1" t="s">
        <v>36</v>
      </c>
      <c r="C177" s="1" t="s">
        <v>87</v>
      </c>
      <c r="D177" s="7">
        <v>5400</v>
      </c>
      <c r="E177" s="7">
        <v>5600</v>
      </c>
      <c r="F177" s="7"/>
      <c r="G177" s="7">
        <f>'Option source'!B134</f>
        <v>1470</v>
      </c>
      <c r="H177" s="7">
        <f>'Option source'!B152</f>
        <v>1455</v>
      </c>
      <c r="I177" s="7"/>
      <c r="J177" s="7">
        <f t="shared" si="14"/>
        <v>-1440</v>
      </c>
      <c r="K177" s="7">
        <f t="shared" si="15"/>
        <v>200</v>
      </c>
      <c r="L177" s="7">
        <f t="shared" si="16"/>
        <v>1640</v>
      </c>
      <c r="M177" s="7" t="str">
        <f t="shared" si="17"/>
        <v>Unlimited</v>
      </c>
      <c r="N177" s="7" t="str">
        <f t="shared" si="18"/>
        <v>n.a.</v>
      </c>
      <c r="O177" s="7">
        <f t="shared" si="19"/>
        <v>7240</v>
      </c>
      <c r="P177" s="15" t="str">
        <f t="shared" si="20"/>
        <v>n.a.</v>
      </c>
      <c r="Q177" s="7">
        <f>J177*'Model inputs'!$B$8</f>
        <v>-144000</v>
      </c>
      <c r="R177" s="1" t="s">
        <v>164</v>
      </c>
      <c r="S177" s="1">
        <v>129</v>
      </c>
      <c r="T177" s="1">
        <v>147</v>
      </c>
    </row>
    <row r="178" spans="1:20" ht="21" customHeight="1">
      <c r="A178" s="8">
        <v>46280</v>
      </c>
      <c r="B178" s="1" t="s">
        <v>36</v>
      </c>
      <c r="C178" s="1" t="s">
        <v>90</v>
      </c>
      <c r="D178" s="7">
        <v>8300</v>
      </c>
      <c r="E178" s="7">
        <v>8000</v>
      </c>
      <c r="F178" s="7"/>
      <c r="G178" s="7">
        <f>'Option source'!B884</f>
        <v>1520</v>
      </c>
      <c r="H178" s="7">
        <f>'Option source'!B865</f>
        <v>1230</v>
      </c>
      <c r="I178" s="7"/>
      <c r="J178" s="7">
        <f t="shared" si="14"/>
        <v>-940</v>
      </c>
      <c r="K178" s="7">
        <f t="shared" si="15"/>
        <v>300</v>
      </c>
      <c r="L178" s="7">
        <f t="shared" si="16"/>
        <v>1240</v>
      </c>
      <c r="M178" s="7">
        <f t="shared" si="17"/>
        <v>6760</v>
      </c>
      <c r="N178" s="7">
        <f t="shared" si="18"/>
        <v>6760</v>
      </c>
      <c r="O178" s="7" t="str">
        <f t="shared" si="19"/>
        <v>n.a.</v>
      </c>
      <c r="P178" s="15" t="str">
        <f t="shared" si="20"/>
        <v>n.a.</v>
      </c>
      <c r="Q178" s="7">
        <f>J178*'Model inputs'!$B$8</f>
        <v>-94000</v>
      </c>
      <c r="R178" s="1" t="s">
        <v>164</v>
      </c>
      <c r="S178" s="1">
        <v>879</v>
      </c>
      <c r="T178" s="1">
        <v>860</v>
      </c>
    </row>
    <row r="179" spans="1:20" ht="21" customHeight="1">
      <c r="A179" s="8">
        <v>46280</v>
      </c>
      <c r="B179" s="1" t="s">
        <v>36</v>
      </c>
      <c r="C179" s="1" t="s">
        <v>87</v>
      </c>
      <c r="D179" s="7">
        <v>5000</v>
      </c>
      <c r="E179" s="7">
        <v>5200</v>
      </c>
      <c r="F179" s="7"/>
      <c r="G179" s="7">
        <f>'Option source'!B96</f>
        <v>1851</v>
      </c>
      <c r="H179" s="7">
        <f>'Option source'!B115</f>
        <v>1678.07</v>
      </c>
      <c r="I179" s="7"/>
      <c r="J179" s="7">
        <f t="shared" si="14"/>
        <v>-1505.1399999999999</v>
      </c>
      <c r="K179" s="7">
        <f t="shared" si="15"/>
        <v>200</v>
      </c>
      <c r="L179" s="7">
        <f t="shared" si="16"/>
        <v>1705.1399999999999</v>
      </c>
      <c r="M179" s="7" t="str">
        <f t="shared" si="17"/>
        <v>Unlimited</v>
      </c>
      <c r="N179" s="7" t="str">
        <f t="shared" si="18"/>
        <v>n.a.</v>
      </c>
      <c r="O179" s="7">
        <f t="shared" si="19"/>
        <v>6905.1399999999994</v>
      </c>
      <c r="P179" s="15" t="str">
        <f t="shared" si="20"/>
        <v>n.a.</v>
      </c>
      <c r="Q179" s="7">
        <f>J179*'Model inputs'!$B$8</f>
        <v>-150514</v>
      </c>
      <c r="R179" s="1" t="s">
        <v>164</v>
      </c>
      <c r="S179" s="1">
        <v>91</v>
      </c>
      <c r="T179" s="1">
        <v>110</v>
      </c>
    </row>
    <row r="180" spans="1:20" ht="21" customHeight="1">
      <c r="A180" s="8">
        <v>46280</v>
      </c>
      <c r="B180" s="1" t="s">
        <v>36</v>
      </c>
      <c r="C180" s="1" t="s">
        <v>90</v>
      </c>
      <c r="D180" s="7">
        <v>8600</v>
      </c>
      <c r="E180" s="7">
        <v>8300</v>
      </c>
      <c r="F180" s="7"/>
      <c r="G180" s="7">
        <f>'Option source'!B903</f>
        <v>1648.65</v>
      </c>
      <c r="H180" s="7">
        <f>'Option source'!B884</f>
        <v>1520</v>
      </c>
      <c r="I180" s="7"/>
      <c r="J180" s="7">
        <f t="shared" si="14"/>
        <v>-1391.35</v>
      </c>
      <c r="K180" s="7">
        <f t="shared" si="15"/>
        <v>300</v>
      </c>
      <c r="L180" s="7">
        <f t="shared" si="16"/>
        <v>1691.35</v>
      </c>
      <c r="M180" s="7">
        <f t="shared" si="17"/>
        <v>6608.65</v>
      </c>
      <c r="N180" s="7">
        <f t="shared" si="18"/>
        <v>6608.65</v>
      </c>
      <c r="O180" s="7" t="str">
        <f t="shared" si="19"/>
        <v>n.a.</v>
      </c>
      <c r="P180" s="15" t="str">
        <f t="shared" si="20"/>
        <v>n.a.</v>
      </c>
      <c r="Q180" s="7">
        <f>J180*'Model inputs'!$B$8</f>
        <v>-139135</v>
      </c>
      <c r="R180" s="1" t="s">
        <v>164</v>
      </c>
      <c r="S180" s="1">
        <v>898</v>
      </c>
      <c r="T180" s="1">
        <v>879</v>
      </c>
    </row>
    <row r="181" spans="1:20" ht="21" customHeight="1">
      <c r="A181" s="8">
        <v>46280</v>
      </c>
      <c r="B181" s="1" t="s">
        <v>36</v>
      </c>
      <c r="C181" s="1" t="s">
        <v>87</v>
      </c>
      <c r="D181" s="7">
        <v>4800</v>
      </c>
      <c r="E181" s="7">
        <v>5000</v>
      </c>
      <c r="F181" s="7"/>
      <c r="G181" s="7">
        <f>'Option source'!B79</f>
        <v>2084.21</v>
      </c>
      <c r="H181" s="7">
        <f>'Option source'!B96</f>
        <v>1851</v>
      </c>
      <c r="I181" s="7"/>
      <c r="J181" s="7">
        <f t="shared" si="14"/>
        <v>-1617.79</v>
      </c>
      <c r="K181" s="7">
        <f t="shared" si="15"/>
        <v>200</v>
      </c>
      <c r="L181" s="7">
        <f t="shared" si="16"/>
        <v>1817.79</v>
      </c>
      <c r="M181" s="7" t="str">
        <f t="shared" si="17"/>
        <v>Unlimited</v>
      </c>
      <c r="N181" s="7" t="str">
        <f t="shared" si="18"/>
        <v>n.a.</v>
      </c>
      <c r="O181" s="7">
        <f t="shared" si="19"/>
        <v>6817.79</v>
      </c>
      <c r="P181" s="15" t="str">
        <f t="shared" si="20"/>
        <v>n.a.</v>
      </c>
      <c r="Q181" s="7">
        <f>J181*'Model inputs'!$B$8</f>
        <v>-161779</v>
      </c>
      <c r="R181" s="1" t="s">
        <v>164</v>
      </c>
      <c r="S181" s="1">
        <v>74</v>
      </c>
      <c r="T181" s="1">
        <v>91</v>
      </c>
    </row>
    <row r="182" spans="1:20" ht="21" customHeight="1">
      <c r="A182" s="8">
        <v>46280</v>
      </c>
      <c r="B182" s="1" t="s">
        <v>36</v>
      </c>
      <c r="C182" s="1" t="s">
        <v>90</v>
      </c>
      <c r="D182" s="7">
        <v>8900</v>
      </c>
      <c r="E182" s="7">
        <v>8600</v>
      </c>
      <c r="F182" s="7"/>
      <c r="G182" s="7">
        <f>'Option source'!B918</f>
        <v>2022.5</v>
      </c>
      <c r="H182" s="7">
        <f>'Option source'!B903</f>
        <v>1648.65</v>
      </c>
      <c r="I182" s="7"/>
      <c r="J182" s="7">
        <f t="shared" si="14"/>
        <v>-1274.8000000000002</v>
      </c>
      <c r="K182" s="7">
        <f t="shared" si="15"/>
        <v>300</v>
      </c>
      <c r="L182" s="7">
        <f t="shared" si="16"/>
        <v>1574.8000000000002</v>
      </c>
      <c r="M182" s="7">
        <f t="shared" si="17"/>
        <v>7025.2</v>
      </c>
      <c r="N182" s="7">
        <f t="shared" si="18"/>
        <v>7025.2</v>
      </c>
      <c r="O182" s="7" t="str">
        <f t="shared" si="19"/>
        <v>n.a.</v>
      </c>
      <c r="P182" s="15" t="str">
        <f t="shared" si="20"/>
        <v>n.a.</v>
      </c>
      <c r="Q182" s="7">
        <f>J182*'Model inputs'!$B$8</f>
        <v>-127480.00000000001</v>
      </c>
      <c r="R182" s="1" t="s">
        <v>164</v>
      </c>
      <c r="S182" s="1">
        <v>913</v>
      </c>
      <c r="T182" s="1">
        <v>898</v>
      </c>
    </row>
    <row r="183" spans="1:20" ht="21" customHeight="1">
      <c r="A183" s="8">
        <v>46280</v>
      </c>
      <c r="B183" s="1" t="s">
        <v>36</v>
      </c>
      <c r="C183" s="1" t="s">
        <v>87</v>
      </c>
      <c r="D183" s="7">
        <v>4600</v>
      </c>
      <c r="E183" s="7">
        <v>4800</v>
      </c>
      <c r="F183" s="7"/>
      <c r="G183" s="7">
        <f>'Option source'!B62</f>
        <v>2280.1</v>
      </c>
      <c r="H183" s="7">
        <f>'Option source'!B79</f>
        <v>2084.21</v>
      </c>
      <c r="I183" s="7"/>
      <c r="J183" s="7">
        <f t="shared" si="14"/>
        <v>-1888.3200000000002</v>
      </c>
      <c r="K183" s="7">
        <f t="shared" si="15"/>
        <v>200</v>
      </c>
      <c r="L183" s="7">
        <f t="shared" si="16"/>
        <v>2088.3200000000002</v>
      </c>
      <c r="M183" s="7" t="str">
        <f t="shared" si="17"/>
        <v>Unlimited</v>
      </c>
      <c r="N183" s="7" t="str">
        <f t="shared" si="18"/>
        <v>n.a.</v>
      </c>
      <c r="O183" s="7">
        <f t="shared" si="19"/>
        <v>6888.32</v>
      </c>
      <c r="P183" s="15" t="str">
        <f t="shared" si="20"/>
        <v>n.a.</v>
      </c>
      <c r="Q183" s="7">
        <f>J183*'Model inputs'!$B$8</f>
        <v>-188832.00000000003</v>
      </c>
      <c r="R183" s="1" t="s">
        <v>164</v>
      </c>
      <c r="S183" s="1">
        <v>57</v>
      </c>
      <c r="T183" s="1">
        <v>74</v>
      </c>
    </row>
    <row r="184" spans="1:20" ht="21" customHeight="1">
      <c r="A184" s="8">
        <v>46280</v>
      </c>
      <c r="B184" s="1" t="s">
        <v>36</v>
      </c>
      <c r="C184" s="1" t="s">
        <v>87</v>
      </c>
      <c r="D184" s="7">
        <v>4400</v>
      </c>
      <c r="E184" s="7">
        <v>4600</v>
      </c>
      <c r="F184" s="7"/>
      <c r="G184" s="7">
        <f>'Option source'!B43</f>
        <v>2422</v>
      </c>
      <c r="H184" s="7">
        <f>'Option source'!B62</f>
        <v>2280.1</v>
      </c>
      <c r="I184" s="7"/>
      <c r="J184" s="7">
        <f t="shared" si="14"/>
        <v>-2138.1999999999998</v>
      </c>
      <c r="K184" s="7">
        <f t="shared" si="15"/>
        <v>200</v>
      </c>
      <c r="L184" s="7">
        <f t="shared" si="16"/>
        <v>2338.1999999999998</v>
      </c>
      <c r="M184" s="7" t="str">
        <f t="shared" si="17"/>
        <v>Unlimited</v>
      </c>
      <c r="N184" s="7" t="str">
        <f t="shared" si="18"/>
        <v>n.a.</v>
      </c>
      <c r="O184" s="7">
        <f t="shared" si="19"/>
        <v>6938.2</v>
      </c>
      <c r="P184" s="15" t="str">
        <f t="shared" si="20"/>
        <v>n.a.</v>
      </c>
      <c r="Q184" s="7">
        <f>J184*'Model inputs'!$B$8</f>
        <v>-213819.99999999997</v>
      </c>
      <c r="R184" s="1" t="s">
        <v>164</v>
      </c>
      <c r="S184" s="1">
        <v>38</v>
      </c>
      <c r="T184" s="1">
        <v>57</v>
      </c>
    </row>
    <row r="185" spans="1:20" ht="21" customHeight="1">
      <c r="A185" s="8">
        <v>46280</v>
      </c>
      <c r="B185" s="1" t="s">
        <v>36</v>
      </c>
      <c r="C185" s="1" t="s">
        <v>90</v>
      </c>
      <c r="D185" s="7">
        <v>9200</v>
      </c>
      <c r="E185" s="7">
        <v>8900</v>
      </c>
      <c r="F185" s="7"/>
      <c r="G185" s="7">
        <f>'Option source'!B925</f>
        <v>2041.57</v>
      </c>
      <c r="H185" s="7">
        <f>'Option source'!B918</f>
        <v>2022.5</v>
      </c>
      <c r="I185" s="7"/>
      <c r="J185" s="7">
        <f t="shared" si="14"/>
        <v>-2003.43</v>
      </c>
      <c r="K185" s="7">
        <f t="shared" si="15"/>
        <v>300</v>
      </c>
      <c r="L185" s="7">
        <f t="shared" si="16"/>
        <v>2303.4300000000003</v>
      </c>
      <c r="M185" s="7">
        <f t="shared" si="17"/>
        <v>6596.57</v>
      </c>
      <c r="N185" s="7">
        <f t="shared" si="18"/>
        <v>6596.57</v>
      </c>
      <c r="O185" s="7" t="str">
        <f t="shared" si="19"/>
        <v>n.a.</v>
      </c>
      <c r="P185" s="15" t="str">
        <f t="shared" si="20"/>
        <v>n.a.</v>
      </c>
      <c r="Q185" s="7">
        <f>J185*'Model inputs'!$B$8</f>
        <v>-200343</v>
      </c>
      <c r="R185" s="1" t="s">
        <v>164</v>
      </c>
      <c r="S185" s="1">
        <v>920</v>
      </c>
      <c r="T185" s="1">
        <v>913</v>
      </c>
    </row>
    <row r="186" spans="1:20" ht="21" customHeight="1">
      <c r="A186" s="8">
        <v>46280</v>
      </c>
      <c r="B186" s="1" t="s">
        <v>36</v>
      </c>
      <c r="C186" s="1" t="s">
        <v>87</v>
      </c>
      <c r="D186" s="7">
        <v>4200</v>
      </c>
      <c r="E186" s="7">
        <v>4400</v>
      </c>
      <c r="F186" s="7"/>
      <c r="G186" s="7">
        <f>'Option source'!B24</f>
        <v>2597.16</v>
      </c>
      <c r="H186" s="7">
        <f>'Option source'!B43</f>
        <v>2422</v>
      </c>
      <c r="I186" s="7"/>
      <c r="J186" s="7">
        <f t="shared" si="14"/>
        <v>-2246.84</v>
      </c>
      <c r="K186" s="7">
        <f t="shared" si="15"/>
        <v>200</v>
      </c>
      <c r="L186" s="7">
        <f t="shared" si="16"/>
        <v>2446.84</v>
      </c>
      <c r="M186" s="7" t="str">
        <f t="shared" si="17"/>
        <v>Unlimited</v>
      </c>
      <c r="N186" s="7" t="str">
        <f t="shared" si="18"/>
        <v>n.a.</v>
      </c>
      <c r="O186" s="7">
        <f t="shared" si="19"/>
        <v>6846.84</v>
      </c>
      <c r="P186" s="15" t="str">
        <f t="shared" si="20"/>
        <v>n.a.</v>
      </c>
      <c r="Q186" s="7">
        <f>J186*'Model inputs'!$B$8</f>
        <v>-224684</v>
      </c>
      <c r="R186" s="1" t="s">
        <v>164</v>
      </c>
      <c r="S186" s="1">
        <v>19</v>
      </c>
      <c r="T186" s="1">
        <v>38</v>
      </c>
    </row>
    <row r="187" spans="1:20" ht="21" customHeight="1">
      <c r="A187" s="8">
        <v>46280</v>
      </c>
      <c r="B187" s="1" t="s">
        <v>36</v>
      </c>
      <c r="C187" s="1" t="s">
        <v>90</v>
      </c>
      <c r="D187" s="7">
        <v>4600</v>
      </c>
      <c r="E187" s="7">
        <v>4400</v>
      </c>
      <c r="F187" s="7"/>
      <c r="G187" s="7">
        <f>'Option source'!B542</f>
        <v>1.8</v>
      </c>
      <c r="H187" s="7">
        <f>'Option source'!B523</f>
        <v>1.71</v>
      </c>
      <c r="I187" s="7"/>
      <c r="J187" s="7">
        <f t="shared" si="14"/>
        <v>-1.6199999999999999</v>
      </c>
      <c r="K187" s="7">
        <f t="shared" si="15"/>
        <v>200</v>
      </c>
      <c r="L187" s="7">
        <f t="shared" si="16"/>
        <v>201.62</v>
      </c>
      <c r="M187" s="7">
        <f t="shared" si="17"/>
        <v>4198.38</v>
      </c>
      <c r="N187" s="7">
        <f t="shared" si="18"/>
        <v>4198.38</v>
      </c>
      <c r="O187" s="7" t="str">
        <f t="shared" si="19"/>
        <v>n.a.</v>
      </c>
      <c r="P187" s="15" t="str">
        <f t="shared" si="20"/>
        <v>n.a.</v>
      </c>
      <c r="Q187" s="7">
        <f>J187*'Model inputs'!$B$8</f>
        <v>-162</v>
      </c>
      <c r="R187" s="1" t="s">
        <v>164</v>
      </c>
      <c r="S187" s="1">
        <v>537</v>
      </c>
      <c r="T187" s="1">
        <v>518</v>
      </c>
    </row>
    <row r="188" spans="1:20" ht="21" customHeight="1">
      <c r="A188" s="8">
        <v>46280</v>
      </c>
      <c r="B188" s="1" t="s">
        <v>36</v>
      </c>
      <c r="C188" s="1" t="s">
        <v>90</v>
      </c>
      <c r="D188" s="7">
        <v>4400</v>
      </c>
      <c r="E188" s="7">
        <v>4200</v>
      </c>
      <c r="F188" s="7"/>
      <c r="G188" s="7">
        <f>'Option source'!B523</f>
        <v>1.71</v>
      </c>
      <c r="H188" s="7">
        <f>'Option source'!B504</f>
        <v>1.19</v>
      </c>
      <c r="I188" s="7"/>
      <c r="J188" s="7">
        <f t="shared" si="14"/>
        <v>-0.66999999999999993</v>
      </c>
      <c r="K188" s="7">
        <f t="shared" si="15"/>
        <v>200</v>
      </c>
      <c r="L188" s="7">
        <f t="shared" si="16"/>
        <v>200.67</v>
      </c>
      <c r="M188" s="7">
        <f t="shared" si="17"/>
        <v>3999.33</v>
      </c>
      <c r="N188" s="7">
        <f t="shared" si="18"/>
        <v>3999.33</v>
      </c>
      <c r="O188" s="7" t="str">
        <f t="shared" si="19"/>
        <v>n.a.</v>
      </c>
      <c r="P188" s="15" t="str">
        <f t="shared" si="20"/>
        <v>n.a.</v>
      </c>
      <c r="Q188" s="7">
        <f>J188*'Model inputs'!$B$8</f>
        <v>-67</v>
      </c>
      <c r="R188" s="1" t="s">
        <v>164</v>
      </c>
      <c r="S188" s="1">
        <v>518</v>
      </c>
      <c r="T188" s="1">
        <v>499</v>
      </c>
    </row>
    <row r="189" spans="1:20" ht="21" customHeight="1">
      <c r="A189" s="8">
        <v>46279</v>
      </c>
      <c r="B189" s="1" t="s">
        <v>34</v>
      </c>
      <c r="C189" s="1" t="s">
        <v>87</v>
      </c>
      <c r="D189" s="7">
        <v>6600</v>
      </c>
      <c r="E189" s="7">
        <v>6800</v>
      </c>
      <c r="F189" s="7">
        <v>7000</v>
      </c>
      <c r="G189" s="7">
        <f>'Option source'!B237</f>
        <v>574.6</v>
      </c>
      <c r="H189" s="7">
        <f>'Option source'!B256</f>
        <v>449.91</v>
      </c>
      <c r="I189" s="7">
        <f>'Option source'!B275</f>
        <v>351.33</v>
      </c>
      <c r="J189" s="7">
        <f t="shared" si="14"/>
        <v>26.109999999999957</v>
      </c>
      <c r="K189" s="7">
        <f t="shared" si="15"/>
        <v>200</v>
      </c>
      <c r="L189" s="7">
        <f t="shared" si="16"/>
        <v>173.89000000000004</v>
      </c>
      <c r="M189" s="7">
        <f t="shared" si="17"/>
        <v>26.109999999999957</v>
      </c>
      <c r="N189" s="7">
        <f t="shared" si="18"/>
        <v>6626.11</v>
      </c>
      <c r="O189" s="7">
        <f t="shared" si="19"/>
        <v>6973.89</v>
      </c>
      <c r="P189" s="15">
        <f t="shared" si="20"/>
        <v>6.6599004212945356</v>
      </c>
      <c r="Q189" s="7">
        <f>J189*'Model inputs'!$B$8</f>
        <v>2610.9999999999955</v>
      </c>
      <c r="R189" s="1" t="s">
        <v>162</v>
      </c>
      <c r="S189" s="1">
        <v>232</v>
      </c>
      <c r="T189" s="1">
        <v>251</v>
      </c>
    </row>
    <row r="190" spans="1:20" ht="21" customHeight="1">
      <c r="A190" s="8">
        <v>46279</v>
      </c>
      <c r="B190" s="1" t="s">
        <v>34</v>
      </c>
      <c r="C190" s="1" t="s">
        <v>90</v>
      </c>
      <c r="D190" s="7">
        <v>6600</v>
      </c>
      <c r="E190" s="7">
        <v>6800</v>
      </c>
      <c r="F190" s="7">
        <v>7000</v>
      </c>
      <c r="G190" s="7">
        <f>'Option source'!B731</f>
        <v>192.29</v>
      </c>
      <c r="H190" s="7">
        <f>'Option source'!B750</f>
        <v>275.35000000000002</v>
      </c>
      <c r="I190" s="7">
        <f>'Option source'!B769</f>
        <v>374.39</v>
      </c>
      <c r="J190" s="7">
        <f t="shared" si="14"/>
        <v>15.979999999999905</v>
      </c>
      <c r="K190" s="7">
        <f t="shared" si="15"/>
        <v>200</v>
      </c>
      <c r="L190" s="7">
        <f t="shared" si="16"/>
        <v>184.0200000000001</v>
      </c>
      <c r="M190" s="7">
        <f t="shared" si="17"/>
        <v>15.979999999999905</v>
      </c>
      <c r="N190" s="7">
        <f t="shared" si="18"/>
        <v>6615.98</v>
      </c>
      <c r="O190" s="7">
        <f t="shared" si="19"/>
        <v>6984.02</v>
      </c>
      <c r="P190" s="15">
        <f t="shared" si="20"/>
        <v>11.515644555694694</v>
      </c>
      <c r="Q190" s="7">
        <f>J190*'Model inputs'!$B$8</f>
        <v>1597.9999999999905</v>
      </c>
      <c r="R190" s="1" t="s">
        <v>162</v>
      </c>
      <c r="S190" s="1">
        <v>726</v>
      </c>
      <c r="T190" s="1">
        <v>745</v>
      </c>
    </row>
    <row r="191" spans="1:20" ht="21" customHeight="1">
      <c r="A191" s="8">
        <v>46279</v>
      </c>
      <c r="B191" s="1" t="s">
        <v>34</v>
      </c>
      <c r="C191" s="1" t="s">
        <v>87</v>
      </c>
      <c r="D191" s="7">
        <v>6800</v>
      </c>
      <c r="E191" s="7">
        <v>7000</v>
      </c>
      <c r="F191" s="7">
        <v>7200</v>
      </c>
      <c r="G191" s="7">
        <f>'Option source'!B256</f>
        <v>449.91</v>
      </c>
      <c r="H191" s="7">
        <f>'Option source'!B275</f>
        <v>351.33</v>
      </c>
      <c r="I191" s="7">
        <f>'Option source'!B294</f>
        <v>261.93</v>
      </c>
      <c r="J191" s="7">
        <f t="shared" si="14"/>
        <v>9.1800000000000637</v>
      </c>
      <c r="K191" s="7">
        <f t="shared" si="15"/>
        <v>200</v>
      </c>
      <c r="L191" s="7">
        <f t="shared" si="16"/>
        <v>190.81999999999994</v>
      </c>
      <c r="M191" s="7">
        <f t="shared" si="17"/>
        <v>9.1800000000000637</v>
      </c>
      <c r="N191" s="7">
        <f t="shared" si="18"/>
        <v>6809.18</v>
      </c>
      <c r="O191" s="7">
        <f t="shared" si="19"/>
        <v>7190.82</v>
      </c>
      <c r="P191" s="15">
        <f t="shared" si="20"/>
        <v>20.786492374727519</v>
      </c>
      <c r="Q191" s="7">
        <f>J191*'Model inputs'!$B$8</f>
        <v>918.00000000000637</v>
      </c>
      <c r="R191" s="1" t="s">
        <v>162</v>
      </c>
      <c r="S191" s="1">
        <v>251</v>
      </c>
      <c r="T191" s="1">
        <v>270</v>
      </c>
    </row>
    <row r="192" spans="1:20" ht="21" customHeight="1">
      <c r="A192" s="8">
        <v>46279</v>
      </c>
      <c r="B192" s="1" t="s">
        <v>34</v>
      </c>
      <c r="C192" s="1" t="s">
        <v>90</v>
      </c>
      <c r="D192" s="7">
        <v>6800</v>
      </c>
      <c r="E192" s="7">
        <v>7000</v>
      </c>
      <c r="F192" s="7">
        <v>7200</v>
      </c>
      <c r="G192" s="7">
        <f>'Option source'!B750</f>
        <v>275.35000000000002</v>
      </c>
      <c r="H192" s="7">
        <f>'Option source'!B769</f>
        <v>374.39</v>
      </c>
      <c r="I192" s="7">
        <f>'Option source'!B788</f>
        <v>494.18</v>
      </c>
      <c r="J192" s="7">
        <f t="shared" si="14"/>
        <v>20.750000000000057</v>
      </c>
      <c r="K192" s="7">
        <f t="shared" si="15"/>
        <v>200</v>
      </c>
      <c r="L192" s="7">
        <f t="shared" si="16"/>
        <v>179.24999999999994</v>
      </c>
      <c r="M192" s="7">
        <f t="shared" si="17"/>
        <v>20.750000000000057</v>
      </c>
      <c r="N192" s="7">
        <f t="shared" si="18"/>
        <v>6820.75</v>
      </c>
      <c r="O192" s="7">
        <f t="shared" si="19"/>
        <v>7179.25</v>
      </c>
      <c r="P192" s="15">
        <f t="shared" si="20"/>
        <v>8.6385542168674441</v>
      </c>
      <c r="Q192" s="7">
        <f>J192*'Model inputs'!$B$8</f>
        <v>2075.0000000000055</v>
      </c>
      <c r="R192" s="1" t="s">
        <v>162</v>
      </c>
      <c r="S192" s="1">
        <v>745</v>
      </c>
      <c r="T192" s="1">
        <v>764</v>
      </c>
    </row>
    <row r="193" spans="1:20" ht="21" customHeight="1">
      <c r="A193" s="8">
        <v>46279</v>
      </c>
      <c r="B193" s="1" t="s">
        <v>34</v>
      </c>
      <c r="C193" s="1" t="s">
        <v>90</v>
      </c>
      <c r="D193" s="7">
        <v>6400</v>
      </c>
      <c r="E193" s="7">
        <v>6600</v>
      </c>
      <c r="F193" s="7">
        <v>6800</v>
      </c>
      <c r="G193" s="7">
        <f>'Option source'!B712</f>
        <v>130.18</v>
      </c>
      <c r="H193" s="7">
        <f>'Option source'!B731</f>
        <v>192.29</v>
      </c>
      <c r="I193" s="7">
        <f>'Option source'!B750</f>
        <v>275.35000000000002</v>
      </c>
      <c r="J193" s="7">
        <f t="shared" si="14"/>
        <v>20.950000000000045</v>
      </c>
      <c r="K193" s="7">
        <f t="shared" si="15"/>
        <v>200</v>
      </c>
      <c r="L193" s="7">
        <f t="shared" si="16"/>
        <v>179.04999999999995</v>
      </c>
      <c r="M193" s="7">
        <f t="shared" si="17"/>
        <v>20.950000000000045</v>
      </c>
      <c r="N193" s="7">
        <f t="shared" si="18"/>
        <v>6420.95</v>
      </c>
      <c r="O193" s="7">
        <f t="shared" si="19"/>
        <v>6779.05</v>
      </c>
      <c r="P193" s="15">
        <f t="shared" si="20"/>
        <v>8.54653937947492</v>
      </c>
      <c r="Q193" s="7">
        <f>J193*'Model inputs'!$B$8</f>
        <v>2095.0000000000045</v>
      </c>
      <c r="R193" s="1" t="s">
        <v>162</v>
      </c>
      <c r="S193" s="1">
        <v>707</v>
      </c>
      <c r="T193" s="1">
        <v>726</v>
      </c>
    </row>
    <row r="194" spans="1:20" ht="21" customHeight="1">
      <c r="A194" s="8">
        <v>46279</v>
      </c>
      <c r="B194" s="1" t="s">
        <v>34</v>
      </c>
      <c r="C194" s="1" t="s">
        <v>87</v>
      </c>
      <c r="D194" s="7">
        <v>7000</v>
      </c>
      <c r="E194" s="7">
        <v>7200</v>
      </c>
      <c r="F194" s="7">
        <v>7400</v>
      </c>
      <c r="G194" s="7">
        <f>'Option source'!B275</f>
        <v>351.33</v>
      </c>
      <c r="H194" s="7">
        <f>'Option source'!B294</f>
        <v>261.93</v>
      </c>
      <c r="I194" s="7">
        <f>'Option source'!B313</f>
        <v>198.36</v>
      </c>
      <c r="J194" s="7">
        <f t="shared" si="14"/>
        <v>25.829999999999984</v>
      </c>
      <c r="K194" s="7">
        <f t="shared" si="15"/>
        <v>200</v>
      </c>
      <c r="L194" s="7">
        <f t="shared" si="16"/>
        <v>174.17000000000002</v>
      </c>
      <c r="M194" s="7">
        <f t="shared" si="17"/>
        <v>25.829999999999984</v>
      </c>
      <c r="N194" s="7">
        <f t="shared" si="18"/>
        <v>7025.83</v>
      </c>
      <c r="O194" s="7">
        <f t="shared" si="19"/>
        <v>7374.17</v>
      </c>
      <c r="P194" s="15">
        <f t="shared" si="20"/>
        <v>6.74293457220287</v>
      </c>
      <c r="Q194" s="7">
        <f>J194*'Model inputs'!$B$8</f>
        <v>2582.9999999999982</v>
      </c>
      <c r="R194" s="1" t="s">
        <v>162</v>
      </c>
      <c r="S194" s="1">
        <v>270</v>
      </c>
      <c r="T194" s="1">
        <v>289</v>
      </c>
    </row>
    <row r="195" spans="1:20" ht="21" customHeight="1">
      <c r="A195" s="8">
        <v>46279</v>
      </c>
      <c r="B195" s="1" t="s">
        <v>34</v>
      </c>
      <c r="C195" s="1" t="s">
        <v>90</v>
      </c>
      <c r="D195" s="7">
        <v>7000</v>
      </c>
      <c r="E195" s="7">
        <v>7200</v>
      </c>
      <c r="F195" s="7">
        <v>7400</v>
      </c>
      <c r="G195" s="7">
        <f>'Option source'!B769</f>
        <v>374.39</v>
      </c>
      <c r="H195" s="7">
        <f>'Option source'!B788</f>
        <v>494.18</v>
      </c>
      <c r="I195" s="7">
        <f>'Option source'!B807</f>
        <v>619.04</v>
      </c>
      <c r="J195" s="7">
        <f t="shared" si="14"/>
        <v>5.0699999999999363</v>
      </c>
      <c r="K195" s="7">
        <f t="shared" si="15"/>
        <v>200</v>
      </c>
      <c r="L195" s="7">
        <f t="shared" si="16"/>
        <v>194.93000000000006</v>
      </c>
      <c r="M195" s="7">
        <f t="shared" si="17"/>
        <v>5.0699999999999363</v>
      </c>
      <c r="N195" s="7">
        <f t="shared" si="18"/>
        <v>7005.07</v>
      </c>
      <c r="O195" s="7">
        <f t="shared" si="19"/>
        <v>7394.93</v>
      </c>
      <c r="P195" s="15">
        <f t="shared" si="20"/>
        <v>38.447731755424556</v>
      </c>
      <c r="Q195" s="7">
        <f>J195*'Model inputs'!$B$8</f>
        <v>506.99999999999363</v>
      </c>
      <c r="R195" s="1" t="s">
        <v>162</v>
      </c>
      <c r="S195" s="1">
        <v>764</v>
      </c>
      <c r="T195" s="1">
        <v>783</v>
      </c>
    </row>
    <row r="196" spans="1:20" ht="21" customHeight="1">
      <c r="A196" s="8">
        <v>46279</v>
      </c>
      <c r="B196" s="1" t="s">
        <v>34</v>
      </c>
      <c r="C196" s="1" t="s">
        <v>87</v>
      </c>
      <c r="D196" s="7">
        <v>6200</v>
      </c>
      <c r="E196" s="7">
        <v>6400</v>
      </c>
      <c r="F196" s="7">
        <v>6600</v>
      </c>
      <c r="G196" s="7">
        <f>'Option source'!B199</f>
        <v>847.81</v>
      </c>
      <c r="H196" s="7">
        <f>'Option source'!B218</f>
        <v>675.11</v>
      </c>
      <c r="I196" s="7">
        <f>'Option source'!B237</f>
        <v>574.6</v>
      </c>
      <c r="J196" s="7">
        <f t="shared" si="14"/>
        <v>72.189999999999941</v>
      </c>
      <c r="K196" s="7">
        <f t="shared" si="15"/>
        <v>200</v>
      </c>
      <c r="L196" s="7">
        <f t="shared" si="16"/>
        <v>127.81000000000006</v>
      </c>
      <c r="M196" s="7">
        <f t="shared" si="17"/>
        <v>72.189999999999941</v>
      </c>
      <c r="N196" s="7">
        <f t="shared" si="18"/>
        <v>6272.19</v>
      </c>
      <c r="O196" s="7">
        <f t="shared" si="19"/>
        <v>6527.81</v>
      </c>
      <c r="P196" s="15">
        <f t="shared" si="20"/>
        <v>1.7704668236597889</v>
      </c>
      <c r="Q196" s="7">
        <f>J196*'Model inputs'!$B$8</f>
        <v>7218.9999999999945</v>
      </c>
      <c r="R196" s="1" t="s">
        <v>162</v>
      </c>
      <c r="S196" s="1">
        <v>194</v>
      </c>
      <c r="T196" s="1">
        <v>213</v>
      </c>
    </row>
    <row r="197" spans="1:20" ht="21" customHeight="1">
      <c r="A197" s="8">
        <v>46279</v>
      </c>
      <c r="B197" s="1" t="s">
        <v>34</v>
      </c>
      <c r="C197" s="1" t="s">
        <v>90</v>
      </c>
      <c r="D197" s="7">
        <v>6200</v>
      </c>
      <c r="E197" s="7">
        <v>6400</v>
      </c>
      <c r="F197" s="7">
        <v>6600</v>
      </c>
      <c r="G197" s="7">
        <f>'Option source'!B693</f>
        <v>81.680000000000007</v>
      </c>
      <c r="H197" s="7">
        <f>'Option source'!B712</f>
        <v>130.18</v>
      </c>
      <c r="I197" s="7">
        <f>'Option source'!B731</f>
        <v>192.29</v>
      </c>
      <c r="J197" s="7">
        <f t="shared" si="14"/>
        <v>13.609999999999985</v>
      </c>
      <c r="K197" s="7">
        <f t="shared" si="15"/>
        <v>200</v>
      </c>
      <c r="L197" s="7">
        <f t="shared" si="16"/>
        <v>186.39000000000001</v>
      </c>
      <c r="M197" s="7">
        <f t="shared" si="17"/>
        <v>13.609999999999985</v>
      </c>
      <c r="N197" s="7">
        <f t="shared" si="18"/>
        <v>6213.61</v>
      </c>
      <c r="O197" s="7">
        <f t="shared" si="19"/>
        <v>6586.39</v>
      </c>
      <c r="P197" s="15">
        <f t="shared" si="20"/>
        <v>13.695077149155049</v>
      </c>
      <c r="Q197" s="7">
        <f>J197*'Model inputs'!$B$8</f>
        <v>1360.9999999999986</v>
      </c>
      <c r="R197" s="1" t="s">
        <v>162</v>
      </c>
      <c r="S197" s="1">
        <v>688</v>
      </c>
      <c r="T197" s="1">
        <v>707</v>
      </c>
    </row>
    <row r="198" spans="1:20" ht="21" customHeight="1">
      <c r="A198" s="8">
        <v>46279</v>
      </c>
      <c r="B198" s="1" t="s">
        <v>34</v>
      </c>
      <c r="C198" s="1" t="s">
        <v>87</v>
      </c>
      <c r="D198" s="7">
        <v>7200</v>
      </c>
      <c r="E198" s="7">
        <v>7400</v>
      </c>
      <c r="F198" s="7">
        <v>7600</v>
      </c>
      <c r="G198" s="7">
        <f>'Option source'!B294</f>
        <v>261.93</v>
      </c>
      <c r="H198" s="7">
        <f>'Option source'!B313</f>
        <v>198.36</v>
      </c>
      <c r="I198" s="7">
        <f>'Option source'!B332</f>
        <v>145.5</v>
      </c>
      <c r="J198" s="7">
        <f t="shared" si="14"/>
        <v>10.70999999999998</v>
      </c>
      <c r="K198" s="7">
        <f t="shared" si="15"/>
        <v>200</v>
      </c>
      <c r="L198" s="7">
        <f t="shared" si="16"/>
        <v>189.29000000000002</v>
      </c>
      <c r="M198" s="7">
        <f t="shared" si="17"/>
        <v>10.70999999999998</v>
      </c>
      <c r="N198" s="7">
        <f t="shared" si="18"/>
        <v>7210.71</v>
      </c>
      <c r="O198" s="7">
        <f t="shared" si="19"/>
        <v>7589.29</v>
      </c>
      <c r="P198" s="15">
        <f t="shared" si="20"/>
        <v>17.674136321195181</v>
      </c>
      <c r="Q198" s="7">
        <f>J198*'Model inputs'!$B$8</f>
        <v>1070.999999999998</v>
      </c>
      <c r="R198" s="1" t="s">
        <v>162</v>
      </c>
      <c r="S198" s="1">
        <v>289</v>
      </c>
      <c r="T198" s="1">
        <v>308</v>
      </c>
    </row>
    <row r="199" spans="1:20" ht="21" customHeight="1">
      <c r="A199" s="8">
        <v>46279</v>
      </c>
      <c r="B199" s="1" t="s">
        <v>34</v>
      </c>
      <c r="C199" s="1" t="s">
        <v>90</v>
      </c>
      <c r="D199" s="7">
        <v>7200</v>
      </c>
      <c r="E199" s="7">
        <v>7400</v>
      </c>
      <c r="F199" s="7">
        <v>7600</v>
      </c>
      <c r="G199" s="7">
        <f>'Option source'!B788</f>
        <v>494.18</v>
      </c>
      <c r="H199" s="7">
        <f>'Option source'!B807</f>
        <v>619.04</v>
      </c>
      <c r="I199" s="7">
        <f>'Option source'!B826</f>
        <v>775.5</v>
      </c>
      <c r="J199" s="7">
        <f t="shared" ref="J199:J262" si="21">G199-2*H199+IF(B199="Butterfly",I199,0)</f>
        <v>31.600000000000136</v>
      </c>
      <c r="K199" s="7">
        <f t="shared" ref="K199:K262" si="22">ABS(E199-D199)</f>
        <v>200</v>
      </c>
      <c r="L199" s="7">
        <f t="shared" ref="L199:L262" si="23">K199-J199</f>
        <v>168.39999999999986</v>
      </c>
      <c r="M199" s="7">
        <f t="shared" ref="M199:M262" si="24">IF(B199="Butterfly",MAX(J199,0),IF(C199="call","Unlimited",MAX(2*E199-D199+J199,J199,0)))</f>
        <v>31.600000000000136</v>
      </c>
      <c r="N199" s="7">
        <f t="shared" ref="N199:N262" si="25">IF(B199="Butterfly",IF(AND(J199&gt;0,J199&lt;K199),D199+J199,"n.a."),IF(C199="call",IF(AND(J199&gt;0,J199&lt;K199),D199+J199,"n.a."),IF(AND(K199&gt;J199,2*E199-D199+J199&gt;=0),2*E199-D199+J199,"n.a.")))</f>
        <v>7231.6</v>
      </c>
      <c r="O199" s="7">
        <f t="shared" ref="O199:O262" si="26">IF(B199="Butterfly",IF(AND(J199&gt;0,J199&lt;K199),F199-J199,"n.a."),IF(C199="call",IF(K199&gt;J199,2*E199-D199-J199,"n.a."),IF(AND(J199&gt;0,J199&lt;K199),D199-J199,"n.a.")))</f>
        <v>7568.4</v>
      </c>
      <c r="P199" s="15">
        <f t="shared" ref="P199:P262" si="27">IF(AND(B199="Butterfly",J199&gt;0,J199&lt;K199),L199/J199,"n.a.")</f>
        <v>5.3291139240506054</v>
      </c>
      <c r="Q199" s="7">
        <f>J199*'Model inputs'!$B$8</f>
        <v>3160.0000000000136</v>
      </c>
      <c r="R199" s="1" t="s">
        <v>162</v>
      </c>
      <c r="S199" s="1">
        <v>783</v>
      </c>
      <c r="T199" s="1">
        <v>802</v>
      </c>
    </row>
    <row r="200" spans="1:20" ht="21" customHeight="1">
      <c r="A200" s="8">
        <v>46279</v>
      </c>
      <c r="B200" s="1" t="s">
        <v>34</v>
      </c>
      <c r="C200" s="1" t="s">
        <v>90</v>
      </c>
      <c r="D200" s="7">
        <v>6000</v>
      </c>
      <c r="E200" s="7">
        <v>6200</v>
      </c>
      <c r="F200" s="7">
        <v>6400</v>
      </c>
      <c r="G200" s="7">
        <f>'Option source'!B674</f>
        <v>48.24</v>
      </c>
      <c r="H200" s="7">
        <f>'Option source'!B693</f>
        <v>81.680000000000007</v>
      </c>
      <c r="I200" s="7">
        <f>'Option source'!B712</f>
        <v>130.18</v>
      </c>
      <c r="J200" s="7">
        <f t="shared" si="21"/>
        <v>15.060000000000002</v>
      </c>
      <c r="K200" s="7">
        <f t="shared" si="22"/>
        <v>200</v>
      </c>
      <c r="L200" s="7">
        <f t="shared" si="23"/>
        <v>184.94</v>
      </c>
      <c r="M200" s="7">
        <f t="shared" si="24"/>
        <v>15.060000000000002</v>
      </c>
      <c r="N200" s="7">
        <f t="shared" si="25"/>
        <v>6015.06</v>
      </c>
      <c r="O200" s="7">
        <f t="shared" si="26"/>
        <v>6384.94</v>
      </c>
      <c r="P200" s="15">
        <f t="shared" si="27"/>
        <v>12.280212483399733</v>
      </c>
      <c r="Q200" s="7">
        <f>J200*'Model inputs'!$B$8</f>
        <v>1506.0000000000002</v>
      </c>
      <c r="R200" s="1" t="s">
        <v>162</v>
      </c>
      <c r="S200" s="1">
        <v>669</v>
      </c>
      <c r="T200" s="1">
        <v>688</v>
      </c>
    </row>
    <row r="201" spans="1:20" ht="21" customHeight="1">
      <c r="A201" s="8">
        <v>46279</v>
      </c>
      <c r="B201" s="1" t="s">
        <v>34</v>
      </c>
      <c r="C201" s="1" t="s">
        <v>87</v>
      </c>
      <c r="D201" s="7">
        <v>7400</v>
      </c>
      <c r="E201" s="7">
        <v>7600</v>
      </c>
      <c r="F201" s="7">
        <v>7800</v>
      </c>
      <c r="G201" s="7">
        <f>'Option source'!B313</f>
        <v>198.36</v>
      </c>
      <c r="H201" s="7">
        <f>'Option source'!B332</f>
        <v>145.5</v>
      </c>
      <c r="I201" s="7">
        <f>'Option source'!B351</f>
        <v>104.78</v>
      </c>
      <c r="J201" s="7">
        <f t="shared" si="21"/>
        <v>12.140000000000015</v>
      </c>
      <c r="K201" s="7">
        <f t="shared" si="22"/>
        <v>200</v>
      </c>
      <c r="L201" s="7">
        <f t="shared" si="23"/>
        <v>187.85999999999999</v>
      </c>
      <c r="M201" s="7">
        <f t="shared" si="24"/>
        <v>12.140000000000015</v>
      </c>
      <c r="N201" s="7">
        <f t="shared" si="25"/>
        <v>7412.14</v>
      </c>
      <c r="O201" s="7">
        <f t="shared" si="26"/>
        <v>7787.86</v>
      </c>
      <c r="P201" s="15">
        <f t="shared" si="27"/>
        <v>15.474464579901133</v>
      </c>
      <c r="Q201" s="7">
        <f>J201*'Model inputs'!$B$8</f>
        <v>1214.0000000000014</v>
      </c>
      <c r="R201" s="1" t="s">
        <v>162</v>
      </c>
      <c r="S201" s="1">
        <v>308</v>
      </c>
      <c r="T201" s="1">
        <v>327</v>
      </c>
    </row>
    <row r="202" spans="1:20" ht="21" customHeight="1">
      <c r="A202" s="8">
        <v>46279</v>
      </c>
      <c r="B202" s="1" t="s">
        <v>34</v>
      </c>
      <c r="C202" s="1" t="s">
        <v>87</v>
      </c>
      <c r="D202" s="7">
        <v>5800</v>
      </c>
      <c r="E202" s="7">
        <v>6000</v>
      </c>
      <c r="F202" s="7">
        <v>6200</v>
      </c>
      <c r="G202" s="7">
        <f>'Option source'!B161</f>
        <v>1198.6500000000001</v>
      </c>
      <c r="H202" s="7">
        <f>'Option source'!B180</f>
        <v>1010</v>
      </c>
      <c r="I202" s="7">
        <f>'Option source'!B199</f>
        <v>847.81</v>
      </c>
      <c r="J202" s="7">
        <f t="shared" si="21"/>
        <v>26.460000000000036</v>
      </c>
      <c r="K202" s="7">
        <f t="shared" si="22"/>
        <v>200</v>
      </c>
      <c r="L202" s="7">
        <f t="shared" si="23"/>
        <v>173.53999999999996</v>
      </c>
      <c r="M202" s="7">
        <f t="shared" si="24"/>
        <v>26.460000000000036</v>
      </c>
      <c r="N202" s="7">
        <f t="shared" si="25"/>
        <v>5826.46</v>
      </c>
      <c r="O202" s="7">
        <f t="shared" si="26"/>
        <v>6173.54</v>
      </c>
      <c r="P202" s="15">
        <f t="shared" si="27"/>
        <v>6.5585789871504057</v>
      </c>
      <c r="Q202" s="7">
        <f>J202*'Model inputs'!$B$8</f>
        <v>2646.0000000000036</v>
      </c>
      <c r="R202" s="1" t="s">
        <v>162</v>
      </c>
      <c r="S202" s="1">
        <v>156</v>
      </c>
      <c r="T202" s="1">
        <v>175</v>
      </c>
    </row>
    <row r="203" spans="1:20" ht="21" customHeight="1">
      <c r="A203" s="8">
        <v>46279</v>
      </c>
      <c r="B203" s="1" t="s">
        <v>34</v>
      </c>
      <c r="C203" s="1" t="s">
        <v>90</v>
      </c>
      <c r="D203" s="7">
        <v>5800</v>
      </c>
      <c r="E203" s="7">
        <v>6000</v>
      </c>
      <c r="F203" s="7">
        <v>6200</v>
      </c>
      <c r="G203" s="7">
        <f>'Option source'!B655</f>
        <v>28</v>
      </c>
      <c r="H203" s="7">
        <f>'Option source'!B674</f>
        <v>48.24</v>
      </c>
      <c r="I203" s="7">
        <f>'Option source'!B693</f>
        <v>81.680000000000007</v>
      </c>
      <c r="J203" s="7">
        <f t="shared" si="21"/>
        <v>13.200000000000003</v>
      </c>
      <c r="K203" s="7">
        <f t="shared" si="22"/>
        <v>200</v>
      </c>
      <c r="L203" s="7">
        <f t="shared" si="23"/>
        <v>186.8</v>
      </c>
      <c r="M203" s="7">
        <f t="shared" si="24"/>
        <v>13.200000000000003</v>
      </c>
      <c r="N203" s="7">
        <f t="shared" si="25"/>
        <v>5813.2</v>
      </c>
      <c r="O203" s="7">
        <f t="shared" si="26"/>
        <v>6186.8</v>
      </c>
      <c r="P203" s="15">
        <f t="shared" si="27"/>
        <v>14.151515151515149</v>
      </c>
      <c r="Q203" s="7">
        <f>J203*'Model inputs'!$B$8</f>
        <v>1320.0000000000002</v>
      </c>
      <c r="R203" s="1" t="s">
        <v>162</v>
      </c>
      <c r="S203" s="1">
        <v>650</v>
      </c>
      <c r="T203" s="1">
        <v>669</v>
      </c>
    </row>
    <row r="204" spans="1:20" ht="21" customHeight="1">
      <c r="A204" s="8">
        <v>46279</v>
      </c>
      <c r="B204" s="1" t="s">
        <v>34</v>
      </c>
      <c r="C204" s="1" t="s">
        <v>87</v>
      </c>
      <c r="D204" s="7">
        <v>7600</v>
      </c>
      <c r="E204" s="7">
        <v>7800</v>
      </c>
      <c r="F204" s="7">
        <v>8000</v>
      </c>
      <c r="G204" s="7">
        <f>'Option source'!B332</f>
        <v>145.5</v>
      </c>
      <c r="H204" s="7">
        <f>'Option source'!B351</f>
        <v>104.78</v>
      </c>
      <c r="I204" s="7">
        <f>'Option source'!B370</f>
        <v>76.83</v>
      </c>
      <c r="J204" s="7">
        <f t="shared" si="21"/>
        <v>12.769999999999996</v>
      </c>
      <c r="K204" s="7">
        <f t="shared" si="22"/>
        <v>200</v>
      </c>
      <c r="L204" s="7">
        <f t="shared" si="23"/>
        <v>187.23000000000002</v>
      </c>
      <c r="M204" s="7">
        <f t="shared" si="24"/>
        <v>12.769999999999996</v>
      </c>
      <c r="N204" s="7">
        <f t="shared" si="25"/>
        <v>7612.77</v>
      </c>
      <c r="O204" s="7">
        <f t="shared" si="26"/>
        <v>7987.23</v>
      </c>
      <c r="P204" s="15">
        <f t="shared" si="27"/>
        <v>14.661707126076749</v>
      </c>
      <c r="Q204" s="7">
        <f>J204*'Model inputs'!$B$8</f>
        <v>1276.9999999999995</v>
      </c>
      <c r="R204" s="1" t="s">
        <v>162</v>
      </c>
      <c r="S204" s="1">
        <v>327</v>
      </c>
      <c r="T204" s="1">
        <v>346</v>
      </c>
    </row>
    <row r="205" spans="1:20" ht="21" customHeight="1">
      <c r="A205" s="8">
        <v>46279</v>
      </c>
      <c r="B205" s="1" t="s">
        <v>34</v>
      </c>
      <c r="C205" s="1" t="s">
        <v>87</v>
      </c>
      <c r="D205" s="7">
        <v>5600</v>
      </c>
      <c r="E205" s="7">
        <v>5800</v>
      </c>
      <c r="F205" s="7">
        <v>6000</v>
      </c>
      <c r="G205" s="7">
        <f>'Option source'!B151</f>
        <v>1455</v>
      </c>
      <c r="H205" s="7">
        <f>'Option source'!B161</f>
        <v>1198.6500000000001</v>
      </c>
      <c r="I205" s="7">
        <f>'Option source'!B180</f>
        <v>1010</v>
      </c>
      <c r="J205" s="7">
        <f t="shared" si="21"/>
        <v>67.699999999999818</v>
      </c>
      <c r="K205" s="7">
        <f t="shared" si="22"/>
        <v>200</v>
      </c>
      <c r="L205" s="7">
        <f t="shared" si="23"/>
        <v>132.30000000000018</v>
      </c>
      <c r="M205" s="7">
        <f t="shared" si="24"/>
        <v>67.699999999999818</v>
      </c>
      <c r="N205" s="7">
        <f t="shared" si="25"/>
        <v>5667.7</v>
      </c>
      <c r="O205" s="7">
        <f t="shared" si="26"/>
        <v>5932.3</v>
      </c>
      <c r="P205" s="15">
        <f t="shared" si="27"/>
        <v>1.9542097488921792</v>
      </c>
      <c r="Q205" s="7">
        <f>J205*'Model inputs'!$B$8</f>
        <v>6769.9999999999818</v>
      </c>
      <c r="R205" s="1" t="s">
        <v>162</v>
      </c>
      <c r="S205" s="1">
        <v>146</v>
      </c>
      <c r="T205" s="1">
        <v>156</v>
      </c>
    </row>
    <row r="206" spans="1:20" ht="21" customHeight="1">
      <c r="A206" s="8">
        <v>46279</v>
      </c>
      <c r="B206" s="1" t="s">
        <v>34</v>
      </c>
      <c r="C206" s="1" t="s">
        <v>90</v>
      </c>
      <c r="D206" s="7">
        <v>5600</v>
      </c>
      <c r="E206" s="7">
        <v>5800</v>
      </c>
      <c r="F206" s="7">
        <v>6000</v>
      </c>
      <c r="G206" s="7">
        <f>'Option source'!B636</f>
        <v>14.36</v>
      </c>
      <c r="H206" s="7">
        <f>'Option source'!B655</f>
        <v>28</v>
      </c>
      <c r="I206" s="7">
        <f>'Option source'!B674</f>
        <v>48.24</v>
      </c>
      <c r="J206" s="7">
        <f t="shared" si="21"/>
        <v>6.6000000000000014</v>
      </c>
      <c r="K206" s="7">
        <f t="shared" si="22"/>
        <v>200</v>
      </c>
      <c r="L206" s="7">
        <f t="shared" si="23"/>
        <v>193.4</v>
      </c>
      <c r="M206" s="7">
        <f t="shared" si="24"/>
        <v>6.6000000000000014</v>
      </c>
      <c r="N206" s="7">
        <f t="shared" si="25"/>
        <v>5606.6</v>
      </c>
      <c r="O206" s="7">
        <f t="shared" si="26"/>
        <v>5993.4</v>
      </c>
      <c r="P206" s="15">
        <f t="shared" si="27"/>
        <v>29.303030303030297</v>
      </c>
      <c r="Q206" s="7">
        <f>J206*'Model inputs'!$B$8</f>
        <v>660.00000000000011</v>
      </c>
      <c r="R206" s="1" t="s">
        <v>162</v>
      </c>
      <c r="S206" s="1">
        <v>631</v>
      </c>
      <c r="T206" s="1">
        <v>650</v>
      </c>
    </row>
    <row r="207" spans="1:20" ht="21" customHeight="1">
      <c r="A207" s="8">
        <v>46279</v>
      </c>
      <c r="B207" s="1" t="s">
        <v>34</v>
      </c>
      <c r="C207" s="1" t="s">
        <v>90</v>
      </c>
      <c r="D207" s="7">
        <v>5400</v>
      </c>
      <c r="E207" s="7">
        <v>5600</v>
      </c>
      <c r="F207" s="7">
        <v>5800</v>
      </c>
      <c r="G207" s="7">
        <f>'Option source'!B617</f>
        <v>7.66</v>
      </c>
      <c r="H207" s="7">
        <f>'Option source'!B636</f>
        <v>14.36</v>
      </c>
      <c r="I207" s="7">
        <f>'Option source'!B655</f>
        <v>28</v>
      </c>
      <c r="J207" s="7">
        <f t="shared" si="21"/>
        <v>6.9400000000000013</v>
      </c>
      <c r="K207" s="7">
        <f t="shared" si="22"/>
        <v>200</v>
      </c>
      <c r="L207" s="7">
        <f t="shared" si="23"/>
        <v>193.06</v>
      </c>
      <c r="M207" s="7">
        <f t="shared" si="24"/>
        <v>6.9400000000000013</v>
      </c>
      <c r="N207" s="7">
        <f t="shared" si="25"/>
        <v>5406.94</v>
      </c>
      <c r="O207" s="7">
        <f t="shared" si="26"/>
        <v>5793.06</v>
      </c>
      <c r="P207" s="15">
        <f t="shared" si="27"/>
        <v>27.818443804034576</v>
      </c>
      <c r="Q207" s="7">
        <f>J207*'Model inputs'!$B$8</f>
        <v>694.00000000000011</v>
      </c>
      <c r="R207" s="1" t="s">
        <v>162</v>
      </c>
      <c r="S207" s="1">
        <v>612</v>
      </c>
      <c r="T207" s="1">
        <v>631</v>
      </c>
    </row>
    <row r="208" spans="1:20" ht="21" customHeight="1">
      <c r="A208" s="8">
        <v>46279</v>
      </c>
      <c r="B208" s="1" t="s">
        <v>34</v>
      </c>
      <c r="C208" s="1" t="s">
        <v>90</v>
      </c>
      <c r="D208" s="7">
        <v>5200</v>
      </c>
      <c r="E208" s="7">
        <v>5400</v>
      </c>
      <c r="F208" s="7">
        <v>5600</v>
      </c>
      <c r="G208" s="7">
        <f>'Option source'!B598</f>
        <v>4.05</v>
      </c>
      <c r="H208" s="7">
        <f>'Option source'!B617</f>
        <v>7.66</v>
      </c>
      <c r="I208" s="7">
        <f>'Option source'!B636</f>
        <v>14.36</v>
      </c>
      <c r="J208" s="7">
        <f t="shared" si="21"/>
        <v>3.09</v>
      </c>
      <c r="K208" s="7">
        <f t="shared" si="22"/>
        <v>200</v>
      </c>
      <c r="L208" s="7">
        <f t="shared" si="23"/>
        <v>196.91</v>
      </c>
      <c r="M208" s="7">
        <f t="shared" si="24"/>
        <v>3.09</v>
      </c>
      <c r="N208" s="7">
        <f t="shared" si="25"/>
        <v>5203.09</v>
      </c>
      <c r="O208" s="7">
        <f t="shared" si="26"/>
        <v>5596.91</v>
      </c>
      <c r="P208" s="15">
        <f t="shared" si="27"/>
        <v>63.724919093851135</v>
      </c>
      <c r="Q208" s="7">
        <f>J208*'Model inputs'!$B$8</f>
        <v>309</v>
      </c>
      <c r="R208" s="1" t="s">
        <v>162</v>
      </c>
      <c r="S208" s="1">
        <v>593</v>
      </c>
      <c r="T208" s="1">
        <v>612</v>
      </c>
    </row>
    <row r="209" spans="1:20" ht="21" customHeight="1">
      <c r="A209" s="8">
        <v>46279</v>
      </c>
      <c r="B209" s="1" t="s">
        <v>34</v>
      </c>
      <c r="C209" s="1" t="s">
        <v>87</v>
      </c>
      <c r="D209" s="7">
        <v>8000</v>
      </c>
      <c r="E209" s="7">
        <v>8300</v>
      </c>
      <c r="F209" s="7">
        <v>8600</v>
      </c>
      <c r="G209" s="7">
        <f>'Option source'!B370</f>
        <v>76.83</v>
      </c>
      <c r="H209" s="7">
        <f>'Option source'!B389</f>
        <v>45.46</v>
      </c>
      <c r="I209" s="7">
        <f>'Option source'!B408</f>
        <v>27.59</v>
      </c>
      <c r="J209" s="7">
        <f t="shared" si="21"/>
        <v>13.499999999999996</v>
      </c>
      <c r="K209" s="7">
        <f t="shared" si="22"/>
        <v>300</v>
      </c>
      <c r="L209" s="7">
        <f t="shared" si="23"/>
        <v>286.5</v>
      </c>
      <c r="M209" s="7">
        <f t="shared" si="24"/>
        <v>13.499999999999996</v>
      </c>
      <c r="N209" s="7">
        <f t="shared" si="25"/>
        <v>8013.5</v>
      </c>
      <c r="O209" s="7">
        <f t="shared" si="26"/>
        <v>8586.5</v>
      </c>
      <c r="P209" s="15">
        <f t="shared" si="27"/>
        <v>21.222222222222229</v>
      </c>
      <c r="Q209" s="7">
        <f>J209*'Model inputs'!$B$8</f>
        <v>1349.9999999999995</v>
      </c>
      <c r="R209" s="1" t="s">
        <v>162</v>
      </c>
      <c r="S209" s="1">
        <v>365</v>
      </c>
      <c r="T209" s="1">
        <v>384</v>
      </c>
    </row>
    <row r="210" spans="1:20" ht="21" customHeight="1">
      <c r="A210" s="8">
        <v>46279</v>
      </c>
      <c r="B210" s="1" t="s">
        <v>34</v>
      </c>
      <c r="C210" s="1" t="s">
        <v>90</v>
      </c>
      <c r="D210" s="7">
        <v>5000</v>
      </c>
      <c r="E210" s="7">
        <v>5200</v>
      </c>
      <c r="F210" s="7">
        <v>5400</v>
      </c>
      <c r="G210" s="7">
        <f>'Option source'!B579</f>
        <v>2.5</v>
      </c>
      <c r="H210" s="7">
        <f>'Option source'!B598</f>
        <v>4.05</v>
      </c>
      <c r="I210" s="7">
        <f>'Option source'!B617</f>
        <v>7.66</v>
      </c>
      <c r="J210" s="7">
        <f t="shared" si="21"/>
        <v>2.0600000000000005</v>
      </c>
      <c r="K210" s="7">
        <f t="shared" si="22"/>
        <v>200</v>
      </c>
      <c r="L210" s="7">
        <f t="shared" si="23"/>
        <v>197.94</v>
      </c>
      <c r="M210" s="7">
        <f t="shared" si="24"/>
        <v>2.0600000000000005</v>
      </c>
      <c r="N210" s="7">
        <f t="shared" si="25"/>
        <v>5002.0600000000004</v>
      </c>
      <c r="O210" s="7">
        <f t="shared" si="26"/>
        <v>5397.94</v>
      </c>
      <c r="P210" s="15">
        <f t="shared" si="27"/>
        <v>96.087378640776677</v>
      </c>
      <c r="Q210" s="7">
        <f>J210*'Model inputs'!$B$8</f>
        <v>206.00000000000006</v>
      </c>
      <c r="R210" s="1" t="s">
        <v>162</v>
      </c>
      <c r="S210" s="1">
        <v>574</v>
      </c>
      <c r="T210" s="1">
        <v>593</v>
      </c>
    </row>
    <row r="211" spans="1:20" ht="21" customHeight="1">
      <c r="A211" s="8">
        <v>46279</v>
      </c>
      <c r="B211" s="1" t="s">
        <v>34</v>
      </c>
      <c r="C211" s="1" t="s">
        <v>87</v>
      </c>
      <c r="D211" s="7">
        <v>8300</v>
      </c>
      <c r="E211" s="7">
        <v>8600</v>
      </c>
      <c r="F211" s="7">
        <v>8900</v>
      </c>
      <c r="G211" s="7">
        <f>'Option source'!B389</f>
        <v>45.46</v>
      </c>
      <c r="H211" s="7">
        <f>'Option source'!B408</f>
        <v>27.59</v>
      </c>
      <c r="I211" s="7">
        <f>'Option source'!B427</f>
        <v>14.97</v>
      </c>
      <c r="J211" s="7">
        <f t="shared" si="21"/>
        <v>5.2500000000000018</v>
      </c>
      <c r="K211" s="7">
        <f t="shared" si="22"/>
        <v>300</v>
      </c>
      <c r="L211" s="7">
        <f t="shared" si="23"/>
        <v>294.75</v>
      </c>
      <c r="M211" s="7">
        <f t="shared" si="24"/>
        <v>5.2500000000000018</v>
      </c>
      <c r="N211" s="7">
        <f t="shared" si="25"/>
        <v>8305.25</v>
      </c>
      <c r="O211" s="7">
        <f t="shared" si="26"/>
        <v>8894.75</v>
      </c>
      <c r="P211" s="15">
        <f t="shared" si="27"/>
        <v>56.142857142857125</v>
      </c>
      <c r="Q211" s="7">
        <f>J211*'Model inputs'!$B$8</f>
        <v>525.00000000000023</v>
      </c>
      <c r="R211" s="1" t="s">
        <v>162</v>
      </c>
      <c r="S211" s="1">
        <v>384</v>
      </c>
      <c r="T211" s="1">
        <v>403</v>
      </c>
    </row>
    <row r="212" spans="1:20" ht="21" customHeight="1">
      <c r="A212" s="8">
        <v>46279</v>
      </c>
      <c r="B212" s="1" t="s">
        <v>34</v>
      </c>
      <c r="C212" s="1" t="s">
        <v>90</v>
      </c>
      <c r="D212" s="7">
        <v>4800</v>
      </c>
      <c r="E212" s="7">
        <v>5000</v>
      </c>
      <c r="F212" s="7">
        <v>5200</v>
      </c>
      <c r="G212" s="7">
        <f>'Option source'!B560</f>
        <v>1.61</v>
      </c>
      <c r="H212" s="7">
        <f>'Option source'!B579</f>
        <v>2.5</v>
      </c>
      <c r="I212" s="7">
        <f>'Option source'!B598</f>
        <v>4.05</v>
      </c>
      <c r="J212" s="7">
        <f t="shared" si="21"/>
        <v>0.66000000000000014</v>
      </c>
      <c r="K212" s="7">
        <f t="shared" si="22"/>
        <v>200</v>
      </c>
      <c r="L212" s="7">
        <f t="shared" si="23"/>
        <v>199.34</v>
      </c>
      <c r="M212" s="7">
        <f t="shared" si="24"/>
        <v>0.66000000000000014</v>
      </c>
      <c r="N212" s="7">
        <f t="shared" si="25"/>
        <v>4800.66</v>
      </c>
      <c r="O212" s="7">
        <f t="shared" si="26"/>
        <v>5199.34</v>
      </c>
      <c r="P212" s="15">
        <f t="shared" si="27"/>
        <v>302.03030303030295</v>
      </c>
      <c r="Q212" s="7">
        <f>J212*'Model inputs'!$B$8</f>
        <v>66.000000000000014</v>
      </c>
      <c r="R212" s="1" t="s">
        <v>162</v>
      </c>
      <c r="S212" s="1">
        <v>555</v>
      </c>
      <c r="T212" s="1">
        <v>574</v>
      </c>
    </row>
    <row r="213" spans="1:20" ht="21" customHeight="1">
      <c r="A213" s="8">
        <v>46279</v>
      </c>
      <c r="B213" s="1" t="s">
        <v>34</v>
      </c>
      <c r="C213" s="1" t="s">
        <v>90</v>
      </c>
      <c r="D213" s="7">
        <v>4600</v>
      </c>
      <c r="E213" s="7">
        <v>4800</v>
      </c>
      <c r="F213" s="7">
        <v>5000</v>
      </c>
      <c r="G213" s="7">
        <f>'Option source'!B541</f>
        <v>1.3</v>
      </c>
      <c r="H213" s="7">
        <f>'Option source'!B560</f>
        <v>1.61</v>
      </c>
      <c r="I213" s="7">
        <f>'Option source'!B579</f>
        <v>2.5</v>
      </c>
      <c r="J213" s="7">
        <f t="shared" si="21"/>
        <v>0.57999999999999985</v>
      </c>
      <c r="K213" s="7">
        <f t="shared" si="22"/>
        <v>200</v>
      </c>
      <c r="L213" s="7">
        <f t="shared" si="23"/>
        <v>199.42</v>
      </c>
      <c r="M213" s="7">
        <f t="shared" si="24"/>
        <v>0.57999999999999985</v>
      </c>
      <c r="N213" s="7">
        <f t="shared" si="25"/>
        <v>4600.58</v>
      </c>
      <c r="O213" s="7">
        <f t="shared" si="26"/>
        <v>4999.42</v>
      </c>
      <c r="P213" s="15">
        <f t="shared" si="27"/>
        <v>343.82758620689663</v>
      </c>
      <c r="Q213" s="7">
        <f>J213*'Model inputs'!$B$8</f>
        <v>57.999999999999986</v>
      </c>
      <c r="R213" s="1" t="s">
        <v>162</v>
      </c>
      <c r="S213" s="1">
        <v>536</v>
      </c>
      <c r="T213" s="1">
        <v>555</v>
      </c>
    </row>
    <row r="214" spans="1:20" ht="21" customHeight="1">
      <c r="A214" s="8">
        <v>46279</v>
      </c>
      <c r="B214" s="1" t="s">
        <v>34</v>
      </c>
      <c r="C214" s="1" t="s">
        <v>87</v>
      </c>
      <c r="D214" s="7">
        <v>8600</v>
      </c>
      <c r="E214" s="7">
        <v>8900</v>
      </c>
      <c r="F214" s="7">
        <v>9200</v>
      </c>
      <c r="G214" s="7">
        <f>'Option source'!B408</f>
        <v>27.59</v>
      </c>
      <c r="H214" s="7">
        <f>'Option source'!B427</f>
        <v>14.97</v>
      </c>
      <c r="I214" s="7">
        <f>'Option source'!B446</f>
        <v>9.07</v>
      </c>
      <c r="J214" s="7">
        <f t="shared" si="21"/>
        <v>6.7199999999999989</v>
      </c>
      <c r="K214" s="7">
        <f t="shared" si="22"/>
        <v>300</v>
      </c>
      <c r="L214" s="7">
        <f t="shared" si="23"/>
        <v>293.27999999999997</v>
      </c>
      <c r="M214" s="7">
        <f t="shared" si="24"/>
        <v>6.7199999999999989</v>
      </c>
      <c r="N214" s="7">
        <f t="shared" si="25"/>
        <v>8606.7199999999993</v>
      </c>
      <c r="O214" s="7">
        <f t="shared" si="26"/>
        <v>9193.2800000000007</v>
      </c>
      <c r="P214" s="15">
        <f t="shared" si="27"/>
        <v>43.642857142857146</v>
      </c>
      <c r="Q214" s="7">
        <f>J214*'Model inputs'!$B$8</f>
        <v>671.99999999999989</v>
      </c>
      <c r="R214" s="1" t="s">
        <v>162</v>
      </c>
      <c r="S214" s="1">
        <v>403</v>
      </c>
      <c r="T214" s="1">
        <v>422</v>
      </c>
    </row>
    <row r="215" spans="1:20" ht="21" customHeight="1">
      <c r="A215" s="8">
        <v>46279</v>
      </c>
      <c r="B215" s="1" t="s">
        <v>34</v>
      </c>
      <c r="C215" s="1" t="s">
        <v>90</v>
      </c>
      <c r="D215" s="7">
        <v>4400</v>
      </c>
      <c r="E215" s="7">
        <v>4600</v>
      </c>
      <c r="F215" s="7">
        <v>4800</v>
      </c>
      <c r="G215" s="7">
        <f>'Option source'!B522</f>
        <v>1.17</v>
      </c>
      <c r="H215" s="7">
        <f>'Option source'!B541</f>
        <v>1.3</v>
      </c>
      <c r="I215" s="7">
        <f>'Option source'!B560</f>
        <v>1.61</v>
      </c>
      <c r="J215" s="7">
        <f t="shared" si="21"/>
        <v>0.17999999999999994</v>
      </c>
      <c r="K215" s="7">
        <f t="shared" si="22"/>
        <v>200</v>
      </c>
      <c r="L215" s="7">
        <f t="shared" si="23"/>
        <v>199.82</v>
      </c>
      <c r="M215" s="7">
        <f t="shared" si="24"/>
        <v>0.17999999999999994</v>
      </c>
      <c r="N215" s="7">
        <f t="shared" si="25"/>
        <v>4400.18</v>
      </c>
      <c r="O215" s="7">
        <f t="shared" si="26"/>
        <v>4799.82</v>
      </c>
      <c r="P215" s="15">
        <f t="shared" si="27"/>
        <v>1110.1111111111115</v>
      </c>
      <c r="Q215" s="7">
        <f>J215*'Model inputs'!$B$8</f>
        <v>17.999999999999993</v>
      </c>
      <c r="R215" s="1" t="s">
        <v>162</v>
      </c>
      <c r="S215" s="1">
        <v>517</v>
      </c>
      <c r="T215" s="1">
        <v>536</v>
      </c>
    </row>
    <row r="216" spans="1:20" ht="21" customHeight="1">
      <c r="A216" s="8">
        <v>46279</v>
      </c>
      <c r="B216" s="1" t="s">
        <v>34</v>
      </c>
      <c r="C216" s="1" t="s">
        <v>87</v>
      </c>
      <c r="D216" s="7">
        <v>8900</v>
      </c>
      <c r="E216" s="7">
        <v>9200</v>
      </c>
      <c r="F216" s="7">
        <v>9500</v>
      </c>
      <c r="G216" s="7">
        <f>'Option source'!B427</f>
        <v>14.97</v>
      </c>
      <c r="H216" s="7">
        <f>'Option source'!B446</f>
        <v>9.07</v>
      </c>
      <c r="I216" s="7">
        <f>'Option source'!B465</f>
        <v>5.26</v>
      </c>
      <c r="J216" s="7">
        <f t="shared" si="21"/>
        <v>2.09</v>
      </c>
      <c r="K216" s="7">
        <f t="shared" si="22"/>
        <v>300</v>
      </c>
      <c r="L216" s="7">
        <f t="shared" si="23"/>
        <v>297.91000000000003</v>
      </c>
      <c r="M216" s="7">
        <f t="shared" si="24"/>
        <v>2.09</v>
      </c>
      <c r="N216" s="7">
        <f t="shared" si="25"/>
        <v>8902.09</v>
      </c>
      <c r="O216" s="7">
        <f t="shared" si="26"/>
        <v>9497.91</v>
      </c>
      <c r="P216" s="15">
        <f t="shared" si="27"/>
        <v>142.54066985645935</v>
      </c>
      <c r="Q216" s="7">
        <f>J216*'Model inputs'!$B$8</f>
        <v>209</v>
      </c>
      <c r="R216" s="1" t="s">
        <v>162</v>
      </c>
      <c r="S216" s="1">
        <v>422</v>
      </c>
      <c r="T216" s="1">
        <v>441</v>
      </c>
    </row>
    <row r="217" spans="1:20" ht="21" customHeight="1">
      <c r="A217" s="8">
        <v>46279</v>
      </c>
      <c r="B217" s="1" t="s">
        <v>34</v>
      </c>
      <c r="C217" s="1" t="s">
        <v>87</v>
      </c>
      <c r="D217" s="7">
        <v>6400</v>
      </c>
      <c r="E217" s="7">
        <v>6600</v>
      </c>
      <c r="F217" s="7">
        <v>6800</v>
      </c>
      <c r="G217" s="7">
        <f>'Option source'!B218</f>
        <v>675.11</v>
      </c>
      <c r="H217" s="7">
        <f>'Option source'!B237</f>
        <v>574.6</v>
      </c>
      <c r="I217" s="7">
        <f>'Option source'!B256</f>
        <v>449.91</v>
      </c>
      <c r="J217" s="7">
        <f t="shared" si="21"/>
        <v>-24.180000000000007</v>
      </c>
      <c r="K217" s="7">
        <f t="shared" si="22"/>
        <v>200</v>
      </c>
      <c r="L217" s="7">
        <f t="shared" si="23"/>
        <v>224.18</v>
      </c>
      <c r="M217" s="7">
        <f t="shared" si="24"/>
        <v>0</v>
      </c>
      <c r="N217" s="7" t="str">
        <f t="shared" si="25"/>
        <v>n.a.</v>
      </c>
      <c r="O217" s="7" t="str">
        <f t="shared" si="26"/>
        <v>n.a.</v>
      </c>
      <c r="P217" s="15" t="str">
        <f t="shared" si="27"/>
        <v>n.a.</v>
      </c>
      <c r="Q217" s="7">
        <f>J217*'Model inputs'!$B$8</f>
        <v>-2418.0000000000009</v>
      </c>
      <c r="R217" s="1" t="s">
        <v>163</v>
      </c>
      <c r="S217" s="1">
        <v>213</v>
      </c>
      <c r="T217" s="1">
        <v>232</v>
      </c>
    </row>
    <row r="218" spans="1:20" ht="21" customHeight="1">
      <c r="A218" s="8">
        <v>46279</v>
      </c>
      <c r="B218" s="1" t="s">
        <v>34</v>
      </c>
      <c r="C218" s="1" t="s">
        <v>87</v>
      </c>
      <c r="D218" s="7">
        <v>6000</v>
      </c>
      <c r="E218" s="7">
        <v>6200</v>
      </c>
      <c r="F218" s="7">
        <v>6400</v>
      </c>
      <c r="G218" s="7">
        <f>'Option source'!B180</f>
        <v>1010</v>
      </c>
      <c r="H218" s="7">
        <f>'Option source'!B199</f>
        <v>847.81</v>
      </c>
      <c r="I218" s="7">
        <f>'Option source'!B218</f>
        <v>675.11</v>
      </c>
      <c r="J218" s="7">
        <f t="shared" si="21"/>
        <v>-10.509999999999877</v>
      </c>
      <c r="K218" s="7">
        <f t="shared" si="22"/>
        <v>200</v>
      </c>
      <c r="L218" s="7">
        <f t="shared" si="23"/>
        <v>210.50999999999988</v>
      </c>
      <c r="M218" s="7">
        <f t="shared" si="24"/>
        <v>0</v>
      </c>
      <c r="N218" s="7" t="str">
        <f t="shared" si="25"/>
        <v>n.a.</v>
      </c>
      <c r="O218" s="7" t="str">
        <f t="shared" si="26"/>
        <v>n.a.</v>
      </c>
      <c r="P218" s="15" t="str">
        <f t="shared" si="27"/>
        <v>n.a.</v>
      </c>
      <c r="Q218" s="7">
        <f>J218*'Model inputs'!$B$8</f>
        <v>-1050.9999999999877</v>
      </c>
      <c r="R218" s="1" t="s">
        <v>163</v>
      </c>
      <c r="S218" s="1">
        <v>175</v>
      </c>
      <c r="T218" s="1">
        <v>194</v>
      </c>
    </row>
    <row r="219" spans="1:20" ht="21" customHeight="1">
      <c r="A219" s="8">
        <v>46279</v>
      </c>
      <c r="B219" s="1" t="s">
        <v>34</v>
      </c>
      <c r="C219" s="1" t="s">
        <v>90</v>
      </c>
      <c r="D219" s="7">
        <v>7400</v>
      </c>
      <c r="E219" s="7">
        <v>7600</v>
      </c>
      <c r="F219" s="7">
        <v>7800</v>
      </c>
      <c r="G219" s="7">
        <f>'Option source'!B807</f>
        <v>619.04</v>
      </c>
      <c r="H219" s="7">
        <f>'Option source'!B826</f>
        <v>775.5</v>
      </c>
      <c r="I219" s="7">
        <f>'Option source'!B845</f>
        <v>955</v>
      </c>
      <c r="J219" s="7">
        <f t="shared" si="21"/>
        <v>23.039999999999964</v>
      </c>
      <c r="K219" s="7">
        <f t="shared" si="22"/>
        <v>200</v>
      </c>
      <c r="L219" s="7">
        <f t="shared" si="23"/>
        <v>176.96000000000004</v>
      </c>
      <c r="M219" s="7">
        <f t="shared" si="24"/>
        <v>23.039999999999964</v>
      </c>
      <c r="N219" s="7">
        <f t="shared" si="25"/>
        <v>7423.04</v>
      </c>
      <c r="O219" s="7">
        <f t="shared" si="26"/>
        <v>7776.96</v>
      </c>
      <c r="P219" s="15">
        <f t="shared" si="27"/>
        <v>7.6805555555555696</v>
      </c>
      <c r="Q219" s="7">
        <f>J219*'Model inputs'!$B$8</f>
        <v>2303.9999999999964</v>
      </c>
      <c r="R219" s="1" t="s">
        <v>164</v>
      </c>
      <c r="S219" s="1">
        <v>802</v>
      </c>
      <c r="T219" s="1">
        <v>821</v>
      </c>
    </row>
    <row r="220" spans="1:20" ht="21" customHeight="1">
      <c r="A220" s="8">
        <v>46279</v>
      </c>
      <c r="B220" s="1" t="s">
        <v>34</v>
      </c>
      <c r="C220" s="1" t="s">
        <v>90</v>
      </c>
      <c r="D220" s="7">
        <v>7600</v>
      </c>
      <c r="E220" s="7">
        <v>7800</v>
      </c>
      <c r="F220" s="7">
        <v>8000</v>
      </c>
      <c r="G220" s="7">
        <f>'Option source'!B826</f>
        <v>775.5</v>
      </c>
      <c r="H220" s="7">
        <f>'Option source'!B845</f>
        <v>955</v>
      </c>
      <c r="I220" s="7">
        <f>'Option source'!B864</f>
        <v>1160</v>
      </c>
      <c r="J220" s="7">
        <f t="shared" si="21"/>
        <v>25.5</v>
      </c>
      <c r="K220" s="7">
        <f t="shared" si="22"/>
        <v>200</v>
      </c>
      <c r="L220" s="7">
        <f t="shared" si="23"/>
        <v>174.5</v>
      </c>
      <c r="M220" s="7">
        <f t="shared" si="24"/>
        <v>25.5</v>
      </c>
      <c r="N220" s="7">
        <f t="shared" si="25"/>
        <v>7625.5</v>
      </c>
      <c r="O220" s="7">
        <f t="shared" si="26"/>
        <v>7974.5</v>
      </c>
      <c r="P220" s="15">
        <f t="shared" si="27"/>
        <v>6.8431372549019605</v>
      </c>
      <c r="Q220" s="7">
        <f>J220*'Model inputs'!$B$8</f>
        <v>2550</v>
      </c>
      <c r="R220" s="1" t="s">
        <v>164</v>
      </c>
      <c r="S220" s="1">
        <v>821</v>
      </c>
      <c r="T220" s="1">
        <v>840</v>
      </c>
    </row>
    <row r="221" spans="1:20" ht="21" customHeight="1">
      <c r="A221" s="8">
        <v>46279</v>
      </c>
      <c r="B221" s="1" t="s">
        <v>34</v>
      </c>
      <c r="C221" s="1" t="s">
        <v>87</v>
      </c>
      <c r="D221" s="7">
        <v>5400</v>
      </c>
      <c r="E221" s="7">
        <v>5600</v>
      </c>
      <c r="F221" s="7">
        <v>5800</v>
      </c>
      <c r="G221" s="7">
        <f>'Option source'!B133</f>
        <v>1616</v>
      </c>
      <c r="H221" s="7">
        <f>'Option source'!B151</f>
        <v>1455</v>
      </c>
      <c r="I221" s="7">
        <f>'Option source'!B161</f>
        <v>1198.6500000000001</v>
      </c>
      <c r="J221" s="7">
        <f t="shared" si="21"/>
        <v>-95.349999999999909</v>
      </c>
      <c r="K221" s="7">
        <f t="shared" si="22"/>
        <v>200</v>
      </c>
      <c r="L221" s="7">
        <f t="shared" si="23"/>
        <v>295.34999999999991</v>
      </c>
      <c r="M221" s="7">
        <f t="shared" si="24"/>
        <v>0</v>
      </c>
      <c r="N221" s="7" t="str">
        <f t="shared" si="25"/>
        <v>n.a.</v>
      </c>
      <c r="O221" s="7" t="str">
        <f t="shared" si="26"/>
        <v>n.a.</v>
      </c>
      <c r="P221" s="15" t="str">
        <f t="shared" si="27"/>
        <v>n.a.</v>
      </c>
      <c r="Q221" s="7">
        <f>J221*'Model inputs'!$B$8</f>
        <v>-9534.9999999999909</v>
      </c>
      <c r="R221" s="1" t="s">
        <v>163</v>
      </c>
      <c r="S221" s="1">
        <v>128</v>
      </c>
      <c r="T221" s="1">
        <v>146</v>
      </c>
    </row>
    <row r="222" spans="1:20" ht="21" customHeight="1">
      <c r="A222" s="8">
        <v>46279</v>
      </c>
      <c r="B222" s="1" t="s">
        <v>34</v>
      </c>
      <c r="C222" s="1" t="s">
        <v>87</v>
      </c>
      <c r="D222" s="7">
        <v>5200</v>
      </c>
      <c r="E222" s="7">
        <v>5400</v>
      </c>
      <c r="F222" s="7">
        <v>5600</v>
      </c>
      <c r="G222" s="7">
        <f>'Option source'!B114</f>
        <v>1998.09</v>
      </c>
      <c r="H222" s="7">
        <f>'Option source'!B133</f>
        <v>1616</v>
      </c>
      <c r="I222" s="7">
        <f>'Option source'!B151</f>
        <v>1455</v>
      </c>
      <c r="J222" s="7">
        <f t="shared" si="21"/>
        <v>221.08999999999992</v>
      </c>
      <c r="K222" s="7">
        <f t="shared" si="22"/>
        <v>200</v>
      </c>
      <c r="L222" s="7">
        <f t="shared" si="23"/>
        <v>-21.089999999999918</v>
      </c>
      <c r="M222" s="7">
        <f t="shared" si="24"/>
        <v>221.08999999999992</v>
      </c>
      <c r="N222" s="7" t="str">
        <f t="shared" si="25"/>
        <v>n.a.</v>
      </c>
      <c r="O222" s="7" t="str">
        <f t="shared" si="26"/>
        <v>n.a.</v>
      </c>
      <c r="P222" s="15" t="str">
        <f t="shared" si="27"/>
        <v>n.a.</v>
      </c>
      <c r="Q222" s="7">
        <f>J222*'Model inputs'!$B$8</f>
        <v>22108.999999999993</v>
      </c>
      <c r="R222" s="1" t="s">
        <v>163</v>
      </c>
      <c r="S222" s="1">
        <v>109</v>
      </c>
      <c r="T222" s="1">
        <v>128</v>
      </c>
    </row>
    <row r="223" spans="1:20" ht="21" customHeight="1">
      <c r="A223" s="8">
        <v>46279</v>
      </c>
      <c r="B223" s="1" t="s">
        <v>34</v>
      </c>
      <c r="C223" s="1" t="s">
        <v>90</v>
      </c>
      <c r="D223" s="7">
        <v>8000</v>
      </c>
      <c r="E223" s="7">
        <v>8300</v>
      </c>
      <c r="F223" s="7">
        <v>8600</v>
      </c>
      <c r="G223" s="7">
        <f>'Option source'!B864</f>
        <v>1160</v>
      </c>
      <c r="H223" s="7">
        <f>'Option source'!B883</f>
        <v>1327.03</v>
      </c>
      <c r="I223" s="7">
        <f>'Option source'!B902</f>
        <v>1789.44</v>
      </c>
      <c r="J223" s="7">
        <f t="shared" si="21"/>
        <v>295.38000000000011</v>
      </c>
      <c r="K223" s="7">
        <f t="shared" si="22"/>
        <v>300</v>
      </c>
      <c r="L223" s="7">
        <f t="shared" si="23"/>
        <v>4.6199999999998909</v>
      </c>
      <c r="M223" s="7">
        <f t="shared" si="24"/>
        <v>295.38000000000011</v>
      </c>
      <c r="N223" s="7">
        <f t="shared" si="25"/>
        <v>8295.380000000001</v>
      </c>
      <c r="O223" s="7">
        <f t="shared" si="26"/>
        <v>8304.619999999999</v>
      </c>
      <c r="P223" s="15">
        <f t="shared" si="27"/>
        <v>1.5640869388583823E-2</v>
      </c>
      <c r="Q223" s="7">
        <f>J223*'Model inputs'!$B$8</f>
        <v>29538.000000000011</v>
      </c>
      <c r="R223" s="1" t="s">
        <v>164</v>
      </c>
      <c r="S223" s="1">
        <v>859</v>
      </c>
      <c r="T223" s="1">
        <v>878</v>
      </c>
    </row>
    <row r="224" spans="1:20" ht="21" customHeight="1">
      <c r="A224" s="8">
        <v>46279</v>
      </c>
      <c r="B224" s="1" t="s">
        <v>34</v>
      </c>
      <c r="C224" s="1" t="s">
        <v>87</v>
      </c>
      <c r="D224" s="7">
        <v>5000</v>
      </c>
      <c r="E224" s="7">
        <v>5200</v>
      </c>
      <c r="F224" s="7">
        <v>5400</v>
      </c>
      <c r="G224" s="7">
        <f>'Option source'!B95</f>
        <v>2248.1999999999998</v>
      </c>
      <c r="H224" s="7">
        <f>'Option source'!B114</f>
        <v>1998.09</v>
      </c>
      <c r="I224" s="7">
        <f>'Option source'!B133</f>
        <v>1616</v>
      </c>
      <c r="J224" s="7">
        <f t="shared" si="21"/>
        <v>-131.98000000000002</v>
      </c>
      <c r="K224" s="7">
        <f t="shared" si="22"/>
        <v>200</v>
      </c>
      <c r="L224" s="7">
        <f t="shared" si="23"/>
        <v>331.98</v>
      </c>
      <c r="M224" s="7">
        <f t="shared" si="24"/>
        <v>0</v>
      </c>
      <c r="N224" s="7" t="str">
        <f t="shared" si="25"/>
        <v>n.a.</v>
      </c>
      <c r="O224" s="7" t="str">
        <f t="shared" si="26"/>
        <v>n.a.</v>
      </c>
      <c r="P224" s="15" t="str">
        <f t="shared" si="27"/>
        <v>n.a.</v>
      </c>
      <c r="Q224" s="7">
        <f>J224*'Model inputs'!$B$8</f>
        <v>-13198.000000000002</v>
      </c>
      <c r="R224" s="1" t="s">
        <v>163</v>
      </c>
      <c r="S224" s="1">
        <v>90</v>
      </c>
      <c r="T224" s="1">
        <v>109</v>
      </c>
    </row>
    <row r="225" spans="1:20" ht="21" customHeight="1">
      <c r="A225" s="8">
        <v>46279</v>
      </c>
      <c r="B225" s="1" t="s">
        <v>34</v>
      </c>
      <c r="C225" s="1" t="s">
        <v>90</v>
      </c>
      <c r="D225" s="7">
        <v>8300</v>
      </c>
      <c r="E225" s="7">
        <v>8600</v>
      </c>
      <c r="F225" s="7">
        <v>8900</v>
      </c>
      <c r="G225" s="7">
        <f>'Option source'!B883</f>
        <v>1327.03</v>
      </c>
      <c r="H225" s="7">
        <f>'Option source'!B902</f>
        <v>1789.44</v>
      </c>
      <c r="I225" s="7">
        <f>'Option source'!B917</f>
        <v>2022.5</v>
      </c>
      <c r="J225" s="7">
        <f t="shared" si="21"/>
        <v>-229.35000000000036</v>
      </c>
      <c r="K225" s="7">
        <f t="shared" si="22"/>
        <v>300</v>
      </c>
      <c r="L225" s="7">
        <f t="shared" si="23"/>
        <v>529.35000000000036</v>
      </c>
      <c r="M225" s="7">
        <f t="shared" si="24"/>
        <v>0</v>
      </c>
      <c r="N225" s="7" t="str">
        <f t="shared" si="25"/>
        <v>n.a.</v>
      </c>
      <c r="O225" s="7" t="str">
        <f t="shared" si="26"/>
        <v>n.a.</v>
      </c>
      <c r="P225" s="15" t="str">
        <f t="shared" si="27"/>
        <v>n.a.</v>
      </c>
      <c r="Q225" s="7">
        <f>J225*'Model inputs'!$B$8</f>
        <v>-22935.000000000036</v>
      </c>
      <c r="R225" s="1" t="s">
        <v>163</v>
      </c>
      <c r="S225" s="1">
        <v>878</v>
      </c>
      <c r="T225" s="1">
        <v>897</v>
      </c>
    </row>
    <row r="226" spans="1:20" ht="21" customHeight="1">
      <c r="A226" s="8">
        <v>46279</v>
      </c>
      <c r="B226" s="1" t="s">
        <v>34</v>
      </c>
      <c r="C226" s="1" t="s">
        <v>87</v>
      </c>
      <c r="D226" s="7">
        <v>4800</v>
      </c>
      <c r="E226" s="7">
        <v>5000</v>
      </c>
      <c r="F226" s="7">
        <v>5200</v>
      </c>
      <c r="G226" s="7">
        <f>'Option source'!B78</f>
        <v>2235.08</v>
      </c>
      <c r="H226" s="7">
        <f>'Option source'!B95</f>
        <v>2248.1999999999998</v>
      </c>
      <c r="I226" s="7">
        <f>'Option source'!B114</f>
        <v>1998.09</v>
      </c>
      <c r="J226" s="7">
        <f t="shared" si="21"/>
        <v>-263.22999999999979</v>
      </c>
      <c r="K226" s="7">
        <f t="shared" si="22"/>
        <v>200</v>
      </c>
      <c r="L226" s="7">
        <f t="shared" si="23"/>
        <v>463.22999999999979</v>
      </c>
      <c r="M226" s="7">
        <f t="shared" si="24"/>
        <v>0</v>
      </c>
      <c r="N226" s="7" t="str">
        <f t="shared" si="25"/>
        <v>n.a.</v>
      </c>
      <c r="O226" s="7" t="str">
        <f t="shared" si="26"/>
        <v>n.a.</v>
      </c>
      <c r="P226" s="15" t="str">
        <f t="shared" si="27"/>
        <v>n.a.</v>
      </c>
      <c r="Q226" s="7">
        <f>J226*'Model inputs'!$B$8</f>
        <v>-26322.999999999978</v>
      </c>
      <c r="R226" s="1" t="s">
        <v>163</v>
      </c>
      <c r="S226" s="1">
        <v>73</v>
      </c>
      <c r="T226" s="1">
        <v>90</v>
      </c>
    </row>
    <row r="227" spans="1:20" ht="21" customHeight="1">
      <c r="A227" s="8">
        <v>46279</v>
      </c>
      <c r="B227" s="1" t="s">
        <v>34</v>
      </c>
      <c r="C227" s="1" t="s">
        <v>87</v>
      </c>
      <c r="D227" s="7">
        <v>4600</v>
      </c>
      <c r="E227" s="7">
        <v>4800</v>
      </c>
      <c r="F227" s="7">
        <v>5000</v>
      </c>
      <c r="G227" s="7">
        <f>'Option source'!B61</f>
        <v>2400</v>
      </c>
      <c r="H227" s="7">
        <f>'Option source'!B78</f>
        <v>2235.08</v>
      </c>
      <c r="I227" s="7">
        <f>'Option source'!B95</f>
        <v>2248.1999999999998</v>
      </c>
      <c r="J227" s="7">
        <f t="shared" si="21"/>
        <v>178.03999999999996</v>
      </c>
      <c r="K227" s="7">
        <f t="shared" si="22"/>
        <v>200</v>
      </c>
      <c r="L227" s="7">
        <f t="shared" si="23"/>
        <v>21.960000000000036</v>
      </c>
      <c r="M227" s="7">
        <f t="shared" si="24"/>
        <v>178.03999999999996</v>
      </c>
      <c r="N227" s="7">
        <f t="shared" si="25"/>
        <v>4778.04</v>
      </c>
      <c r="O227" s="7">
        <f t="shared" si="26"/>
        <v>4821.96</v>
      </c>
      <c r="P227" s="15">
        <f t="shared" si="27"/>
        <v>0.12334306897326466</v>
      </c>
      <c r="Q227" s="7">
        <f>J227*'Model inputs'!$B$8</f>
        <v>17803.999999999996</v>
      </c>
      <c r="R227" s="1" t="s">
        <v>164</v>
      </c>
      <c r="S227" s="1">
        <v>56</v>
      </c>
      <c r="T227" s="1">
        <v>73</v>
      </c>
    </row>
    <row r="228" spans="1:20" ht="21" customHeight="1">
      <c r="A228" s="8">
        <v>46279</v>
      </c>
      <c r="B228" s="1" t="s">
        <v>34</v>
      </c>
      <c r="C228" s="1" t="s">
        <v>90</v>
      </c>
      <c r="D228" s="7">
        <v>8600</v>
      </c>
      <c r="E228" s="7">
        <v>8900</v>
      </c>
      <c r="F228" s="7">
        <v>9200</v>
      </c>
      <c r="G228" s="7">
        <f>'Option source'!B902</f>
        <v>1789.44</v>
      </c>
      <c r="H228" s="7">
        <f>'Option source'!B917</f>
        <v>2022.5</v>
      </c>
      <c r="I228" s="7">
        <f>'Option source'!B924</f>
        <v>2041.57</v>
      </c>
      <c r="J228" s="7">
        <f t="shared" si="21"/>
        <v>-213.99</v>
      </c>
      <c r="K228" s="7">
        <f t="shared" si="22"/>
        <v>300</v>
      </c>
      <c r="L228" s="7">
        <f t="shared" si="23"/>
        <v>513.99</v>
      </c>
      <c r="M228" s="7">
        <f t="shared" si="24"/>
        <v>0</v>
      </c>
      <c r="N228" s="7" t="str">
        <f t="shared" si="25"/>
        <v>n.a.</v>
      </c>
      <c r="O228" s="7" t="str">
        <f t="shared" si="26"/>
        <v>n.a.</v>
      </c>
      <c r="P228" s="15" t="str">
        <f t="shared" si="27"/>
        <v>n.a.</v>
      </c>
      <c r="Q228" s="7">
        <f>J228*'Model inputs'!$B$8</f>
        <v>-21399</v>
      </c>
      <c r="R228" s="1" t="s">
        <v>163</v>
      </c>
      <c r="S228" s="1">
        <v>897</v>
      </c>
      <c r="T228" s="1">
        <v>912</v>
      </c>
    </row>
    <row r="229" spans="1:20" ht="21" customHeight="1">
      <c r="A229" s="8">
        <v>46279</v>
      </c>
      <c r="B229" s="1" t="s">
        <v>34</v>
      </c>
      <c r="C229" s="1" t="s">
        <v>87</v>
      </c>
      <c r="D229" s="7">
        <v>4400</v>
      </c>
      <c r="E229" s="7">
        <v>4600</v>
      </c>
      <c r="F229" s="7">
        <v>4800</v>
      </c>
      <c r="G229" s="7">
        <f>'Option source'!B42</f>
        <v>2624.82</v>
      </c>
      <c r="H229" s="7">
        <f>'Option source'!B61</f>
        <v>2400</v>
      </c>
      <c r="I229" s="7">
        <f>'Option source'!B78</f>
        <v>2235.08</v>
      </c>
      <c r="J229" s="7">
        <f t="shared" si="21"/>
        <v>59.900000000000091</v>
      </c>
      <c r="K229" s="7">
        <f t="shared" si="22"/>
        <v>200</v>
      </c>
      <c r="L229" s="7">
        <f t="shared" si="23"/>
        <v>140.09999999999991</v>
      </c>
      <c r="M229" s="7">
        <f t="shared" si="24"/>
        <v>59.900000000000091</v>
      </c>
      <c r="N229" s="7">
        <f t="shared" si="25"/>
        <v>4459.8999999999996</v>
      </c>
      <c r="O229" s="7">
        <f t="shared" si="26"/>
        <v>4740.1000000000004</v>
      </c>
      <c r="P229" s="15">
        <f t="shared" si="27"/>
        <v>2.3388981636060051</v>
      </c>
      <c r="Q229" s="7">
        <f>J229*'Model inputs'!$B$8</f>
        <v>5990.0000000000091</v>
      </c>
      <c r="R229" s="1" t="s">
        <v>164</v>
      </c>
      <c r="S229" s="1">
        <v>37</v>
      </c>
      <c r="T229" s="1">
        <v>56</v>
      </c>
    </row>
    <row r="230" spans="1:20" ht="21" customHeight="1">
      <c r="A230" s="8">
        <v>46279</v>
      </c>
      <c r="B230" s="1" t="s">
        <v>34</v>
      </c>
      <c r="C230" s="1" t="s">
        <v>87</v>
      </c>
      <c r="D230" s="7">
        <v>4200</v>
      </c>
      <c r="E230" s="7">
        <v>4400</v>
      </c>
      <c r="F230" s="7">
        <v>4600</v>
      </c>
      <c r="G230" s="7">
        <f>'Option source'!B23</f>
        <v>2956.52</v>
      </c>
      <c r="H230" s="7">
        <f>'Option source'!B42</f>
        <v>2624.82</v>
      </c>
      <c r="I230" s="7">
        <f>'Option source'!B61</f>
        <v>2400</v>
      </c>
      <c r="J230" s="7">
        <f t="shared" si="21"/>
        <v>106.87999999999965</v>
      </c>
      <c r="K230" s="7">
        <f t="shared" si="22"/>
        <v>200</v>
      </c>
      <c r="L230" s="7">
        <f t="shared" si="23"/>
        <v>93.120000000000346</v>
      </c>
      <c r="M230" s="7">
        <f t="shared" si="24"/>
        <v>106.87999999999965</v>
      </c>
      <c r="N230" s="7">
        <f t="shared" si="25"/>
        <v>4306.8799999999992</v>
      </c>
      <c r="O230" s="7">
        <f t="shared" si="26"/>
        <v>4493.1200000000008</v>
      </c>
      <c r="P230" s="15">
        <f t="shared" si="27"/>
        <v>0.87125748502994615</v>
      </c>
      <c r="Q230" s="7">
        <f>J230*'Model inputs'!$B$8</f>
        <v>10687.999999999965</v>
      </c>
      <c r="R230" s="1" t="s">
        <v>164</v>
      </c>
      <c r="S230" s="1">
        <v>18</v>
      </c>
      <c r="T230" s="1">
        <v>37</v>
      </c>
    </row>
    <row r="231" spans="1:20" ht="21" customHeight="1">
      <c r="A231" s="8">
        <v>46279</v>
      </c>
      <c r="B231" s="1" t="s">
        <v>34</v>
      </c>
      <c r="C231" s="1" t="s">
        <v>90</v>
      </c>
      <c r="D231" s="7">
        <v>4200</v>
      </c>
      <c r="E231" s="7">
        <v>4400</v>
      </c>
      <c r="F231" s="7">
        <v>4600</v>
      </c>
      <c r="G231" s="7">
        <f>'Option source'!B503</f>
        <v>0.76</v>
      </c>
      <c r="H231" s="7">
        <f>'Option source'!B522</f>
        <v>1.17</v>
      </c>
      <c r="I231" s="7">
        <f>'Option source'!B541</f>
        <v>1.3</v>
      </c>
      <c r="J231" s="7">
        <f t="shared" si="21"/>
        <v>-0.2799999999999998</v>
      </c>
      <c r="K231" s="7">
        <f t="shared" si="22"/>
        <v>200</v>
      </c>
      <c r="L231" s="7">
        <f t="shared" si="23"/>
        <v>200.28</v>
      </c>
      <c r="M231" s="7">
        <f t="shared" si="24"/>
        <v>0</v>
      </c>
      <c r="N231" s="7" t="str">
        <f t="shared" si="25"/>
        <v>n.a.</v>
      </c>
      <c r="O231" s="7" t="str">
        <f t="shared" si="26"/>
        <v>n.a.</v>
      </c>
      <c r="P231" s="15" t="str">
        <f t="shared" si="27"/>
        <v>n.a.</v>
      </c>
      <c r="Q231" s="7">
        <f>J231*'Model inputs'!$B$8</f>
        <v>-27.999999999999979</v>
      </c>
      <c r="R231" s="1" t="s">
        <v>163</v>
      </c>
      <c r="S231" s="1">
        <v>498</v>
      </c>
      <c r="T231" s="1">
        <v>517</v>
      </c>
    </row>
    <row r="232" spans="1:20" ht="21" customHeight="1">
      <c r="A232" s="8">
        <v>46279</v>
      </c>
      <c r="B232" s="1" t="s">
        <v>36</v>
      </c>
      <c r="C232" s="1" t="s">
        <v>87</v>
      </c>
      <c r="D232" s="7">
        <v>6600</v>
      </c>
      <c r="E232" s="7">
        <v>6800</v>
      </c>
      <c r="F232" s="7"/>
      <c r="G232" s="7">
        <f>'Option source'!B237</f>
        <v>574.6</v>
      </c>
      <c r="H232" s="7">
        <f>'Option source'!B256</f>
        <v>449.91</v>
      </c>
      <c r="I232" s="7"/>
      <c r="J232" s="7">
        <f t="shared" si="21"/>
        <v>-325.22000000000003</v>
      </c>
      <c r="K232" s="7">
        <f t="shared" si="22"/>
        <v>200</v>
      </c>
      <c r="L232" s="7">
        <f t="shared" si="23"/>
        <v>525.22</v>
      </c>
      <c r="M232" s="7" t="str">
        <f t="shared" si="24"/>
        <v>Unlimited</v>
      </c>
      <c r="N232" s="7" t="str">
        <f t="shared" si="25"/>
        <v>n.a.</v>
      </c>
      <c r="O232" s="7">
        <f t="shared" si="26"/>
        <v>7325.22</v>
      </c>
      <c r="P232" s="15" t="str">
        <f t="shared" si="27"/>
        <v>n.a.</v>
      </c>
      <c r="Q232" s="7">
        <f>J232*'Model inputs'!$B$8</f>
        <v>-32522.000000000004</v>
      </c>
      <c r="R232" s="1" t="s">
        <v>162</v>
      </c>
      <c r="S232" s="1">
        <v>232</v>
      </c>
      <c r="T232" s="1">
        <v>251</v>
      </c>
    </row>
    <row r="233" spans="1:20" ht="21" customHeight="1">
      <c r="A233" s="8">
        <v>46279</v>
      </c>
      <c r="B233" s="1" t="s">
        <v>36</v>
      </c>
      <c r="C233" s="1" t="s">
        <v>90</v>
      </c>
      <c r="D233" s="7">
        <v>7000</v>
      </c>
      <c r="E233" s="7">
        <v>6800</v>
      </c>
      <c r="F233" s="7"/>
      <c r="G233" s="7">
        <f>'Option source'!B769</f>
        <v>374.39</v>
      </c>
      <c r="H233" s="7">
        <f>'Option source'!B750</f>
        <v>275.35000000000002</v>
      </c>
      <c r="I233" s="7"/>
      <c r="J233" s="7">
        <f t="shared" si="21"/>
        <v>-176.31000000000006</v>
      </c>
      <c r="K233" s="7">
        <f t="shared" si="22"/>
        <v>200</v>
      </c>
      <c r="L233" s="7">
        <f t="shared" si="23"/>
        <v>376.31000000000006</v>
      </c>
      <c r="M233" s="7">
        <f t="shared" si="24"/>
        <v>6423.69</v>
      </c>
      <c r="N233" s="7">
        <f t="shared" si="25"/>
        <v>6423.69</v>
      </c>
      <c r="O233" s="7" t="str">
        <f t="shared" si="26"/>
        <v>n.a.</v>
      </c>
      <c r="P233" s="15" t="str">
        <f t="shared" si="27"/>
        <v>n.a.</v>
      </c>
      <c r="Q233" s="7">
        <f>J233*'Model inputs'!$B$8</f>
        <v>-17631.000000000007</v>
      </c>
      <c r="R233" s="1" t="s">
        <v>162</v>
      </c>
      <c r="S233" s="1">
        <v>764</v>
      </c>
      <c r="T233" s="1">
        <v>745</v>
      </c>
    </row>
    <row r="234" spans="1:20" ht="21" customHeight="1">
      <c r="A234" s="8">
        <v>46279</v>
      </c>
      <c r="B234" s="1" t="s">
        <v>36</v>
      </c>
      <c r="C234" s="1" t="s">
        <v>87</v>
      </c>
      <c r="D234" s="7">
        <v>6800</v>
      </c>
      <c r="E234" s="7">
        <v>7000</v>
      </c>
      <c r="F234" s="7"/>
      <c r="G234" s="7">
        <f>'Option source'!B256</f>
        <v>449.91</v>
      </c>
      <c r="H234" s="7">
        <f>'Option source'!B275</f>
        <v>351.33</v>
      </c>
      <c r="I234" s="7"/>
      <c r="J234" s="7">
        <f t="shared" si="21"/>
        <v>-252.74999999999994</v>
      </c>
      <c r="K234" s="7">
        <f t="shared" si="22"/>
        <v>200</v>
      </c>
      <c r="L234" s="7">
        <f t="shared" si="23"/>
        <v>452.74999999999994</v>
      </c>
      <c r="M234" s="7" t="str">
        <f t="shared" si="24"/>
        <v>Unlimited</v>
      </c>
      <c r="N234" s="7" t="str">
        <f t="shared" si="25"/>
        <v>n.a.</v>
      </c>
      <c r="O234" s="7">
        <f t="shared" si="26"/>
        <v>7452.75</v>
      </c>
      <c r="P234" s="15" t="str">
        <f t="shared" si="27"/>
        <v>n.a.</v>
      </c>
      <c r="Q234" s="7">
        <f>J234*'Model inputs'!$B$8</f>
        <v>-25274.999999999993</v>
      </c>
      <c r="R234" s="1" t="s">
        <v>162</v>
      </c>
      <c r="S234" s="1">
        <v>251</v>
      </c>
      <c r="T234" s="1">
        <v>270</v>
      </c>
    </row>
    <row r="235" spans="1:20" ht="21" customHeight="1">
      <c r="A235" s="8">
        <v>46279</v>
      </c>
      <c r="B235" s="1" t="s">
        <v>36</v>
      </c>
      <c r="C235" s="1" t="s">
        <v>90</v>
      </c>
      <c r="D235" s="7">
        <v>7200</v>
      </c>
      <c r="E235" s="7">
        <v>7000</v>
      </c>
      <c r="F235" s="7"/>
      <c r="G235" s="7">
        <f>'Option source'!B788</f>
        <v>494.18</v>
      </c>
      <c r="H235" s="7">
        <f>'Option source'!B769</f>
        <v>374.39</v>
      </c>
      <c r="I235" s="7"/>
      <c r="J235" s="7">
        <f t="shared" si="21"/>
        <v>-254.59999999999997</v>
      </c>
      <c r="K235" s="7">
        <f t="shared" si="22"/>
        <v>200</v>
      </c>
      <c r="L235" s="7">
        <f t="shared" si="23"/>
        <v>454.59999999999997</v>
      </c>
      <c r="M235" s="7">
        <f t="shared" si="24"/>
        <v>6545.4</v>
      </c>
      <c r="N235" s="7">
        <f t="shared" si="25"/>
        <v>6545.4</v>
      </c>
      <c r="O235" s="7" t="str">
        <f t="shared" si="26"/>
        <v>n.a.</v>
      </c>
      <c r="P235" s="15" t="str">
        <f t="shared" si="27"/>
        <v>n.a.</v>
      </c>
      <c r="Q235" s="7">
        <f>J235*'Model inputs'!$B$8</f>
        <v>-25459.999999999996</v>
      </c>
      <c r="R235" s="1" t="s">
        <v>162</v>
      </c>
      <c r="S235" s="1">
        <v>783</v>
      </c>
      <c r="T235" s="1">
        <v>764</v>
      </c>
    </row>
    <row r="236" spans="1:20" ht="21" customHeight="1">
      <c r="A236" s="8">
        <v>46279</v>
      </c>
      <c r="B236" s="1" t="s">
        <v>36</v>
      </c>
      <c r="C236" s="1" t="s">
        <v>87</v>
      </c>
      <c r="D236" s="7">
        <v>6400</v>
      </c>
      <c r="E236" s="7">
        <v>6600</v>
      </c>
      <c r="F236" s="7"/>
      <c r="G236" s="7">
        <f>'Option source'!B218</f>
        <v>675.11</v>
      </c>
      <c r="H236" s="7">
        <f>'Option source'!B237</f>
        <v>574.6</v>
      </c>
      <c r="I236" s="7"/>
      <c r="J236" s="7">
        <f t="shared" si="21"/>
        <v>-474.09000000000003</v>
      </c>
      <c r="K236" s="7">
        <f t="shared" si="22"/>
        <v>200</v>
      </c>
      <c r="L236" s="7">
        <f t="shared" si="23"/>
        <v>674.09</v>
      </c>
      <c r="M236" s="7" t="str">
        <f t="shared" si="24"/>
        <v>Unlimited</v>
      </c>
      <c r="N236" s="7" t="str">
        <f t="shared" si="25"/>
        <v>n.a.</v>
      </c>
      <c r="O236" s="7">
        <f t="shared" si="26"/>
        <v>7274.09</v>
      </c>
      <c r="P236" s="15" t="str">
        <f t="shared" si="27"/>
        <v>n.a.</v>
      </c>
      <c r="Q236" s="7">
        <f>J236*'Model inputs'!$B$8</f>
        <v>-47409</v>
      </c>
      <c r="R236" s="1" t="s">
        <v>162</v>
      </c>
      <c r="S236" s="1">
        <v>213</v>
      </c>
      <c r="T236" s="1">
        <v>232</v>
      </c>
    </row>
    <row r="237" spans="1:20" ht="21" customHeight="1">
      <c r="A237" s="8">
        <v>46279</v>
      </c>
      <c r="B237" s="1" t="s">
        <v>36</v>
      </c>
      <c r="C237" s="1" t="s">
        <v>90</v>
      </c>
      <c r="D237" s="7">
        <v>6800</v>
      </c>
      <c r="E237" s="7">
        <v>6600</v>
      </c>
      <c r="F237" s="7"/>
      <c r="G237" s="7">
        <f>'Option source'!B750</f>
        <v>275.35000000000002</v>
      </c>
      <c r="H237" s="7">
        <f>'Option source'!B731</f>
        <v>192.29</v>
      </c>
      <c r="I237" s="7"/>
      <c r="J237" s="7">
        <f t="shared" si="21"/>
        <v>-109.22999999999996</v>
      </c>
      <c r="K237" s="7">
        <f t="shared" si="22"/>
        <v>200</v>
      </c>
      <c r="L237" s="7">
        <f t="shared" si="23"/>
        <v>309.22999999999996</v>
      </c>
      <c r="M237" s="7">
        <f t="shared" si="24"/>
        <v>6290.77</v>
      </c>
      <c r="N237" s="7">
        <f t="shared" si="25"/>
        <v>6290.77</v>
      </c>
      <c r="O237" s="7" t="str">
        <f t="shared" si="26"/>
        <v>n.a.</v>
      </c>
      <c r="P237" s="15" t="str">
        <f t="shared" si="27"/>
        <v>n.a.</v>
      </c>
      <c r="Q237" s="7">
        <f>J237*'Model inputs'!$B$8</f>
        <v>-10922.999999999996</v>
      </c>
      <c r="R237" s="1" t="s">
        <v>162</v>
      </c>
      <c r="S237" s="1">
        <v>745</v>
      </c>
      <c r="T237" s="1">
        <v>726</v>
      </c>
    </row>
    <row r="238" spans="1:20" ht="21" customHeight="1">
      <c r="A238" s="8">
        <v>46279</v>
      </c>
      <c r="B238" s="1" t="s">
        <v>36</v>
      </c>
      <c r="C238" s="1" t="s">
        <v>87</v>
      </c>
      <c r="D238" s="7">
        <v>7000</v>
      </c>
      <c r="E238" s="7">
        <v>7200</v>
      </c>
      <c r="F238" s="7"/>
      <c r="G238" s="7">
        <f>'Option source'!B275</f>
        <v>351.33</v>
      </c>
      <c r="H238" s="7">
        <f>'Option source'!B294</f>
        <v>261.93</v>
      </c>
      <c r="I238" s="7"/>
      <c r="J238" s="7">
        <f t="shared" si="21"/>
        <v>-172.53000000000003</v>
      </c>
      <c r="K238" s="7">
        <f t="shared" si="22"/>
        <v>200</v>
      </c>
      <c r="L238" s="7">
        <f t="shared" si="23"/>
        <v>372.53000000000003</v>
      </c>
      <c r="M238" s="7" t="str">
        <f t="shared" si="24"/>
        <v>Unlimited</v>
      </c>
      <c r="N238" s="7" t="str">
        <f t="shared" si="25"/>
        <v>n.a.</v>
      </c>
      <c r="O238" s="7">
        <f t="shared" si="26"/>
        <v>7572.53</v>
      </c>
      <c r="P238" s="15" t="str">
        <f t="shared" si="27"/>
        <v>n.a.</v>
      </c>
      <c r="Q238" s="7">
        <f>J238*'Model inputs'!$B$8</f>
        <v>-17253.000000000004</v>
      </c>
      <c r="R238" s="1" t="s">
        <v>162</v>
      </c>
      <c r="S238" s="1">
        <v>270</v>
      </c>
      <c r="T238" s="1">
        <v>289</v>
      </c>
    </row>
    <row r="239" spans="1:20" ht="21" customHeight="1">
      <c r="A239" s="8">
        <v>46279</v>
      </c>
      <c r="B239" s="1" t="s">
        <v>36</v>
      </c>
      <c r="C239" s="1" t="s">
        <v>90</v>
      </c>
      <c r="D239" s="7">
        <v>7400</v>
      </c>
      <c r="E239" s="7">
        <v>7200</v>
      </c>
      <c r="F239" s="7"/>
      <c r="G239" s="7">
        <f>'Option source'!B807</f>
        <v>619.04</v>
      </c>
      <c r="H239" s="7">
        <f>'Option source'!B788</f>
        <v>494.18</v>
      </c>
      <c r="I239" s="7"/>
      <c r="J239" s="7">
        <f t="shared" si="21"/>
        <v>-369.32000000000005</v>
      </c>
      <c r="K239" s="7">
        <f t="shared" si="22"/>
        <v>200</v>
      </c>
      <c r="L239" s="7">
        <f t="shared" si="23"/>
        <v>569.32000000000005</v>
      </c>
      <c r="M239" s="7">
        <f t="shared" si="24"/>
        <v>6630.68</v>
      </c>
      <c r="N239" s="7">
        <f t="shared" si="25"/>
        <v>6630.68</v>
      </c>
      <c r="O239" s="7" t="str">
        <f t="shared" si="26"/>
        <v>n.a.</v>
      </c>
      <c r="P239" s="15" t="str">
        <f t="shared" si="27"/>
        <v>n.a.</v>
      </c>
      <c r="Q239" s="7">
        <f>J239*'Model inputs'!$B$8</f>
        <v>-36932.000000000007</v>
      </c>
      <c r="R239" s="1" t="s">
        <v>162</v>
      </c>
      <c r="S239" s="1">
        <v>802</v>
      </c>
      <c r="T239" s="1">
        <v>783</v>
      </c>
    </row>
    <row r="240" spans="1:20" ht="21" customHeight="1">
      <c r="A240" s="8">
        <v>46279</v>
      </c>
      <c r="B240" s="1" t="s">
        <v>36</v>
      </c>
      <c r="C240" s="1" t="s">
        <v>87</v>
      </c>
      <c r="D240" s="7">
        <v>6200</v>
      </c>
      <c r="E240" s="7">
        <v>6400</v>
      </c>
      <c r="F240" s="7"/>
      <c r="G240" s="7">
        <f>'Option source'!B199</f>
        <v>847.81</v>
      </c>
      <c r="H240" s="7">
        <f>'Option source'!B218</f>
        <v>675.11</v>
      </c>
      <c r="I240" s="7"/>
      <c r="J240" s="7">
        <f t="shared" si="21"/>
        <v>-502.41000000000008</v>
      </c>
      <c r="K240" s="7">
        <f t="shared" si="22"/>
        <v>200</v>
      </c>
      <c r="L240" s="7">
        <f t="shared" si="23"/>
        <v>702.41000000000008</v>
      </c>
      <c r="M240" s="7" t="str">
        <f t="shared" si="24"/>
        <v>Unlimited</v>
      </c>
      <c r="N240" s="7" t="str">
        <f t="shared" si="25"/>
        <v>n.a.</v>
      </c>
      <c r="O240" s="7">
        <f t="shared" si="26"/>
        <v>7102.41</v>
      </c>
      <c r="P240" s="15" t="str">
        <f t="shared" si="27"/>
        <v>n.a.</v>
      </c>
      <c r="Q240" s="7">
        <f>J240*'Model inputs'!$B$8</f>
        <v>-50241.000000000007</v>
      </c>
      <c r="R240" s="1" t="s">
        <v>162</v>
      </c>
      <c r="S240" s="1">
        <v>194</v>
      </c>
      <c r="T240" s="1">
        <v>213</v>
      </c>
    </row>
    <row r="241" spans="1:20" ht="21" customHeight="1">
      <c r="A241" s="8">
        <v>46279</v>
      </c>
      <c r="B241" s="1" t="s">
        <v>36</v>
      </c>
      <c r="C241" s="1" t="s">
        <v>90</v>
      </c>
      <c r="D241" s="7">
        <v>6600</v>
      </c>
      <c r="E241" s="7">
        <v>6400</v>
      </c>
      <c r="F241" s="7"/>
      <c r="G241" s="7">
        <f>'Option source'!B731</f>
        <v>192.29</v>
      </c>
      <c r="H241" s="7">
        <f>'Option source'!B712</f>
        <v>130.18</v>
      </c>
      <c r="I241" s="7"/>
      <c r="J241" s="7">
        <f t="shared" si="21"/>
        <v>-68.070000000000022</v>
      </c>
      <c r="K241" s="7">
        <f t="shared" si="22"/>
        <v>200</v>
      </c>
      <c r="L241" s="7">
        <f t="shared" si="23"/>
        <v>268.07000000000005</v>
      </c>
      <c r="M241" s="7">
        <f t="shared" si="24"/>
        <v>6131.93</v>
      </c>
      <c r="N241" s="7">
        <f t="shared" si="25"/>
        <v>6131.93</v>
      </c>
      <c r="O241" s="7" t="str">
        <f t="shared" si="26"/>
        <v>n.a.</v>
      </c>
      <c r="P241" s="15" t="str">
        <f t="shared" si="27"/>
        <v>n.a.</v>
      </c>
      <c r="Q241" s="7">
        <f>J241*'Model inputs'!$B$8</f>
        <v>-6807.0000000000018</v>
      </c>
      <c r="R241" s="1" t="s">
        <v>162</v>
      </c>
      <c r="S241" s="1">
        <v>726</v>
      </c>
      <c r="T241" s="1">
        <v>707</v>
      </c>
    </row>
    <row r="242" spans="1:20" ht="21" customHeight="1">
      <c r="A242" s="8">
        <v>46279</v>
      </c>
      <c r="B242" s="1" t="s">
        <v>36</v>
      </c>
      <c r="C242" s="1" t="s">
        <v>87</v>
      </c>
      <c r="D242" s="7">
        <v>7200</v>
      </c>
      <c r="E242" s="7">
        <v>7400</v>
      </c>
      <c r="F242" s="7"/>
      <c r="G242" s="7">
        <f>'Option source'!B294</f>
        <v>261.93</v>
      </c>
      <c r="H242" s="7">
        <f>'Option source'!B313</f>
        <v>198.36</v>
      </c>
      <c r="I242" s="7"/>
      <c r="J242" s="7">
        <f t="shared" si="21"/>
        <v>-134.79000000000002</v>
      </c>
      <c r="K242" s="7">
        <f t="shared" si="22"/>
        <v>200</v>
      </c>
      <c r="L242" s="7">
        <f t="shared" si="23"/>
        <v>334.79</v>
      </c>
      <c r="M242" s="7" t="str">
        <f t="shared" si="24"/>
        <v>Unlimited</v>
      </c>
      <c r="N242" s="7" t="str">
        <f t="shared" si="25"/>
        <v>n.a.</v>
      </c>
      <c r="O242" s="7">
        <f t="shared" si="26"/>
        <v>7734.79</v>
      </c>
      <c r="P242" s="15" t="str">
        <f t="shared" si="27"/>
        <v>n.a.</v>
      </c>
      <c r="Q242" s="7">
        <f>J242*'Model inputs'!$B$8</f>
        <v>-13479.000000000002</v>
      </c>
      <c r="R242" s="1" t="s">
        <v>162</v>
      </c>
      <c r="S242" s="1">
        <v>289</v>
      </c>
      <c r="T242" s="1">
        <v>308</v>
      </c>
    </row>
    <row r="243" spans="1:20" ht="21" customHeight="1">
      <c r="A243" s="8">
        <v>46279</v>
      </c>
      <c r="B243" s="1" t="s">
        <v>36</v>
      </c>
      <c r="C243" s="1" t="s">
        <v>90</v>
      </c>
      <c r="D243" s="7">
        <v>7600</v>
      </c>
      <c r="E243" s="7">
        <v>7400</v>
      </c>
      <c r="F243" s="7"/>
      <c r="G243" s="7">
        <f>'Option source'!B826</f>
        <v>775.5</v>
      </c>
      <c r="H243" s="7">
        <f>'Option source'!B807</f>
        <v>619.04</v>
      </c>
      <c r="I243" s="7"/>
      <c r="J243" s="7">
        <f t="shared" si="21"/>
        <v>-462.57999999999993</v>
      </c>
      <c r="K243" s="7">
        <f t="shared" si="22"/>
        <v>200</v>
      </c>
      <c r="L243" s="7">
        <f t="shared" si="23"/>
        <v>662.57999999999993</v>
      </c>
      <c r="M243" s="7">
        <f t="shared" si="24"/>
        <v>6737.42</v>
      </c>
      <c r="N243" s="7">
        <f t="shared" si="25"/>
        <v>6737.42</v>
      </c>
      <c r="O243" s="7" t="str">
        <f t="shared" si="26"/>
        <v>n.a.</v>
      </c>
      <c r="P243" s="15" t="str">
        <f t="shared" si="27"/>
        <v>n.a.</v>
      </c>
      <c r="Q243" s="7">
        <f>J243*'Model inputs'!$B$8</f>
        <v>-46257.999999999993</v>
      </c>
      <c r="R243" s="1" t="s">
        <v>162</v>
      </c>
      <c r="S243" s="1">
        <v>821</v>
      </c>
      <c r="T243" s="1">
        <v>802</v>
      </c>
    </row>
    <row r="244" spans="1:20" ht="21" customHeight="1">
      <c r="A244" s="8">
        <v>46279</v>
      </c>
      <c r="B244" s="1" t="s">
        <v>36</v>
      </c>
      <c r="C244" s="1" t="s">
        <v>87</v>
      </c>
      <c r="D244" s="7">
        <v>6000</v>
      </c>
      <c r="E244" s="7">
        <v>6200</v>
      </c>
      <c r="F244" s="7"/>
      <c r="G244" s="7">
        <f>'Option source'!B180</f>
        <v>1010</v>
      </c>
      <c r="H244" s="7">
        <f>'Option source'!B199</f>
        <v>847.81</v>
      </c>
      <c r="I244" s="7"/>
      <c r="J244" s="7">
        <f t="shared" si="21"/>
        <v>-685.61999999999989</v>
      </c>
      <c r="K244" s="7">
        <f t="shared" si="22"/>
        <v>200</v>
      </c>
      <c r="L244" s="7">
        <f t="shared" si="23"/>
        <v>885.61999999999989</v>
      </c>
      <c r="M244" s="7" t="str">
        <f t="shared" si="24"/>
        <v>Unlimited</v>
      </c>
      <c r="N244" s="7" t="str">
        <f t="shared" si="25"/>
        <v>n.a.</v>
      </c>
      <c r="O244" s="7">
        <f t="shared" si="26"/>
        <v>7085.62</v>
      </c>
      <c r="P244" s="15" t="str">
        <f t="shared" si="27"/>
        <v>n.a.</v>
      </c>
      <c r="Q244" s="7">
        <f>J244*'Model inputs'!$B$8</f>
        <v>-68561.999999999985</v>
      </c>
      <c r="R244" s="1" t="s">
        <v>162</v>
      </c>
      <c r="S244" s="1">
        <v>175</v>
      </c>
      <c r="T244" s="1">
        <v>194</v>
      </c>
    </row>
    <row r="245" spans="1:20" ht="21" customHeight="1">
      <c r="A245" s="8">
        <v>46279</v>
      </c>
      <c r="B245" s="1" t="s">
        <v>36</v>
      </c>
      <c r="C245" s="1" t="s">
        <v>90</v>
      </c>
      <c r="D245" s="7">
        <v>6400</v>
      </c>
      <c r="E245" s="7">
        <v>6200</v>
      </c>
      <c r="F245" s="7"/>
      <c r="G245" s="7">
        <f>'Option source'!B712</f>
        <v>130.18</v>
      </c>
      <c r="H245" s="7">
        <f>'Option source'!B693</f>
        <v>81.680000000000007</v>
      </c>
      <c r="I245" s="7"/>
      <c r="J245" s="7">
        <f t="shared" si="21"/>
        <v>-33.180000000000007</v>
      </c>
      <c r="K245" s="7">
        <f t="shared" si="22"/>
        <v>200</v>
      </c>
      <c r="L245" s="7">
        <f t="shared" si="23"/>
        <v>233.18</v>
      </c>
      <c r="M245" s="7">
        <f t="shared" si="24"/>
        <v>5966.82</v>
      </c>
      <c r="N245" s="7">
        <f t="shared" si="25"/>
        <v>5966.82</v>
      </c>
      <c r="O245" s="7" t="str">
        <f t="shared" si="26"/>
        <v>n.a.</v>
      </c>
      <c r="P245" s="15" t="str">
        <f t="shared" si="27"/>
        <v>n.a.</v>
      </c>
      <c r="Q245" s="7">
        <f>J245*'Model inputs'!$B$8</f>
        <v>-3318.0000000000009</v>
      </c>
      <c r="R245" s="1" t="s">
        <v>162</v>
      </c>
      <c r="S245" s="1">
        <v>707</v>
      </c>
      <c r="T245" s="1">
        <v>688</v>
      </c>
    </row>
    <row r="246" spans="1:20" ht="21" customHeight="1">
      <c r="A246" s="8">
        <v>46279</v>
      </c>
      <c r="B246" s="1" t="s">
        <v>36</v>
      </c>
      <c r="C246" s="1" t="s">
        <v>87</v>
      </c>
      <c r="D246" s="7">
        <v>7400</v>
      </c>
      <c r="E246" s="7">
        <v>7600</v>
      </c>
      <c r="F246" s="7"/>
      <c r="G246" s="7">
        <f>'Option source'!B313</f>
        <v>198.36</v>
      </c>
      <c r="H246" s="7">
        <f>'Option source'!B332</f>
        <v>145.5</v>
      </c>
      <c r="I246" s="7"/>
      <c r="J246" s="7">
        <f t="shared" si="21"/>
        <v>-92.639999999999986</v>
      </c>
      <c r="K246" s="7">
        <f t="shared" si="22"/>
        <v>200</v>
      </c>
      <c r="L246" s="7">
        <f t="shared" si="23"/>
        <v>292.64</v>
      </c>
      <c r="M246" s="7" t="str">
        <f t="shared" si="24"/>
        <v>Unlimited</v>
      </c>
      <c r="N246" s="7" t="str">
        <f t="shared" si="25"/>
        <v>n.a.</v>
      </c>
      <c r="O246" s="7">
        <f t="shared" si="26"/>
        <v>7892.64</v>
      </c>
      <c r="P246" s="15" t="str">
        <f t="shared" si="27"/>
        <v>n.a.</v>
      </c>
      <c r="Q246" s="7">
        <f>J246*'Model inputs'!$B$8</f>
        <v>-9263.9999999999982</v>
      </c>
      <c r="R246" s="1" t="s">
        <v>162</v>
      </c>
      <c r="S246" s="1">
        <v>308</v>
      </c>
      <c r="T246" s="1">
        <v>327</v>
      </c>
    </row>
    <row r="247" spans="1:20" ht="21" customHeight="1">
      <c r="A247" s="8">
        <v>46279</v>
      </c>
      <c r="B247" s="1" t="s">
        <v>36</v>
      </c>
      <c r="C247" s="1" t="s">
        <v>87</v>
      </c>
      <c r="D247" s="7">
        <v>5800</v>
      </c>
      <c r="E247" s="7">
        <v>6000</v>
      </c>
      <c r="F247" s="7"/>
      <c r="G247" s="7">
        <f>'Option source'!B161</f>
        <v>1198.6500000000001</v>
      </c>
      <c r="H247" s="7">
        <f>'Option source'!B180</f>
        <v>1010</v>
      </c>
      <c r="I247" s="7"/>
      <c r="J247" s="7">
        <f t="shared" si="21"/>
        <v>-821.34999999999991</v>
      </c>
      <c r="K247" s="7">
        <f t="shared" si="22"/>
        <v>200</v>
      </c>
      <c r="L247" s="7">
        <f t="shared" si="23"/>
        <v>1021.3499999999999</v>
      </c>
      <c r="M247" s="7" t="str">
        <f t="shared" si="24"/>
        <v>Unlimited</v>
      </c>
      <c r="N247" s="7" t="str">
        <f t="shared" si="25"/>
        <v>n.a.</v>
      </c>
      <c r="O247" s="7">
        <f t="shared" si="26"/>
        <v>7021.35</v>
      </c>
      <c r="P247" s="15" t="str">
        <f t="shared" si="27"/>
        <v>n.a.</v>
      </c>
      <c r="Q247" s="7">
        <f>J247*'Model inputs'!$B$8</f>
        <v>-82134.999999999985</v>
      </c>
      <c r="R247" s="1" t="s">
        <v>162</v>
      </c>
      <c r="S247" s="1">
        <v>156</v>
      </c>
      <c r="T247" s="1">
        <v>175</v>
      </c>
    </row>
    <row r="248" spans="1:20" ht="21" customHeight="1">
      <c r="A248" s="8">
        <v>46279</v>
      </c>
      <c r="B248" s="1" t="s">
        <v>36</v>
      </c>
      <c r="C248" s="1" t="s">
        <v>90</v>
      </c>
      <c r="D248" s="7">
        <v>6200</v>
      </c>
      <c r="E248" s="7">
        <v>6000</v>
      </c>
      <c r="F248" s="7"/>
      <c r="G248" s="7">
        <f>'Option source'!B693</f>
        <v>81.680000000000007</v>
      </c>
      <c r="H248" s="7">
        <f>'Option source'!B674</f>
        <v>48.24</v>
      </c>
      <c r="I248" s="7"/>
      <c r="J248" s="7">
        <f t="shared" si="21"/>
        <v>-14.799999999999997</v>
      </c>
      <c r="K248" s="7">
        <f t="shared" si="22"/>
        <v>200</v>
      </c>
      <c r="L248" s="7">
        <f t="shared" si="23"/>
        <v>214.8</v>
      </c>
      <c r="M248" s="7">
        <f t="shared" si="24"/>
        <v>5785.2</v>
      </c>
      <c r="N248" s="7">
        <f t="shared" si="25"/>
        <v>5785.2</v>
      </c>
      <c r="O248" s="7" t="str">
        <f t="shared" si="26"/>
        <v>n.a.</v>
      </c>
      <c r="P248" s="15" t="str">
        <f t="shared" si="27"/>
        <v>n.a.</v>
      </c>
      <c r="Q248" s="7">
        <f>J248*'Model inputs'!$B$8</f>
        <v>-1479.9999999999998</v>
      </c>
      <c r="R248" s="1" t="s">
        <v>162</v>
      </c>
      <c r="S248" s="1">
        <v>688</v>
      </c>
      <c r="T248" s="1">
        <v>669</v>
      </c>
    </row>
    <row r="249" spans="1:20" ht="21" customHeight="1">
      <c r="A249" s="8">
        <v>46279</v>
      </c>
      <c r="B249" s="1" t="s">
        <v>36</v>
      </c>
      <c r="C249" s="1" t="s">
        <v>87</v>
      </c>
      <c r="D249" s="7">
        <v>7600</v>
      </c>
      <c r="E249" s="7">
        <v>7800</v>
      </c>
      <c r="F249" s="7"/>
      <c r="G249" s="7">
        <f>'Option source'!B332</f>
        <v>145.5</v>
      </c>
      <c r="H249" s="7">
        <f>'Option source'!B351</f>
        <v>104.78</v>
      </c>
      <c r="I249" s="7"/>
      <c r="J249" s="7">
        <f t="shared" si="21"/>
        <v>-64.06</v>
      </c>
      <c r="K249" s="7">
        <f t="shared" si="22"/>
        <v>200</v>
      </c>
      <c r="L249" s="7">
        <f t="shared" si="23"/>
        <v>264.06</v>
      </c>
      <c r="M249" s="7" t="str">
        <f t="shared" si="24"/>
        <v>Unlimited</v>
      </c>
      <c r="N249" s="7" t="str">
        <f t="shared" si="25"/>
        <v>n.a.</v>
      </c>
      <c r="O249" s="7">
        <f t="shared" si="26"/>
        <v>8064.06</v>
      </c>
      <c r="P249" s="15" t="str">
        <f t="shared" si="27"/>
        <v>n.a.</v>
      </c>
      <c r="Q249" s="7">
        <f>J249*'Model inputs'!$B$8</f>
        <v>-6406</v>
      </c>
      <c r="R249" s="1" t="s">
        <v>162</v>
      </c>
      <c r="S249" s="1">
        <v>327</v>
      </c>
      <c r="T249" s="1">
        <v>346</v>
      </c>
    </row>
    <row r="250" spans="1:20" ht="21" customHeight="1">
      <c r="A250" s="8">
        <v>46279</v>
      </c>
      <c r="B250" s="1" t="s">
        <v>36</v>
      </c>
      <c r="C250" s="1" t="s">
        <v>87</v>
      </c>
      <c r="D250" s="7">
        <v>5600</v>
      </c>
      <c r="E250" s="7">
        <v>5800</v>
      </c>
      <c r="F250" s="7"/>
      <c r="G250" s="7">
        <f>'Option source'!B151</f>
        <v>1455</v>
      </c>
      <c r="H250" s="7">
        <f>'Option source'!B161</f>
        <v>1198.6500000000001</v>
      </c>
      <c r="I250" s="7"/>
      <c r="J250" s="7">
        <f t="shared" si="21"/>
        <v>-942.30000000000018</v>
      </c>
      <c r="K250" s="7">
        <f t="shared" si="22"/>
        <v>200</v>
      </c>
      <c r="L250" s="7">
        <f t="shared" si="23"/>
        <v>1142.3000000000002</v>
      </c>
      <c r="M250" s="7" t="str">
        <f t="shared" si="24"/>
        <v>Unlimited</v>
      </c>
      <c r="N250" s="7" t="str">
        <f t="shared" si="25"/>
        <v>n.a.</v>
      </c>
      <c r="O250" s="7">
        <f t="shared" si="26"/>
        <v>6942.3</v>
      </c>
      <c r="P250" s="15" t="str">
        <f t="shared" si="27"/>
        <v>n.a.</v>
      </c>
      <c r="Q250" s="7">
        <f>J250*'Model inputs'!$B$8</f>
        <v>-94230.000000000015</v>
      </c>
      <c r="R250" s="1" t="s">
        <v>162</v>
      </c>
      <c r="S250" s="1">
        <v>146</v>
      </c>
      <c r="T250" s="1">
        <v>156</v>
      </c>
    </row>
    <row r="251" spans="1:20" ht="21" customHeight="1">
      <c r="A251" s="8">
        <v>46279</v>
      </c>
      <c r="B251" s="1" t="s">
        <v>36</v>
      </c>
      <c r="C251" s="1" t="s">
        <v>90</v>
      </c>
      <c r="D251" s="7">
        <v>6000</v>
      </c>
      <c r="E251" s="7">
        <v>5800</v>
      </c>
      <c r="F251" s="7"/>
      <c r="G251" s="7">
        <f>'Option source'!B674</f>
        <v>48.24</v>
      </c>
      <c r="H251" s="7">
        <f>'Option source'!B655</f>
        <v>28</v>
      </c>
      <c r="I251" s="7"/>
      <c r="J251" s="7">
        <f t="shared" si="21"/>
        <v>-7.759999999999998</v>
      </c>
      <c r="K251" s="7">
        <f t="shared" si="22"/>
        <v>200</v>
      </c>
      <c r="L251" s="7">
        <f t="shared" si="23"/>
        <v>207.76</v>
      </c>
      <c r="M251" s="7">
        <f t="shared" si="24"/>
        <v>5592.24</v>
      </c>
      <c r="N251" s="7">
        <f t="shared" si="25"/>
        <v>5592.24</v>
      </c>
      <c r="O251" s="7" t="str">
        <f t="shared" si="26"/>
        <v>n.a.</v>
      </c>
      <c r="P251" s="15" t="str">
        <f t="shared" si="27"/>
        <v>n.a.</v>
      </c>
      <c r="Q251" s="7">
        <f>J251*'Model inputs'!$B$8</f>
        <v>-775.99999999999977</v>
      </c>
      <c r="R251" s="1" t="s">
        <v>162</v>
      </c>
      <c r="S251" s="1">
        <v>669</v>
      </c>
      <c r="T251" s="1">
        <v>650</v>
      </c>
    </row>
    <row r="252" spans="1:20" ht="21" customHeight="1">
      <c r="A252" s="8">
        <v>46279</v>
      </c>
      <c r="B252" s="1" t="s">
        <v>36</v>
      </c>
      <c r="C252" s="1" t="s">
        <v>87</v>
      </c>
      <c r="D252" s="7">
        <v>7800</v>
      </c>
      <c r="E252" s="7">
        <v>8000</v>
      </c>
      <c r="F252" s="7"/>
      <c r="G252" s="7">
        <f>'Option source'!B351</f>
        <v>104.78</v>
      </c>
      <c r="H252" s="7">
        <f>'Option source'!B370</f>
        <v>76.83</v>
      </c>
      <c r="I252" s="7"/>
      <c r="J252" s="7">
        <f t="shared" si="21"/>
        <v>-48.879999999999995</v>
      </c>
      <c r="K252" s="7">
        <f t="shared" si="22"/>
        <v>200</v>
      </c>
      <c r="L252" s="7">
        <f t="shared" si="23"/>
        <v>248.88</v>
      </c>
      <c r="M252" s="7" t="str">
        <f t="shared" si="24"/>
        <v>Unlimited</v>
      </c>
      <c r="N252" s="7" t="str">
        <f t="shared" si="25"/>
        <v>n.a.</v>
      </c>
      <c r="O252" s="7">
        <f t="shared" si="26"/>
        <v>8248.8799999999992</v>
      </c>
      <c r="P252" s="15" t="str">
        <f t="shared" si="27"/>
        <v>n.a.</v>
      </c>
      <c r="Q252" s="7">
        <f>J252*'Model inputs'!$B$8</f>
        <v>-4888</v>
      </c>
      <c r="R252" s="1" t="s">
        <v>162</v>
      </c>
      <c r="S252" s="1">
        <v>346</v>
      </c>
      <c r="T252" s="1">
        <v>365</v>
      </c>
    </row>
    <row r="253" spans="1:20" ht="21" customHeight="1">
      <c r="A253" s="8">
        <v>46279</v>
      </c>
      <c r="B253" s="1" t="s">
        <v>36</v>
      </c>
      <c r="C253" s="1" t="s">
        <v>87</v>
      </c>
      <c r="D253" s="7">
        <v>5400</v>
      </c>
      <c r="E253" s="7">
        <v>5600</v>
      </c>
      <c r="F253" s="7"/>
      <c r="G253" s="7">
        <f>'Option source'!B133</f>
        <v>1616</v>
      </c>
      <c r="H253" s="7">
        <f>'Option source'!B151</f>
        <v>1455</v>
      </c>
      <c r="I253" s="7"/>
      <c r="J253" s="7">
        <f t="shared" si="21"/>
        <v>-1294</v>
      </c>
      <c r="K253" s="7">
        <f t="shared" si="22"/>
        <v>200</v>
      </c>
      <c r="L253" s="7">
        <f t="shared" si="23"/>
        <v>1494</v>
      </c>
      <c r="M253" s="7" t="str">
        <f t="shared" si="24"/>
        <v>Unlimited</v>
      </c>
      <c r="N253" s="7" t="str">
        <f t="shared" si="25"/>
        <v>n.a.</v>
      </c>
      <c r="O253" s="7">
        <f t="shared" si="26"/>
        <v>7094</v>
      </c>
      <c r="P253" s="15" t="str">
        <f t="shared" si="27"/>
        <v>n.a.</v>
      </c>
      <c r="Q253" s="7">
        <f>J253*'Model inputs'!$B$8</f>
        <v>-129400</v>
      </c>
      <c r="R253" s="1" t="s">
        <v>162</v>
      </c>
      <c r="S253" s="1">
        <v>128</v>
      </c>
      <c r="T253" s="1">
        <v>146</v>
      </c>
    </row>
    <row r="254" spans="1:20" ht="21" customHeight="1">
      <c r="A254" s="8">
        <v>46279</v>
      </c>
      <c r="B254" s="1" t="s">
        <v>36</v>
      </c>
      <c r="C254" s="1" t="s">
        <v>90</v>
      </c>
      <c r="D254" s="7">
        <v>5800</v>
      </c>
      <c r="E254" s="7">
        <v>5600</v>
      </c>
      <c r="F254" s="7"/>
      <c r="G254" s="7">
        <f>'Option source'!B655</f>
        <v>28</v>
      </c>
      <c r="H254" s="7">
        <f>'Option source'!B636</f>
        <v>14.36</v>
      </c>
      <c r="I254" s="7"/>
      <c r="J254" s="7">
        <f t="shared" si="21"/>
        <v>-0.71999999999999886</v>
      </c>
      <c r="K254" s="7">
        <f t="shared" si="22"/>
        <v>200</v>
      </c>
      <c r="L254" s="7">
        <f t="shared" si="23"/>
        <v>200.72</v>
      </c>
      <c r="M254" s="7">
        <f t="shared" si="24"/>
        <v>5399.28</v>
      </c>
      <c r="N254" s="7">
        <f t="shared" si="25"/>
        <v>5399.28</v>
      </c>
      <c r="O254" s="7" t="str">
        <f t="shared" si="26"/>
        <v>n.a.</v>
      </c>
      <c r="P254" s="15" t="str">
        <f t="shared" si="27"/>
        <v>n.a.</v>
      </c>
      <c r="Q254" s="7">
        <f>J254*'Model inputs'!$B$8</f>
        <v>-71.999999999999886</v>
      </c>
      <c r="R254" s="1" t="s">
        <v>162</v>
      </c>
      <c r="S254" s="1">
        <v>650</v>
      </c>
      <c r="T254" s="1">
        <v>631</v>
      </c>
    </row>
    <row r="255" spans="1:20" ht="21" customHeight="1">
      <c r="A255" s="8">
        <v>46279</v>
      </c>
      <c r="B255" s="1" t="s">
        <v>36</v>
      </c>
      <c r="C255" s="1" t="s">
        <v>90</v>
      </c>
      <c r="D255" s="7">
        <v>5600</v>
      </c>
      <c r="E255" s="7">
        <v>5400</v>
      </c>
      <c r="F255" s="7"/>
      <c r="G255" s="7">
        <f>'Option source'!B636</f>
        <v>14.36</v>
      </c>
      <c r="H255" s="7">
        <f>'Option source'!B617</f>
        <v>7.66</v>
      </c>
      <c r="I255" s="7"/>
      <c r="J255" s="7">
        <f t="shared" si="21"/>
        <v>-0.96000000000000085</v>
      </c>
      <c r="K255" s="7">
        <f t="shared" si="22"/>
        <v>200</v>
      </c>
      <c r="L255" s="7">
        <f t="shared" si="23"/>
        <v>200.96</v>
      </c>
      <c r="M255" s="7">
        <f t="shared" si="24"/>
        <v>5199.04</v>
      </c>
      <c r="N255" s="7">
        <f t="shared" si="25"/>
        <v>5199.04</v>
      </c>
      <c r="O255" s="7" t="str">
        <f t="shared" si="26"/>
        <v>n.a.</v>
      </c>
      <c r="P255" s="15" t="str">
        <f t="shared" si="27"/>
        <v>n.a.</v>
      </c>
      <c r="Q255" s="7">
        <f>J255*'Model inputs'!$B$8</f>
        <v>-96.000000000000085</v>
      </c>
      <c r="R255" s="1" t="s">
        <v>162</v>
      </c>
      <c r="S255" s="1">
        <v>631</v>
      </c>
      <c r="T255" s="1">
        <v>612</v>
      </c>
    </row>
    <row r="256" spans="1:20" ht="21" customHeight="1">
      <c r="A256" s="8">
        <v>46279</v>
      </c>
      <c r="B256" s="1" t="s">
        <v>36</v>
      </c>
      <c r="C256" s="1" t="s">
        <v>87</v>
      </c>
      <c r="D256" s="7">
        <v>8000</v>
      </c>
      <c r="E256" s="7">
        <v>8300</v>
      </c>
      <c r="F256" s="7"/>
      <c r="G256" s="7">
        <f>'Option source'!B370</f>
        <v>76.83</v>
      </c>
      <c r="H256" s="7">
        <f>'Option source'!B389</f>
        <v>45.46</v>
      </c>
      <c r="I256" s="7"/>
      <c r="J256" s="7">
        <f t="shared" si="21"/>
        <v>-14.090000000000003</v>
      </c>
      <c r="K256" s="7">
        <f t="shared" si="22"/>
        <v>300</v>
      </c>
      <c r="L256" s="7">
        <f t="shared" si="23"/>
        <v>314.09000000000003</v>
      </c>
      <c r="M256" s="7" t="str">
        <f t="shared" si="24"/>
        <v>Unlimited</v>
      </c>
      <c r="N256" s="7" t="str">
        <f t="shared" si="25"/>
        <v>n.a.</v>
      </c>
      <c r="O256" s="7">
        <f t="shared" si="26"/>
        <v>8614.09</v>
      </c>
      <c r="P256" s="15" t="str">
        <f t="shared" si="27"/>
        <v>n.a.</v>
      </c>
      <c r="Q256" s="7">
        <f>J256*'Model inputs'!$B$8</f>
        <v>-1409.0000000000005</v>
      </c>
      <c r="R256" s="1" t="s">
        <v>162</v>
      </c>
      <c r="S256" s="1">
        <v>365</v>
      </c>
      <c r="T256" s="1">
        <v>384</v>
      </c>
    </row>
    <row r="257" spans="1:20" ht="21" customHeight="1">
      <c r="A257" s="8">
        <v>46279</v>
      </c>
      <c r="B257" s="1" t="s">
        <v>36</v>
      </c>
      <c r="C257" s="1" t="s">
        <v>90</v>
      </c>
      <c r="D257" s="7">
        <v>5400</v>
      </c>
      <c r="E257" s="7">
        <v>5200</v>
      </c>
      <c r="F257" s="7"/>
      <c r="G257" s="7">
        <f>'Option source'!B617</f>
        <v>7.66</v>
      </c>
      <c r="H257" s="7">
        <f>'Option source'!B598</f>
        <v>4.05</v>
      </c>
      <c r="I257" s="7"/>
      <c r="J257" s="7">
        <f t="shared" si="21"/>
        <v>-0.4399999999999995</v>
      </c>
      <c r="K257" s="7">
        <f t="shared" si="22"/>
        <v>200</v>
      </c>
      <c r="L257" s="7">
        <f t="shared" si="23"/>
        <v>200.44</v>
      </c>
      <c r="M257" s="7">
        <f t="shared" si="24"/>
        <v>4999.5600000000004</v>
      </c>
      <c r="N257" s="7">
        <f t="shared" si="25"/>
        <v>4999.5600000000004</v>
      </c>
      <c r="O257" s="7" t="str">
        <f t="shared" si="26"/>
        <v>n.a.</v>
      </c>
      <c r="P257" s="15" t="str">
        <f t="shared" si="27"/>
        <v>n.a.</v>
      </c>
      <c r="Q257" s="7">
        <f>J257*'Model inputs'!$B$8</f>
        <v>-43.99999999999995</v>
      </c>
      <c r="R257" s="1" t="s">
        <v>162</v>
      </c>
      <c r="S257" s="1">
        <v>612</v>
      </c>
      <c r="T257" s="1">
        <v>593</v>
      </c>
    </row>
    <row r="258" spans="1:20" ht="21" customHeight="1">
      <c r="A258" s="8">
        <v>46279</v>
      </c>
      <c r="B258" s="1" t="s">
        <v>36</v>
      </c>
      <c r="C258" s="1" t="s">
        <v>87</v>
      </c>
      <c r="D258" s="7">
        <v>8300</v>
      </c>
      <c r="E258" s="7">
        <v>8600</v>
      </c>
      <c r="F258" s="7"/>
      <c r="G258" s="7">
        <f>'Option source'!B389</f>
        <v>45.46</v>
      </c>
      <c r="H258" s="7">
        <f>'Option source'!B408</f>
        <v>27.59</v>
      </c>
      <c r="I258" s="7"/>
      <c r="J258" s="7">
        <f t="shared" si="21"/>
        <v>-9.7199999999999989</v>
      </c>
      <c r="K258" s="7">
        <f t="shared" si="22"/>
        <v>300</v>
      </c>
      <c r="L258" s="7">
        <f t="shared" si="23"/>
        <v>309.72000000000003</v>
      </c>
      <c r="M258" s="7" t="str">
        <f t="shared" si="24"/>
        <v>Unlimited</v>
      </c>
      <c r="N258" s="7" t="str">
        <f t="shared" si="25"/>
        <v>n.a.</v>
      </c>
      <c r="O258" s="7">
        <f t="shared" si="26"/>
        <v>8909.7199999999993</v>
      </c>
      <c r="P258" s="15" t="str">
        <f t="shared" si="27"/>
        <v>n.a.</v>
      </c>
      <c r="Q258" s="7">
        <f>J258*'Model inputs'!$B$8</f>
        <v>-971.99999999999989</v>
      </c>
      <c r="R258" s="1" t="s">
        <v>162</v>
      </c>
      <c r="S258" s="1">
        <v>384</v>
      </c>
      <c r="T258" s="1">
        <v>403</v>
      </c>
    </row>
    <row r="259" spans="1:20" ht="21" customHeight="1">
      <c r="A259" s="8">
        <v>46279</v>
      </c>
      <c r="B259" s="1" t="s">
        <v>36</v>
      </c>
      <c r="C259" s="1" t="s">
        <v>90</v>
      </c>
      <c r="D259" s="7">
        <v>5200</v>
      </c>
      <c r="E259" s="7">
        <v>5000</v>
      </c>
      <c r="F259" s="7"/>
      <c r="G259" s="7">
        <f>'Option source'!B598</f>
        <v>4.05</v>
      </c>
      <c r="H259" s="7">
        <f>'Option source'!B579</f>
        <v>2.5</v>
      </c>
      <c r="I259" s="7"/>
      <c r="J259" s="7">
        <f t="shared" si="21"/>
        <v>-0.95000000000000018</v>
      </c>
      <c r="K259" s="7">
        <f t="shared" si="22"/>
        <v>200</v>
      </c>
      <c r="L259" s="7">
        <f t="shared" si="23"/>
        <v>200.95</v>
      </c>
      <c r="M259" s="7">
        <f t="shared" si="24"/>
        <v>4799.05</v>
      </c>
      <c r="N259" s="7">
        <f t="shared" si="25"/>
        <v>4799.05</v>
      </c>
      <c r="O259" s="7" t="str">
        <f t="shared" si="26"/>
        <v>n.a.</v>
      </c>
      <c r="P259" s="15" t="str">
        <f t="shared" si="27"/>
        <v>n.a.</v>
      </c>
      <c r="Q259" s="7">
        <f>J259*'Model inputs'!$B$8</f>
        <v>-95.000000000000014</v>
      </c>
      <c r="R259" s="1" t="s">
        <v>162</v>
      </c>
      <c r="S259" s="1">
        <v>593</v>
      </c>
      <c r="T259" s="1">
        <v>574</v>
      </c>
    </row>
    <row r="260" spans="1:20" ht="21" customHeight="1">
      <c r="A260" s="8">
        <v>46279</v>
      </c>
      <c r="B260" s="1" t="s">
        <v>36</v>
      </c>
      <c r="C260" s="1" t="s">
        <v>90</v>
      </c>
      <c r="D260" s="7">
        <v>5000</v>
      </c>
      <c r="E260" s="7">
        <v>4800</v>
      </c>
      <c r="F260" s="7"/>
      <c r="G260" s="7">
        <f>'Option source'!B579</f>
        <v>2.5</v>
      </c>
      <c r="H260" s="7">
        <f>'Option source'!B560</f>
        <v>1.61</v>
      </c>
      <c r="I260" s="7"/>
      <c r="J260" s="7">
        <f t="shared" si="21"/>
        <v>-0.7200000000000002</v>
      </c>
      <c r="K260" s="7">
        <f t="shared" si="22"/>
        <v>200</v>
      </c>
      <c r="L260" s="7">
        <f t="shared" si="23"/>
        <v>200.72</v>
      </c>
      <c r="M260" s="7">
        <f t="shared" si="24"/>
        <v>4599.28</v>
      </c>
      <c r="N260" s="7">
        <f t="shared" si="25"/>
        <v>4599.28</v>
      </c>
      <c r="O260" s="7" t="str">
        <f t="shared" si="26"/>
        <v>n.a.</v>
      </c>
      <c r="P260" s="15" t="str">
        <f t="shared" si="27"/>
        <v>n.a.</v>
      </c>
      <c r="Q260" s="7">
        <f>J260*'Model inputs'!$B$8</f>
        <v>-72.000000000000014</v>
      </c>
      <c r="R260" s="1" t="s">
        <v>162</v>
      </c>
      <c r="S260" s="1">
        <v>574</v>
      </c>
      <c r="T260" s="1">
        <v>555</v>
      </c>
    </row>
    <row r="261" spans="1:20" ht="21" customHeight="1">
      <c r="A261" s="8">
        <v>46279</v>
      </c>
      <c r="B261" s="1" t="s">
        <v>36</v>
      </c>
      <c r="C261" s="1" t="s">
        <v>87</v>
      </c>
      <c r="D261" s="7">
        <v>8600</v>
      </c>
      <c r="E261" s="7">
        <v>8900</v>
      </c>
      <c r="F261" s="7"/>
      <c r="G261" s="7">
        <f>'Option source'!B408</f>
        <v>27.59</v>
      </c>
      <c r="H261" s="7">
        <f>'Option source'!B427</f>
        <v>14.97</v>
      </c>
      <c r="I261" s="7"/>
      <c r="J261" s="7">
        <f t="shared" si="21"/>
        <v>-2.3500000000000014</v>
      </c>
      <c r="K261" s="7">
        <f t="shared" si="22"/>
        <v>300</v>
      </c>
      <c r="L261" s="7">
        <f t="shared" si="23"/>
        <v>302.35000000000002</v>
      </c>
      <c r="M261" s="7" t="str">
        <f t="shared" si="24"/>
        <v>Unlimited</v>
      </c>
      <c r="N261" s="7" t="str">
        <f t="shared" si="25"/>
        <v>n.a.</v>
      </c>
      <c r="O261" s="7">
        <f t="shared" si="26"/>
        <v>9202.35</v>
      </c>
      <c r="P261" s="15" t="str">
        <f t="shared" si="27"/>
        <v>n.a.</v>
      </c>
      <c r="Q261" s="7">
        <f>J261*'Model inputs'!$B$8</f>
        <v>-235.00000000000014</v>
      </c>
      <c r="R261" s="1" t="s">
        <v>162</v>
      </c>
      <c r="S261" s="1">
        <v>403</v>
      </c>
      <c r="T261" s="1">
        <v>422</v>
      </c>
    </row>
    <row r="262" spans="1:20" ht="21" customHeight="1">
      <c r="A262" s="8">
        <v>46279</v>
      </c>
      <c r="B262" s="1" t="s">
        <v>36</v>
      </c>
      <c r="C262" s="1" t="s">
        <v>90</v>
      </c>
      <c r="D262" s="7">
        <v>4800</v>
      </c>
      <c r="E262" s="7">
        <v>4600</v>
      </c>
      <c r="F262" s="7"/>
      <c r="G262" s="7">
        <f>'Option source'!B560</f>
        <v>1.61</v>
      </c>
      <c r="H262" s="7">
        <f>'Option source'!B541</f>
        <v>1.3</v>
      </c>
      <c r="I262" s="7"/>
      <c r="J262" s="7">
        <f t="shared" si="21"/>
        <v>-0.99</v>
      </c>
      <c r="K262" s="7">
        <f t="shared" si="22"/>
        <v>200</v>
      </c>
      <c r="L262" s="7">
        <f t="shared" si="23"/>
        <v>200.99</v>
      </c>
      <c r="M262" s="7">
        <f t="shared" si="24"/>
        <v>4399.01</v>
      </c>
      <c r="N262" s="7">
        <f t="shared" si="25"/>
        <v>4399.01</v>
      </c>
      <c r="O262" s="7" t="str">
        <f t="shared" si="26"/>
        <v>n.a.</v>
      </c>
      <c r="P262" s="15" t="str">
        <f t="shared" si="27"/>
        <v>n.a.</v>
      </c>
      <c r="Q262" s="7">
        <f>J262*'Model inputs'!$B$8</f>
        <v>-99</v>
      </c>
      <c r="R262" s="1" t="s">
        <v>162</v>
      </c>
      <c r="S262" s="1">
        <v>555</v>
      </c>
      <c r="T262" s="1">
        <v>536</v>
      </c>
    </row>
    <row r="263" spans="1:20" ht="21" customHeight="1">
      <c r="A263" s="8">
        <v>46279</v>
      </c>
      <c r="B263" s="1" t="s">
        <v>36</v>
      </c>
      <c r="C263" s="1" t="s">
        <v>87</v>
      </c>
      <c r="D263" s="7">
        <v>8900</v>
      </c>
      <c r="E263" s="7">
        <v>9200</v>
      </c>
      <c r="F263" s="7"/>
      <c r="G263" s="7">
        <f>'Option source'!B427</f>
        <v>14.97</v>
      </c>
      <c r="H263" s="7">
        <f>'Option source'!B446</f>
        <v>9.07</v>
      </c>
      <c r="I263" s="7"/>
      <c r="J263" s="7">
        <f t="shared" ref="J263:J326" si="28">G263-2*H263+IF(B263="Butterfly",I263,0)</f>
        <v>-3.17</v>
      </c>
      <c r="K263" s="7">
        <f t="shared" ref="K263:K326" si="29">ABS(E263-D263)</f>
        <v>300</v>
      </c>
      <c r="L263" s="7">
        <f t="shared" ref="L263:L326" si="30">K263-J263</f>
        <v>303.17</v>
      </c>
      <c r="M263" s="7" t="str">
        <f t="shared" ref="M263:M326" si="31">IF(B263="Butterfly",MAX(J263,0),IF(C263="call","Unlimited",MAX(2*E263-D263+J263,J263,0)))</f>
        <v>Unlimited</v>
      </c>
      <c r="N263" s="7" t="str">
        <f t="shared" ref="N263:N326" si="32">IF(B263="Butterfly",IF(AND(J263&gt;0,J263&lt;K263),D263+J263,"n.a."),IF(C263="call",IF(AND(J263&gt;0,J263&lt;K263),D263+J263,"n.a."),IF(AND(K263&gt;J263,2*E263-D263+J263&gt;=0),2*E263-D263+J263,"n.a.")))</f>
        <v>n.a.</v>
      </c>
      <c r="O263" s="7">
        <f t="shared" ref="O263:O326" si="33">IF(B263="Butterfly",IF(AND(J263&gt;0,J263&lt;K263),F263-J263,"n.a."),IF(C263="call",IF(K263&gt;J263,2*E263-D263-J263,"n.a."),IF(AND(J263&gt;0,J263&lt;K263),D263-J263,"n.a.")))</f>
        <v>9503.17</v>
      </c>
      <c r="P263" s="15" t="str">
        <f t="shared" ref="P263:P326" si="34">IF(AND(B263="Butterfly",J263&gt;0,J263&lt;K263),L263/J263,"n.a.")</f>
        <v>n.a.</v>
      </c>
      <c r="Q263" s="7">
        <f>J263*'Model inputs'!$B$8</f>
        <v>-317</v>
      </c>
      <c r="R263" s="1" t="s">
        <v>162</v>
      </c>
      <c r="S263" s="1">
        <v>422</v>
      </c>
      <c r="T263" s="1">
        <v>441</v>
      </c>
    </row>
    <row r="264" spans="1:20" ht="21" customHeight="1">
      <c r="A264" s="8">
        <v>46279</v>
      </c>
      <c r="B264" s="1" t="s">
        <v>36</v>
      </c>
      <c r="C264" s="1" t="s">
        <v>90</v>
      </c>
      <c r="D264" s="7">
        <v>4600</v>
      </c>
      <c r="E264" s="7">
        <v>4400</v>
      </c>
      <c r="F264" s="7"/>
      <c r="G264" s="7">
        <f>'Option source'!B541</f>
        <v>1.3</v>
      </c>
      <c r="H264" s="7">
        <f>'Option source'!B522</f>
        <v>1.17</v>
      </c>
      <c r="I264" s="7"/>
      <c r="J264" s="7">
        <f t="shared" si="28"/>
        <v>-1.0399999999999998</v>
      </c>
      <c r="K264" s="7">
        <f t="shared" si="29"/>
        <v>200</v>
      </c>
      <c r="L264" s="7">
        <f t="shared" si="30"/>
        <v>201.04</v>
      </c>
      <c r="M264" s="7">
        <f t="shared" si="31"/>
        <v>4198.96</v>
      </c>
      <c r="N264" s="7">
        <f t="shared" si="32"/>
        <v>4198.96</v>
      </c>
      <c r="O264" s="7" t="str">
        <f t="shared" si="33"/>
        <v>n.a.</v>
      </c>
      <c r="P264" s="15" t="str">
        <f t="shared" si="34"/>
        <v>n.a.</v>
      </c>
      <c r="Q264" s="7">
        <f>J264*'Model inputs'!$B$8</f>
        <v>-103.99999999999999</v>
      </c>
      <c r="R264" s="1" t="s">
        <v>162</v>
      </c>
      <c r="S264" s="1">
        <v>536</v>
      </c>
      <c r="T264" s="1">
        <v>517</v>
      </c>
    </row>
    <row r="265" spans="1:20" ht="21" customHeight="1">
      <c r="A265" s="8">
        <v>46279</v>
      </c>
      <c r="B265" s="1" t="s">
        <v>36</v>
      </c>
      <c r="C265" s="1" t="s">
        <v>90</v>
      </c>
      <c r="D265" s="7">
        <v>4400</v>
      </c>
      <c r="E265" s="7">
        <v>4200</v>
      </c>
      <c r="F265" s="7"/>
      <c r="G265" s="7">
        <f>'Option source'!B522</f>
        <v>1.17</v>
      </c>
      <c r="H265" s="7">
        <f>'Option source'!B503</f>
        <v>0.76</v>
      </c>
      <c r="I265" s="7"/>
      <c r="J265" s="7">
        <f t="shared" si="28"/>
        <v>-0.35000000000000009</v>
      </c>
      <c r="K265" s="7">
        <f t="shared" si="29"/>
        <v>200</v>
      </c>
      <c r="L265" s="7">
        <f t="shared" si="30"/>
        <v>200.35</v>
      </c>
      <c r="M265" s="7">
        <f t="shared" si="31"/>
        <v>3999.65</v>
      </c>
      <c r="N265" s="7">
        <f t="shared" si="32"/>
        <v>3999.65</v>
      </c>
      <c r="O265" s="7" t="str">
        <f t="shared" si="33"/>
        <v>n.a.</v>
      </c>
      <c r="P265" s="15" t="str">
        <f t="shared" si="34"/>
        <v>n.a.</v>
      </c>
      <c r="Q265" s="7">
        <f>J265*'Model inputs'!$B$8</f>
        <v>-35.000000000000007</v>
      </c>
      <c r="R265" s="1" t="s">
        <v>162</v>
      </c>
      <c r="S265" s="1">
        <v>517</v>
      </c>
      <c r="T265" s="1">
        <v>498</v>
      </c>
    </row>
    <row r="266" spans="1:20" ht="21" customHeight="1">
      <c r="A266" s="8">
        <v>46279</v>
      </c>
      <c r="B266" s="1" t="s">
        <v>36</v>
      </c>
      <c r="C266" s="1" t="s">
        <v>87</v>
      </c>
      <c r="D266" s="7">
        <v>9200</v>
      </c>
      <c r="E266" s="7">
        <v>9500</v>
      </c>
      <c r="F266" s="7"/>
      <c r="G266" s="7">
        <f>'Option source'!B446</f>
        <v>9.07</v>
      </c>
      <c r="H266" s="7">
        <f>'Option source'!B465</f>
        <v>5.26</v>
      </c>
      <c r="I266" s="7"/>
      <c r="J266" s="7">
        <f t="shared" si="28"/>
        <v>-1.4499999999999993</v>
      </c>
      <c r="K266" s="7">
        <f t="shared" si="29"/>
        <v>300</v>
      </c>
      <c r="L266" s="7">
        <f t="shared" si="30"/>
        <v>301.45</v>
      </c>
      <c r="M266" s="7" t="str">
        <f t="shared" si="31"/>
        <v>Unlimited</v>
      </c>
      <c r="N266" s="7" t="str">
        <f t="shared" si="32"/>
        <v>n.a.</v>
      </c>
      <c r="O266" s="7">
        <f t="shared" si="33"/>
        <v>9801.4500000000007</v>
      </c>
      <c r="P266" s="15" t="str">
        <f t="shared" si="34"/>
        <v>n.a.</v>
      </c>
      <c r="Q266" s="7">
        <f>J266*'Model inputs'!$B$8</f>
        <v>-144.99999999999994</v>
      </c>
      <c r="R266" s="1" t="s">
        <v>162</v>
      </c>
      <c r="S266" s="1">
        <v>441</v>
      </c>
      <c r="T266" s="1">
        <v>460</v>
      </c>
    </row>
    <row r="267" spans="1:20" ht="21" customHeight="1">
      <c r="A267" s="8">
        <v>46279</v>
      </c>
      <c r="B267" s="1" t="s">
        <v>36</v>
      </c>
      <c r="C267" s="1" t="s">
        <v>87</v>
      </c>
      <c r="D267" s="7">
        <v>9500</v>
      </c>
      <c r="E267" s="7">
        <v>9900</v>
      </c>
      <c r="F267" s="7"/>
      <c r="G267" s="7">
        <f>'Option source'!B465</f>
        <v>5.26</v>
      </c>
      <c r="H267" s="7">
        <f>'Option source'!B484</f>
        <v>3.27</v>
      </c>
      <c r="I267" s="7"/>
      <c r="J267" s="7">
        <f t="shared" si="28"/>
        <v>-1.2800000000000002</v>
      </c>
      <c r="K267" s="7">
        <f t="shared" si="29"/>
        <v>400</v>
      </c>
      <c r="L267" s="7">
        <f t="shared" si="30"/>
        <v>401.28</v>
      </c>
      <c r="M267" s="7" t="str">
        <f t="shared" si="31"/>
        <v>Unlimited</v>
      </c>
      <c r="N267" s="7" t="str">
        <f t="shared" si="32"/>
        <v>n.a.</v>
      </c>
      <c r="O267" s="7">
        <f t="shared" si="33"/>
        <v>10301.280000000001</v>
      </c>
      <c r="P267" s="15" t="str">
        <f t="shared" si="34"/>
        <v>n.a.</v>
      </c>
      <c r="Q267" s="7">
        <f>J267*'Model inputs'!$B$8</f>
        <v>-128.00000000000003</v>
      </c>
      <c r="R267" s="1" t="s">
        <v>162</v>
      </c>
      <c r="S267" s="1">
        <v>460</v>
      </c>
      <c r="T267" s="1">
        <v>479</v>
      </c>
    </row>
    <row r="268" spans="1:20" ht="21" customHeight="1">
      <c r="A268" s="8">
        <v>46279</v>
      </c>
      <c r="B268" s="1" t="s">
        <v>36</v>
      </c>
      <c r="C268" s="1" t="s">
        <v>90</v>
      </c>
      <c r="D268" s="7">
        <v>7800</v>
      </c>
      <c r="E268" s="7">
        <v>7600</v>
      </c>
      <c r="F268" s="7"/>
      <c r="G268" s="7">
        <f>'Option source'!B845</f>
        <v>955</v>
      </c>
      <c r="H268" s="7">
        <f>'Option source'!B826</f>
        <v>775.5</v>
      </c>
      <c r="I268" s="7"/>
      <c r="J268" s="7">
        <f t="shared" si="28"/>
        <v>-596</v>
      </c>
      <c r="K268" s="7">
        <f t="shared" si="29"/>
        <v>200</v>
      </c>
      <c r="L268" s="7">
        <f t="shared" si="30"/>
        <v>796</v>
      </c>
      <c r="M268" s="7">
        <f t="shared" si="31"/>
        <v>6804</v>
      </c>
      <c r="N268" s="7">
        <f t="shared" si="32"/>
        <v>6804</v>
      </c>
      <c r="O268" s="7" t="str">
        <f t="shared" si="33"/>
        <v>n.a.</v>
      </c>
      <c r="P268" s="15" t="str">
        <f t="shared" si="34"/>
        <v>n.a.</v>
      </c>
      <c r="Q268" s="7">
        <f>J268*'Model inputs'!$B$8</f>
        <v>-59600</v>
      </c>
      <c r="R268" s="1" t="s">
        <v>164</v>
      </c>
      <c r="S268" s="1">
        <v>840</v>
      </c>
      <c r="T268" s="1">
        <v>821</v>
      </c>
    </row>
    <row r="269" spans="1:20" ht="21" customHeight="1">
      <c r="A269" s="8">
        <v>46279</v>
      </c>
      <c r="B269" s="1" t="s">
        <v>36</v>
      </c>
      <c r="C269" s="1" t="s">
        <v>90</v>
      </c>
      <c r="D269" s="7">
        <v>8000</v>
      </c>
      <c r="E269" s="7">
        <v>7800</v>
      </c>
      <c r="F269" s="7"/>
      <c r="G269" s="7">
        <f>'Option source'!B864</f>
        <v>1160</v>
      </c>
      <c r="H269" s="7">
        <f>'Option source'!B845</f>
        <v>955</v>
      </c>
      <c r="I269" s="7"/>
      <c r="J269" s="7">
        <f t="shared" si="28"/>
        <v>-750</v>
      </c>
      <c r="K269" s="7">
        <f t="shared" si="29"/>
        <v>200</v>
      </c>
      <c r="L269" s="7">
        <f t="shared" si="30"/>
        <v>950</v>
      </c>
      <c r="M269" s="7">
        <f t="shared" si="31"/>
        <v>6850</v>
      </c>
      <c r="N269" s="7">
        <f t="shared" si="32"/>
        <v>6850</v>
      </c>
      <c r="O269" s="7" t="str">
        <f t="shared" si="33"/>
        <v>n.a.</v>
      </c>
      <c r="P269" s="15" t="str">
        <f t="shared" si="34"/>
        <v>n.a.</v>
      </c>
      <c r="Q269" s="7">
        <f>J269*'Model inputs'!$B$8</f>
        <v>-75000</v>
      </c>
      <c r="R269" s="1" t="s">
        <v>164</v>
      </c>
      <c r="S269" s="1">
        <v>859</v>
      </c>
      <c r="T269" s="1">
        <v>840</v>
      </c>
    </row>
    <row r="270" spans="1:20" ht="21" customHeight="1">
      <c r="A270" s="8">
        <v>46279</v>
      </c>
      <c r="B270" s="1" t="s">
        <v>36</v>
      </c>
      <c r="C270" s="1" t="s">
        <v>90</v>
      </c>
      <c r="D270" s="7">
        <v>8300</v>
      </c>
      <c r="E270" s="7">
        <v>8000</v>
      </c>
      <c r="F270" s="7"/>
      <c r="G270" s="7">
        <f>'Option source'!B883</f>
        <v>1327.03</v>
      </c>
      <c r="H270" s="7">
        <f>'Option source'!B864</f>
        <v>1160</v>
      </c>
      <c r="I270" s="7"/>
      <c r="J270" s="7">
        <f t="shared" si="28"/>
        <v>-992.97</v>
      </c>
      <c r="K270" s="7">
        <f t="shared" si="29"/>
        <v>300</v>
      </c>
      <c r="L270" s="7">
        <f t="shared" si="30"/>
        <v>1292.97</v>
      </c>
      <c r="M270" s="7">
        <f t="shared" si="31"/>
        <v>6707.03</v>
      </c>
      <c r="N270" s="7">
        <f t="shared" si="32"/>
        <v>6707.03</v>
      </c>
      <c r="O270" s="7" t="str">
        <f t="shared" si="33"/>
        <v>n.a.</v>
      </c>
      <c r="P270" s="15" t="str">
        <f t="shared" si="34"/>
        <v>n.a.</v>
      </c>
      <c r="Q270" s="7">
        <f>J270*'Model inputs'!$B$8</f>
        <v>-99297</v>
      </c>
      <c r="R270" s="1" t="s">
        <v>164</v>
      </c>
      <c r="S270" s="1">
        <v>878</v>
      </c>
      <c r="T270" s="1">
        <v>859</v>
      </c>
    </row>
    <row r="271" spans="1:20" ht="21" customHeight="1">
      <c r="A271" s="8">
        <v>46279</v>
      </c>
      <c r="B271" s="1" t="s">
        <v>36</v>
      </c>
      <c r="C271" s="1" t="s">
        <v>87</v>
      </c>
      <c r="D271" s="7">
        <v>5200</v>
      </c>
      <c r="E271" s="7">
        <v>5400</v>
      </c>
      <c r="F271" s="7"/>
      <c r="G271" s="7">
        <f>'Option source'!B114</f>
        <v>1998.09</v>
      </c>
      <c r="H271" s="7">
        <f>'Option source'!B133</f>
        <v>1616</v>
      </c>
      <c r="I271" s="7"/>
      <c r="J271" s="7">
        <f t="shared" si="28"/>
        <v>-1233.9100000000001</v>
      </c>
      <c r="K271" s="7">
        <f t="shared" si="29"/>
        <v>200</v>
      </c>
      <c r="L271" s="7">
        <f t="shared" si="30"/>
        <v>1433.91</v>
      </c>
      <c r="M271" s="7" t="str">
        <f t="shared" si="31"/>
        <v>Unlimited</v>
      </c>
      <c r="N271" s="7" t="str">
        <f t="shared" si="32"/>
        <v>n.a.</v>
      </c>
      <c r="O271" s="7">
        <f t="shared" si="33"/>
        <v>6833.91</v>
      </c>
      <c r="P271" s="15" t="str">
        <f t="shared" si="34"/>
        <v>n.a.</v>
      </c>
      <c r="Q271" s="7">
        <f>J271*'Model inputs'!$B$8</f>
        <v>-123391.00000000001</v>
      </c>
      <c r="R271" s="1" t="s">
        <v>164</v>
      </c>
      <c r="S271" s="1">
        <v>109</v>
      </c>
      <c r="T271" s="1">
        <v>128</v>
      </c>
    </row>
    <row r="272" spans="1:20" ht="21" customHeight="1">
      <c r="A272" s="8">
        <v>46279</v>
      </c>
      <c r="B272" s="1" t="s">
        <v>36</v>
      </c>
      <c r="C272" s="1" t="s">
        <v>90</v>
      </c>
      <c r="D272" s="7">
        <v>8600</v>
      </c>
      <c r="E272" s="7">
        <v>8300</v>
      </c>
      <c r="F272" s="7"/>
      <c r="G272" s="7">
        <f>'Option source'!B902</f>
        <v>1789.44</v>
      </c>
      <c r="H272" s="7">
        <f>'Option source'!B883</f>
        <v>1327.03</v>
      </c>
      <c r="I272" s="7"/>
      <c r="J272" s="7">
        <f t="shared" si="28"/>
        <v>-864.61999999999989</v>
      </c>
      <c r="K272" s="7">
        <f t="shared" si="29"/>
        <v>300</v>
      </c>
      <c r="L272" s="7">
        <f t="shared" si="30"/>
        <v>1164.6199999999999</v>
      </c>
      <c r="M272" s="7">
        <f t="shared" si="31"/>
        <v>7135.38</v>
      </c>
      <c r="N272" s="7">
        <f t="shared" si="32"/>
        <v>7135.38</v>
      </c>
      <c r="O272" s="7" t="str">
        <f t="shared" si="33"/>
        <v>n.a.</v>
      </c>
      <c r="P272" s="15" t="str">
        <f t="shared" si="34"/>
        <v>n.a.</v>
      </c>
      <c r="Q272" s="7">
        <f>J272*'Model inputs'!$B$8</f>
        <v>-86461.999999999985</v>
      </c>
      <c r="R272" s="1" t="s">
        <v>164</v>
      </c>
      <c r="S272" s="1">
        <v>897</v>
      </c>
      <c r="T272" s="1">
        <v>878</v>
      </c>
    </row>
    <row r="273" spans="1:20" ht="21" customHeight="1">
      <c r="A273" s="8">
        <v>46279</v>
      </c>
      <c r="B273" s="1" t="s">
        <v>36</v>
      </c>
      <c r="C273" s="1" t="s">
        <v>87</v>
      </c>
      <c r="D273" s="7">
        <v>5000</v>
      </c>
      <c r="E273" s="7">
        <v>5200</v>
      </c>
      <c r="F273" s="7"/>
      <c r="G273" s="7">
        <f>'Option source'!B95</f>
        <v>2248.1999999999998</v>
      </c>
      <c r="H273" s="7">
        <f>'Option source'!B114</f>
        <v>1998.09</v>
      </c>
      <c r="I273" s="7"/>
      <c r="J273" s="7">
        <f t="shared" si="28"/>
        <v>-1747.98</v>
      </c>
      <c r="K273" s="7">
        <f t="shared" si="29"/>
        <v>200</v>
      </c>
      <c r="L273" s="7">
        <f t="shared" si="30"/>
        <v>1947.98</v>
      </c>
      <c r="M273" s="7" t="str">
        <f t="shared" si="31"/>
        <v>Unlimited</v>
      </c>
      <c r="N273" s="7" t="str">
        <f t="shared" si="32"/>
        <v>n.a.</v>
      </c>
      <c r="O273" s="7">
        <f t="shared" si="33"/>
        <v>7147.98</v>
      </c>
      <c r="P273" s="15" t="str">
        <f t="shared" si="34"/>
        <v>n.a.</v>
      </c>
      <c r="Q273" s="7">
        <f>J273*'Model inputs'!$B$8</f>
        <v>-174798</v>
      </c>
      <c r="R273" s="1" t="s">
        <v>164</v>
      </c>
      <c r="S273" s="1">
        <v>90</v>
      </c>
      <c r="T273" s="1">
        <v>109</v>
      </c>
    </row>
    <row r="274" spans="1:20" ht="21" customHeight="1">
      <c r="A274" s="8">
        <v>46279</v>
      </c>
      <c r="B274" s="1" t="s">
        <v>36</v>
      </c>
      <c r="C274" s="1" t="s">
        <v>90</v>
      </c>
      <c r="D274" s="7">
        <v>8900</v>
      </c>
      <c r="E274" s="7">
        <v>8600</v>
      </c>
      <c r="F274" s="7"/>
      <c r="G274" s="7">
        <f>'Option source'!B917</f>
        <v>2022.5</v>
      </c>
      <c r="H274" s="7">
        <f>'Option source'!B902</f>
        <v>1789.44</v>
      </c>
      <c r="I274" s="7"/>
      <c r="J274" s="7">
        <f t="shared" si="28"/>
        <v>-1556.38</v>
      </c>
      <c r="K274" s="7">
        <f t="shared" si="29"/>
        <v>300</v>
      </c>
      <c r="L274" s="7">
        <f t="shared" si="30"/>
        <v>1856.38</v>
      </c>
      <c r="M274" s="7">
        <f t="shared" si="31"/>
        <v>6743.62</v>
      </c>
      <c r="N274" s="7">
        <f t="shared" si="32"/>
        <v>6743.62</v>
      </c>
      <c r="O274" s="7" t="str">
        <f t="shared" si="33"/>
        <v>n.a.</v>
      </c>
      <c r="P274" s="15" t="str">
        <f t="shared" si="34"/>
        <v>n.a.</v>
      </c>
      <c r="Q274" s="7">
        <f>J274*'Model inputs'!$B$8</f>
        <v>-155638</v>
      </c>
      <c r="R274" s="1" t="s">
        <v>164</v>
      </c>
      <c r="S274" s="1">
        <v>912</v>
      </c>
      <c r="T274" s="1">
        <v>897</v>
      </c>
    </row>
    <row r="275" spans="1:20" ht="21" customHeight="1">
      <c r="A275" s="8">
        <v>46279</v>
      </c>
      <c r="B275" s="1" t="s">
        <v>36</v>
      </c>
      <c r="C275" s="1" t="s">
        <v>87</v>
      </c>
      <c r="D275" s="7">
        <v>4800</v>
      </c>
      <c r="E275" s="7">
        <v>5000</v>
      </c>
      <c r="F275" s="7"/>
      <c r="G275" s="7">
        <f>'Option source'!B78</f>
        <v>2235.08</v>
      </c>
      <c r="H275" s="7">
        <f>'Option source'!B95</f>
        <v>2248.1999999999998</v>
      </c>
      <c r="I275" s="7"/>
      <c r="J275" s="7">
        <f t="shared" si="28"/>
        <v>-2261.3199999999997</v>
      </c>
      <c r="K275" s="7">
        <f t="shared" si="29"/>
        <v>200</v>
      </c>
      <c r="L275" s="7">
        <f t="shared" si="30"/>
        <v>2461.3199999999997</v>
      </c>
      <c r="M275" s="7" t="str">
        <f t="shared" si="31"/>
        <v>Unlimited</v>
      </c>
      <c r="N275" s="7" t="str">
        <f t="shared" si="32"/>
        <v>n.a.</v>
      </c>
      <c r="O275" s="7">
        <f t="shared" si="33"/>
        <v>7461.32</v>
      </c>
      <c r="P275" s="15" t="str">
        <f t="shared" si="34"/>
        <v>n.a.</v>
      </c>
      <c r="Q275" s="7">
        <f>J275*'Model inputs'!$B$8</f>
        <v>-226131.99999999997</v>
      </c>
      <c r="R275" s="1" t="s">
        <v>164</v>
      </c>
      <c r="S275" s="1">
        <v>73</v>
      </c>
      <c r="T275" s="1">
        <v>90</v>
      </c>
    </row>
    <row r="276" spans="1:20" ht="21" customHeight="1">
      <c r="A276" s="8">
        <v>46279</v>
      </c>
      <c r="B276" s="1" t="s">
        <v>36</v>
      </c>
      <c r="C276" s="1" t="s">
        <v>87</v>
      </c>
      <c r="D276" s="7">
        <v>4600</v>
      </c>
      <c r="E276" s="7">
        <v>4800</v>
      </c>
      <c r="F276" s="7"/>
      <c r="G276" s="7">
        <f>'Option source'!B61</f>
        <v>2400</v>
      </c>
      <c r="H276" s="7">
        <f>'Option source'!B78</f>
        <v>2235.08</v>
      </c>
      <c r="I276" s="7"/>
      <c r="J276" s="7">
        <f t="shared" si="28"/>
        <v>-2070.16</v>
      </c>
      <c r="K276" s="7">
        <f t="shared" si="29"/>
        <v>200</v>
      </c>
      <c r="L276" s="7">
        <f t="shared" si="30"/>
        <v>2270.16</v>
      </c>
      <c r="M276" s="7" t="str">
        <f t="shared" si="31"/>
        <v>Unlimited</v>
      </c>
      <c r="N276" s="7" t="str">
        <f t="shared" si="32"/>
        <v>n.a.</v>
      </c>
      <c r="O276" s="7">
        <f t="shared" si="33"/>
        <v>7070.16</v>
      </c>
      <c r="P276" s="15" t="str">
        <f t="shared" si="34"/>
        <v>n.a.</v>
      </c>
      <c r="Q276" s="7">
        <f>J276*'Model inputs'!$B$8</f>
        <v>-207016</v>
      </c>
      <c r="R276" s="1" t="s">
        <v>164</v>
      </c>
      <c r="S276" s="1">
        <v>56</v>
      </c>
      <c r="T276" s="1">
        <v>73</v>
      </c>
    </row>
    <row r="277" spans="1:20" ht="21" customHeight="1">
      <c r="A277" s="8">
        <v>46279</v>
      </c>
      <c r="B277" s="1" t="s">
        <v>36</v>
      </c>
      <c r="C277" s="1" t="s">
        <v>90</v>
      </c>
      <c r="D277" s="7">
        <v>9200</v>
      </c>
      <c r="E277" s="7">
        <v>8900</v>
      </c>
      <c r="F277" s="7"/>
      <c r="G277" s="7">
        <f>'Option source'!B924</f>
        <v>2041.57</v>
      </c>
      <c r="H277" s="7">
        <f>'Option source'!B917</f>
        <v>2022.5</v>
      </c>
      <c r="I277" s="7"/>
      <c r="J277" s="7">
        <f t="shared" si="28"/>
        <v>-2003.43</v>
      </c>
      <c r="K277" s="7">
        <f t="shared" si="29"/>
        <v>300</v>
      </c>
      <c r="L277" s="7">
        <f t="shared" si="30"/>
        <v>2303.4300000000003</v>
      </c>
      <c r="M277" s="7">
        <f t="shared" si="31"/>
        <v>6596.57</v>
      </c>
      <c r="N277" s="7">
        <f t="shared" si="32"/>
        <v>6596.57</v>
      </c>
      <c r="O277" s="7" t="str">
        <f t="shared" si="33"/>
        <v>n.a.</v>
      </c>
      <c r="P277" s="15" t="str">
        <f t="shared" si="34"/>
        <v>n.a.</v>
      </c>
      <c r="Q277" s="7">
        <f>J277*'Model inputs'!$B$8</f>
        <v>-200343</v>
      </c>
      <c r="R277" s="1" t="s">
        <v>164</v>
      </c>
      <c r="S277" s="1">
        <v>919</v>
      </c>
      <c r="T277" s="1">
        <v>912</v>
      </c>
    </row>
    <row r="278" spans="1:20" ht="21" customHeight="1">
      <c r="A278" s="8">
        <v>46279</v>
      </c>
      <c r="B278" s="1" t="s">
        <v>36</v>
      </c>
      <c r="C278" s="1" t="s">
        <v>87</v>
      </c>
      <c r="D278" s="7">
        <v>4400</v>
      </c>
      <c r="E278" s="7">
        <v>4600</v>
      </c>
      <c r="F278" s="7"/>
      <c r="G278" s="7">
        <f>'Option source'!B42</f>
        <v>2624.82</v>
      </c>
      <c r="H278" s="7">
        <f>'Option source'!B61</f>
        <v>2400</v>
      </c>
      <c r="I278" s="7"/>
      <c r="J278" s="7">
        <f t="shared" si="28"/>
        <v>-2175.1799999999998</v>
      </c>
      <c r="K278" s="7">
        <f t="shared" si="29"/>
        <v>200</v>
      </c>
      <c r="L278" s="7">
        <f t="shared" si="30"/>
        <v>2375.1799999999998</v>
      </c>
      <c r="M278" s="7" t="str">
        <f t="shared" si="31"/>
        <v>Unlimited</v>
      </c>
      <c r="N278" s="7" t="str">
        <f t="shared" si="32"/>
        <v>n.a.</v>
      </c>
      <c r="O278" s="7">
        <f t="shared" si="33"/>
        <v>6975.18</v>
      </c>
      <c r="P278" s="15" t="str">
        <f t="shared" si="34"/>
        <v>n.a.</v>
      </c>
      <c r="Q278" s="7">
        <f>J278*'Model inputs'!$B$8</f>
        <v>-217517.99999999997</v>
      </c>
      <c r="R278" s="1" t="s">
        <v>164</v>
      </c>
      <c r="S278" s="1">
        <v>37</v>
      </c>
      <c r="T278" s="1">
        <v>56</v>
      </c>
    </row>
    <row r="279" spans="1:20" ht="21" customHeight="1">
      <c r="A279" s="8">
        <v>46279</v>
      </c>
      <c r="B279" s="1" t="s">
        <v>36</v>
      </c>
      <c r="C279" s="1" t="s">
        <v>87</v>
      </c>
      <c r="D279" s="7">
        <v>4200</v>
      </c>
      <c r="E279" s="7">
        <v>4400</v>
      </c>
      <c r="F279" s="7"/>
      <c r="G279" s="7">
        <f>'Option source'!B23</f>
        <v>2956.52</v>
      </c>
      <c r="H279" s="7">
        <f>'Option source'!B42</f>
        <v>2624.82</v>
      </c>
      <c r="I279" s="7"/>
      <c r="J279" s="7">
        <f t="shared" si="28"/>
        <v>-2293.1200000000003</v>
      </c>
      <c r="K279" s="7">
        <f t="shared" si="29"/>
        <v>200</v>
      </c>
      <c r="L279" s="7">
        <f t="shared" si="30"/>
        <v>2493.1200000000003</v>
      </c>
      <c r="M279" s="7" t="str">
        <f t="shared" si="31"/>
        <v>Unlimited</v>
      </c>
      <c r="N279" s="7" t="str">
        <f t="shared" si="32"/>
        <v>n.a.</v>
      </c>
      <c r="O279" s="7">
        <f t="shared" si="33"/>
        <v>6893.1200000000008</v>
      </c>
      <c r="P279" s="15" t="str">
        <f t="shared" si="34"/>
        <v>n.a.</v>
      </c>
      <c r="Q279" s="7">
        <f>J279*'Model inputs'!$B$8</f>
        <v>-229312.00000000003</v>
      </c>
      <c r="R279" s="1" t="s">
        <v>164</v>
      </c>
      <c r="S279" s="1">
        <v>18</v>
      </c>
      <c r="T279" s="1">
        <v>37</v>
      </c>
    </row>
    <row r="280" spans="1:20" ht="21" customHeight="1">
      <c r="A280" s="8">
        <v>46276</v>
      </c>
      <c r="B280" s="1" t="s">
        <v>34</v>
      </c>
      <c r="C280" s="1" t="s">
        <v>87</v>
      </c>
      <c r="D280" s="7">
        <v>6800</v>
      </c>
      <c r="E280" s="7">
        <v>7000</v>
      </c>
      <c r="F280" s="7">
        <v>7200</v>
      </c>
      <c r="G280" s="7">
        <f>'Option source'!B255</f>
        <v>544.29</v>
      </c>
      <c r="H280" s="7">
        <f>'Option source'!B274</f>
        <v>438.34</v>
      </c>
      <c r="I280" s="7">
        <f>'Option source'!B293</f>
        <v>345.7</v>
      </c>
      <c r="J280" s="7">
        <f t="shared" si="28"/>
        <v>13.310000000000002</v>
      </c>
      <c r="K280" s="7">
        <f t="shared" si="29"/>
        <v>200</v>
      </c>
      <c r="L280" s="7">
        <f t="shared" si="30"/>
        <v>186.69</v>
      </c>
      <c r="M280" s="7">
        <f t="shared" si="31"/>
        <v>13.310000000000002</v>
      </c>
      <c r="N280" s="7">
        <f t="shared" si="32"/>
        <v>6813.31</v>
      </c>
      <c r="O280" s="7">
        <f t="shared" si="33"/>
        <v>7186.69</v>
      </c>
      <c r="P280" s="15">
        <f t="shared" si="34"/>
        <v>14.026296018031553</v>
      </c>
      <c r="Q280" s="7">
        <f>J280*'Model inputs'!$B$8</f>
        <v>1331.0000000000002</v>
      </c>
      <c r="R280" s="1" t="s">
        <v>162</v>
      </c>
      <c r="S280" s="1">
        <v>250</v>
      </c>
      <c r="T280" s="1">
        <v>269</v>
      </c>
    </row>
    <row r="281" spans="1:20" ht="21" customHeight="1">
      <c r="A281" s="8">
        <v>46276</v>
      </c>
      <c r="B281" s="1" t="s">
        <v>34</v>
      </c>
      <c r="C281" s="1" t="s">
        <v>90</v>
      </c>
      <c r="D281" s="7">
        <v>6800</v>
      </c>
      <c r="E281" s="7">
        <v>7000</v>
      </c>
      <c r="F281" s="7">
        <v>7200</v>
      </c>
      <c r="G281" s="7">
        <f>'Option source'!B749</f>
        <v>222.83</v>
      </c>
      <c r="H281" s="7">
        <f>'Option source'!B768</f>
        <v>308.63</v>
      </c>
      <c r="I281" s="7">
        <f>'Option source'!B787</f>
        <v>409.22</v>
      </c>
      <c r="J281" s="7">
        <f t="shared" si="28"/>
        <v>14.790000000000077</v>
      </c>
      <c r="K281" s="7">
        <f t="shared" si="29"/>
        <v>200</v>
      </c>
      <c r="L281" s="7">
        <f t="shared" si="30"/>
        <v>185.20999999999992</v>
      </c>
      <c r="M281" s="7">
        <f t="shared" si="31"/>
        <v>14.790000000000077</v>
      </c>
      <c r="N281" s="7">
        <f t="shared" si="32"/>
        <v>6814.79</v>
      </c>
      <c r="O281" s="7">
        <f t="shared" si="33"/>
        <v>7185.21</v>
      </c>
      <c r="P281" s="15">
        <f t="shared" si="34"/>
        <v>12.522650439486069</v>
      </c>
      <c r="Q281" s="7">
        <f>J281*'Model inputs'!$B$8</f>
        <v>1479.0000000000077</v>
      </c>
      <c r="R281" s="1" t="s">
        <v>162</v>
      </c>
      <c r="S281" s="1">
        <v>744</v>
      </c>
      <c r="T281" s="1">
        <v>763</v>
      </c>
    </row>
    <row r="282" spans="1:20" ht="21" customHeight="1">
      <c r="A282" s="8">
        <v>46276</v>
      </c>
      <c r="B282" s="1" t="s">
        <v>34</v>
      </c>
      <c r="C282" s="1" t="s">
        <v>87</v>
      </c>
      <c r="D282" s="7">
        <v>6600</v>
      </c>
      <c r="E282" s="7">
        <v>6800</v>
      </c>
      <c r="F282" s="7">
        <v>7000</v>
      </c>
      <c r="G282" s="7">
        <f>'Option source'!B236</f>
        <v>663.81</v>
      </c>
      <c r="H282" s="7">
        <f>'Option source'!B255</f>
        <v>544.29</v>
      </c>
      <c r="I282" s="7">
        <f>'Option source'!B274</f>
        <v>438.34</v>
      </c>
      <c r="J282" s="7">
        <f t="shared" si="28"/>
        <v>13.569999999999993</v>
      </c>
      <c r="K282" s="7">
        <f t="shared" si="29"/>
        <v>200</v>
      </c>
      <c r="L282" s="7">
        <f t="shared" si="30"/>
        <v>186.43</v>
      </c>
      <c r="M282" s="7">
        <f t="shared" si="31"/>
        <v>13.569999999999993</v>
      </c>
      <c r="N282" s="7">
        <f t="shared" si="32"/>
        <v>6613.57</v>
      </c>
      <c r="O282" s="7">
        <f t="shared" si="33"/>
        <v>6986.43</v>
      </c>
      <c r="P282" s="15">
        <f t="shared" si="34"/>
        <v>13.738393515106861</v>
      </c>
      <c r="Q282" s="7">
        <f>J282*'Model inputs'!$B$8</f>
        <v>1356.9999999999993</v>
      </c>
      <c r="R282" s="1" t="s">
        <v>162</v>
      </c>
      <c r="S282" s="1">
        <v>231</v>
      </c>
      <c r="T282" s="1">
        <v>250</v>
      </c>
    </row>
    <row r="283" spans="1:20" ht="21" customHeight="1">
      <c r="A283" s="8">
        <v>46276</v>
      </c>
      <c r="B283" s="1" t="s">
        <v>34</v>
      </c>
      <c r="C283" s="1" t="s">
        <v>87</v>
      </c>
      <c r="D283" s="7">
        <v>7000</v>
      </c>
      <c r="E283" s="7">
        <v>7200</v>
      </c>
      <c r="F283" s="7">
        <v>7400</v>
      </c>
      <c r="G283" s="7">
        <f>'Option source'!B274</f>
        <v>438.34</v>
      </c>
      <c r="H283" s="7">
        <f>'Option source'!B293</f>
        <v>345.7</v>
      </c>
      <c r="I283" s="7">
        <f>'Option source'!B312</f>
        <v>262.49</v>
      </c>
      <c r="J283" s="7">
        <f t="shared" si="28"/>
        <v>9.4300000000000068</v>
      </c>
      <c r="K283" s="7">
        <f t="shared" si="29"/>
        <v>200</v>
      </c>
      <c r="L283" s="7">
        <f t="shared" si="30"/>
        <v>190.57</v>
      </c>
      <c r="M283" s="7">
        <f t="shared" si="31"/>
        <v>9.4300000000000068</v>
      </c>
      <c r="N283" s="7">
        <f t="shared" si="32"/>
        <v>7009.43</v>
      </c>
      <c r="O283" s="7">
        <f t="shared" si="33"/>
        <v>7390.57</v>
      </c>
      <c r="P283" s="15">
        <f t="shared" si="34"/>
        <v>20.208907741251309</v>
      </c>
      <c r="Q283" s="7">
        <f>J283*'Model inputs'!$B$8</f>
        <v>943.00000000000068</v>
      </c>
      <c r="R283" s="1" t="s">
        <v>162</v>
      </c>
      <c r="S283" s="1">
        <v>269</v>
      </c>
      <c r="T283" s="1">
        <v>288</v>
      </c>
    </row>
    <row r="284" spans="1:20" ht="21" customHeight="1">
      <c r="A284" s="8">
        <v>46276</v>
      </c>
      <c r="B284" s="1" t="s">
        <v>34</v>
      </c>
      <c r="C284" s="1" t="s">
        <v>90</v>
      </c>
      <c r="D284" s="7">
        <v>6600</v>
      </c>
      <c r="E284" s="7">
        <v>6800</v>
      </c>
      <c r="F284" s="7">
        <v>7000</v>
      </c>
      <c r="G284" s="7">
        <f>'Option source'!B730</f>
        <v>152.55000000000001</v>
      </c>
      <c r="H284" s="7">
        <f>'Option source'!B749</f>
        <v>222.83</v>
      </c>
      <c r="I284" s="7">
        <f>'Option source'!B768</f>
        <v>308.63</v>
      </c>
      <c r="J284" s="7">
        <f t="shared" si="28"/>
        <v>15.519999999999982</v>
      </c>
      <c r="K284" s="7">
        <f t="shared" si="29"/>
        <v>200</v>
      </c>
      <c r="L284" s="7">
        <f t="shared" si="30"/>
        <v>184.48000000000002</v>
      </c>
      <c r="M284" s="7">
        <f t="shared" si="31"/>
        <v>15.519999999999982</v>
      </c>
      <c r="N284" s="7">
        <f t="shared" si="32"/>
        <v>6615.52</v>
      </c>
      <c r="O284" s="7">
        <f t="shared" si="33"/>
        <v>6984.48</v>
      </c>
      <c r="P284" s="15">
        <f t="shared" si="34"/>
        <v>11.886597938144345</v>
      </c>
      <c r="Q284" s="7">
        <f>J284*'Model inputs'!$B$8</f>
        <v>1551.9999999999982</v>
      </c>
      <c r="R284" s="1" t="s">
        <v>162</v>
      </c>
      <c r="S284" s="1">
        <v>725</v>
      </c>
      <c r="T284" s="1">
        <v>744</v>
      </c>
    </row>
    <row r="285" spans="1:20" ht="21" customHeight="1">
      <c r="A285" s="8">
        <v>46276</v>
      </c>
      <c r="B285" s="1" t="s">
        <v>34</v>
      </c>
      <c r="C285" s="1" t="s">
        <v>90</v>
      </c>
      <c r="D285" s="7">
        <v>7000</v>
      </c>
      <c r="E285" s="7">
        <v>7200</v>
      </c>
      <c r="F285" s="7">
        <v>7400</v>
      </c>
      <c r="G285" s="7">
        <f>'Option source'!B768</f>
        <v>308.63</v>
      </c>
      <c r="H285" s="7">
        <f>'Option source'!B787</f>
        <v>409.22</v>
      </c>
      <c r="I285" s="7">
        <f>'Option source'!B806</f>
        <v>528.03</v>
      </c>
      <c r="J285" s="7">
        <f t="shared" si="28"/>
        <v>18.219999999999914</v>
      </c>
      <c r="K285" s="7">
        <f t="shared" si="29"/>
        <v>200</v>
      </c>
      <c r="L285" s="7">
        <f t="shared" si="30"/>
        <v>181.78000000000009</v>
      </c>
      <c r="M285" s="7">
        <f t="shared" si="31"/>
        <v>18.219999999999914</v>
      </c>
      <c r="N285" s="7">
        <f t="shared" si="32"/>
        <v>7018.22</v>
      </c>
      <c r="O285" s="7">
        <f t="shared" si="33"/>
        <v>7381.78</v>
      </c>
      <c r="P285" s="15">
        <f t="shared" si="34"/>
        <v>9.9769484083425333</v>
      </c>
      <c r="Q285" s="7">
        <f>J285*'Model inputs'!$B$8</f>
        <v>1821.9999999999914</v>
      </c>
      <c r="R285" s="1" t="s">
        <v>162</v>
      </c>
      <c r="S285" s="1">
        <v>763</v>
      </c>
      <c r="T285" s="1">
        <v>782</v>
      </c>
    </row>
    <row r="286" spans="1:20" ht="21" customHeight="1">
      <c r="A286" s="8">
        <v>46276</v>
      </c>
      <c r="B286" s="1" t="s">
        <v>34</v>
      </c>
      <c r="C286" s="1" t="s">
        <v>87</v>
      </c>
      <c r="D286" s="7">
        <v>6400</v>
      </c>
      <c r="E286" s="7">
        <v>6600</v>
      </c>
      <c r="F286" s="7">
        <v>6800</v>
      </c>
      <c r="G286" s="7">
        <f>'Option source'!B217</f>
        <v>830</v>
      </c>
      <c r="H286" s="7">
        <f>'Option source'!B236</f>
        <v>663.81</v>
      </c>
      <c r="I286" s="7">
        <f>'Option source'!B255</f>
        <v>544.29</v>
      </c>
      <c r="J286" s="7">
        <f t="shared" si="28"/>
        <v>46.670000000000073</v>
      </c>
      <c r="K286" s="7">
        <f t="shared" si="29"/>
        <v>200</v>
      </c>
      <c r="L286" s="7">
        <f t="shared" si="30"/>
        <v>153.32999999999993</v>
      </c>
      <c r="M286" s="7">
        <f t="shared" si="31"/>
        <v>46.670000000000073</v>
      </c>
      <c r="N286" s="7">
        <f t="shared" si="32"/>
        <v>6446.67</v>
      </c>
      <c r="O286" s="7">
        <f t="shared" si="33"/>
        <v>6753.33</v>
      </c>
      <c r="P286" s="15">
        <f t="shared" si="34"/>
        <v>3.2854081851296271</v>
      </c>
      <c r="Q286" s="7">
        <f>J286*'Model inputs'!$B$8</f>
        <v>4667.0000000000073</v>
      </c>
      <c r="R286" s="1" t="s">
        <v>162</v>
      </c>
      <c r="S286" s="1">
        <v>212</v>
      </c>
      <c r="T286" s="1">
        <v>231</v>
      </c>
    </row>
    <row r="287" spans="1:20" ht="21" customHeight="1">
      <c r="A287" s="8">
        <v>46276</v>
      </c>
      <c r="B287" s="1" t="s">
        <v>34</v>
      </c>
      <c r="C287" s="1" t="s">
        <v>87</v>
      </c>
      <c r="D287" s="7">
        <v>7200</v>
      </c>
      <c r="E287" s="7">
        <v>7400</v>
      </c>
      <c r="F287" s="7">
        <v>7600</v>
      </c>
      <c r="G287" s="7">
        <f>'Option source'!B293</f>
        <v>345.7</v>
      </c>
      <c r="H287" s="7">
        <f>'Option source'!B312</f>
        <v>262.49</v>
      </c>
      <c r="I287" s="7">
        <f>'Option source'!B331</f>
        <v>198.58</v>
      </c>
      <c r="J287" s="7">
        <f t="shared" si="28"/>
        <v>19.299999999999983</v>
      </c>
      <c r="K287" s="7">
        <f t="shared" si="29"/>
        <v>200</v>
      </c>
      <c r="L287" s="7">
        <f t="shared" si="30"/>
        <v>180.70000000000002</v>
      </c>
      <c r="M287" s="7">
        <f t="shared" si="31"/>
        <v>19.299999999999983</v>
      </c>
      <c r="N287" s="7">
        <f t="shared" si="32"/>
        <v>7219.3</v>
      </c>
      <c r="O287" s="7">
        <f t="shared" si="33"/>
        <v>7580.7</v>
      </c>
      <c r="P287" s="15">
        <f t="shared" si="34"/>
        <v>9.3626943005181431</v>
      </c>
      <c r="Q287" s="7">
        <f>J287*'Model inputs'!$B$8</f>
        <v>1929.9999999999982</v>
      </c>
      <c r="R287" s="1" t="s">
        <v>162</v>
      </c>
      <c r="S287" s="1">
        <v>288</v>
      </c>
      <c r="T287" s="1">
        <v>307</v>
      </c>
    </row>
    <row r="288" spans="1:20" ht="21" customHeight="1">
      <c r="A288" s="8">
        <v>46276</v>
      </c>
      <c r="B288" s="1" t="s">
        <v>34</v>
      </c>
      <c r="C288" s="1" t="s">
        <v>90</v>
      </c>
      <c r="D288" s="7">
        <v>6400</v>
      </c>
      <c r="E288" s="7">
        <v>6600</v>
      </c>
      <c r="F288" s="7">
        <v>6800</v>
      </c>
      <c r="G288" s="7">
        <f>'Option source'!B711</f>
        <v>95.07</v>
      </c>
      <c r="H288" s="7">
        <f>'Option source'!B730</f>
        <v>152.55000000000001</v>
      </c>
      <c r="I288" s="7">
        <f>'Option source'!B749</f>
        <v>222.83</v>
      </c>
      <c r="J288" s="7">
        <f t="shared" si="28"/>
        <v>12.799999999999983</v>
      </c>
      <c r="K288" s="7">
        <f t="shared" si="29"/>
        <v>200</v>
      </c>
      <c r="L288" s="7">
        <f t="shared" si="30"/>
        <v>187.20000000000002</v>
      </c>
      <c r="M288" s="7">
        <f t="shared" si="31"/>
        <v>12.799999999999983</v>
      </c>
      <c r="N288" s="7">
        <f t="shared" si="32"/>
        <v>6412.8</v>
      </c>
      <c r="O288" s="7">
        <f t="shared" si="33"/>
        <v>6787.2</v>
      </c>
      <c r="P288" s="15">
        <f t="shared" si="34"/>
        <v>14.625000000000021</v>
      </c>
      <c r="Q288" s="7">
        <f>J288*'Model inputs'!$B$8</f>
        <v>1279.9999999999982</v>
      </c>
      <c r="R288" s="1" t="s">
        <v>162</v>
      </c>
      <c r="S288" s="1">
        <v>706</v>
      </c>
      <c r="T288" s="1">
        <v>725</v>
      </c>
    </row>
    <row r="289" spans="1:20" ht="21" customHeight="1">
      <c r="A289" s="8">
        <v>46276</v>
      </c>
      <c r="B289" s="1" t="s">
        <v>34</v>
      </c>
      <c r="C289" s="1" t="s">
        <v>90</v>
      </c>
      <c r="D289" s="7">
        <v>7200</v>
      </c>
      <c r="E289" s="7">
        <v>7400</v>
      </c>
      <c r="F289" s="7">
        <v>7600</v>
      </c>
      <c r="G289" s="7">
        <f>'Option source'!B787</f>
        <v>409.22</v>
      </c>
      <c r="H289" s="7">
        <f>'Option source'!B806</f>
        <v>528.03</v>
      </c>
      <c r="I289" s="7">
        <f>'Option source'!B825</f>
        <v>658.65</v>
      </c>
      <c r="J289" s="7">
        <f t="shared" si="28"/>
        <v>11.810000000000059</v>
      </c>
      <c r="K289" s="7">
        <f t="shared" si="29"/>
        <v>200</v>
      </c>
      <c r="L289" s="7">
        <f t="shared" si="30"/>
        <v>188.18999999999994</v>
      </c>
      <c r="M289" s="7">
        <f t="shared" si="31"/>
        <v>11.810000000000059</v>
      </c>
      <c r="N289" s="7">
        <f t="shared" si="32"/>
        <v>7211.81</v>
      </c>
      <c r="O289" s="7">
        <f t="shared" si="33"/>
        <v>7588.19</v>
      </c>
      <c r="P289" s="15">
        <f t="shared" si="34"/>
        <v>15.934801016087976</v>
      </c>
      <c r="Q289" s="7">
        <f>J289*'Model inputs'!$B$8</f>
        <v>1181.0000000000059</v>
      </c>
      <c r="R289" s="1" t="s">
        <v>162</v>
      </c>
      <c r="S289" s="1">
        <v>782</v>
      </c>
      <c r="T289" s="1">
        <v>801</v>
      </c>
    </row>
    <row r="290" spans="1:20" ht="21" customHeight="1">
      <c r="A290" s="8">
        <v>46276</v>
      </c>
      <c r="B290" s="1" t="s">
        <v>34</v>
      </c>
      <c r="C290" s="1" t="s">
        <v>87</v>
      </c>
      <c r="D290" s="7">
        <v>7400</v>
      </c>
      <c r="E290" s="7">
        <v>7600</v>
      </c>
      <c r="F290" s="7">
        <v>7800</v>
      </c>
      <c r="G290" s="7">
        <f>'Option source'!B312</f>
        <v>262.49</v>
      </c>
      <c r="H290" s="7">
        <f>'Option source'!B331</f>
        <v>198.58</v>
      </c>
      <c r="I290" s="7">
        <f>'Option source'!B350</f>
        <v>147.07</v>
      </c>
      <c r="J290" s="7">
        <f t="shared" si="28"/>
        <v>12.399999999999977</v>
      </c>
      <c r="K290" s="7">
        <f t="shared" si="29"/>
        <v>200</v>
      </c>
      <c r="L290" s="7">
        <f t="shared" si="30"/>
        <v>187.60000000000002</v>
      </c>
      <c r="M290" s="7">
        <f t="shared" si="31"/>
        <v>12.399999999999977</v>
      </c>
      <c r="N290" s="7">
        <f t="shared" si="32"/>
        <v>7412.4</v>
      </c>
      <c r="O290" s="7">
        <f t="shared" si="33"/>
        <v>7787.6</v>
      </c>
      <c r="P290" s="15">
        <f t="shared" si="34"/>
        <v>15.129032258064546</v>
      </c>
      <c r="Q290" s="7">
        <f>J290*'Model inputs'!$B$8</f>
        <v>1239.9999999999977</v>
      </c>
      <c r="R290" s="1" t="s">
        <v>162</v>
      </c>
      <c r="S290" s="1">
        <v>307</v>
      </c>
      <c r="T290" s="1">
        <v>326</v>
      </c>
    </row>
    <row r="291" spans="1:20" ht="21" customHeight="1">
      <c r="A291" s="8">
        <v>46276</v>
      </c>
      <c r="B291" s="1" t="s">
        <v>34</v>
      </c>
      <c r="C291" s="1" t="s">
        <v>90</v>
      </c>
      <c r="D291" s="7">
        <v>6200</v>
      </c>
      <c r="E291" s="7">
        <v>6400</v>
      </c>
      <c r="F291" s="7">
        <v>6600</v>
      </c>
      <c r="G291" s="7">
        <f>'Option source'!B692</f>
        <v>62.2</v>
      </c>
      <c r="H291" s="7">
        <f>'Option source'!B711</f>
        <v>95.07</v>
      </c>
      <c r="I291" s="7">
        <f>'Option source'!B730</f>
        <v>152.55000000000001</v>
      </c>
      <c r="J291" s="7">
        <f t="shared" si="28"/>
        <v>24.610000000000028</v>
      </c>
      <c r="K291" s="7">
        <f t="shared" si="29"/>
        <v>200</v>
      </c>
      <c r="L291" s="7">
        <f t="shared" si="30"/>
        <v>175.39</v>
      </c>
      <c r="M291" s="7">
        <f t="shared" si="31"/>
        <v>24.610000000000028</v>
      </c>
      <c r="N291" s="7">
        <f t="shared" si="32"/>
        <v>6224.61</v>
      </c>
      <c r="O291" s="7">
        <f t="shared" si="33"/>
        <v>6575.39</v>
      </c>
      <c r="P291" s="15">
        <f t="shared" si="34"/>
        <v>7.1267777326290043</v>
      </c>
      <c r="Q291" s="7">
        <f>J291*'Model inputs'!$B$8</f>
        <v>2461.0000000000027</v>
      </c>
      <c r="R291" s="1" t="s">
        <v>162</v>
      </c>
      <c r="S291" s="1">
        <v>687</v>
      </c>
      <c r="T291" s="1">
        <v>706</v>
      </c>
    </row>
    <row r="292" spans="1:20" ht="21" customHeight="1">
      <c r="A292" s="8">
        <v>46276</v>
      </c>
      <c r="B292" s="1" t="s">
        <v>34</v>
      </c>
      <c r="C292" s="1" t="s">
        <v>87</v>
      </c>
      <c r="D292" s="7">
        <v>7600</v>
      </c>
      <c r="E292" s="7">
        <v>7800</v>
      </c>
      <c r="F292" s="7">
        <v>8000</v>
      </c>
      <c r="G292" s="7">
        <f>'Option source'!B331</f>
        <v>198.58</v>
      </c>
      <c r="H292" s="7">
        <f>'Option source'!B350</f>
        <v>147.07</v>
      </c>
      <c r="I292" s="7">
        <f>'Option source'!B369</f>
        <v>109.14</v>
      </c>
      <c r="J292" s="7">
        <f t="shared" si="28"/>
        <v>13.580000000000027</v>
      </c>
      <c r="K292" s="7">
        <f t="shared" si="29"/>
        <v>200</v>
      </c>
      <c r="L292" s="7">
        <f t="shared" si="30"/>
        <v>186.41999999999996</v>
      </c>
      <c r="M292" s="7">
        <f t="shared" si="31"/>
        <v>13.580000000000027</v>
      </c>
      <c r="N292" s="7">
        <f t="shared" si="32"/>
        <v>7613.58</v>
      </c>
      <c r="O292" s="7">
        <f t="shared" si="33"/>
        <v>7986.42</v>
      </c>
      <c r="P292" s="15">
        <f t="shared" si="34"/>
        <v>13.727540500736348</v>
      </c>
      <c r="Q292" s="7">
        <f>J292*'Model inputs'!$B$8</f>
        <v>1358.0000000000027</v>
      </c>
      <c r="R292" s="1" t="s">
        <v>162</v>
      </c>
      <c r="S292" s="1">
        <v>326</v>
      </c>
      <c r="T292" s="1">
        <v>345</v>
      </c>
    </row>
    <row r="293" spans="1:20" ht="21" customHeight="1">
      <c r="A293" s="8">
        <v>46276</v>
      </c>
      <c r="B293" s="1" t="s">
        <v>34</v>
      </c>
      <c r="C293" s="1" t="s">
        <v>90</v>
      </c>
      <c r="D293" s="7">
        <v>6000</v>
      </c>
      <c r="E293" s="7">
        <v>6200</v>
      </c>
      <c r="F293" s="7">
        <v>6400</v>
      </c>
      <c r="G293" s="7">
        <f>'Option source'!B673</f>
        <v>35.590000000000003</v>
      </c>
      <c r="H293" s="7">
        <f>'Option source'!B692</f>
        <v>62.2</v>
      </c>
      <c r="I293" s="7">
        <f>'Option source'!B711</f>
        <v>95.07</v>
      </c>
      <c r="J293" s="7">
        <f t="shared" si="28"/>
        <v>6.2599999999999909</v>
      </c>
      <c r="K293" s="7">
        <f t="shared" si="29"/>
        <v>200</v>
      </c>
      <c r="L293" s="7">
        <f t="shared" si="30"/>
        <v>193.74</v>
      </c>
      <c r="M293" s="7">
        <f t="shared" si="31"/>
        <v>6.2599999999999909</v>
      </c>
      <c r="N293" s="7">
        <f t="shared" si="32"/>
        <v>6006.26</v>
      </c>
      <c r="O293" s="7">
        <f t="shared" si="33"/>
        <v>6393.74</v>
      </c>
      <c r="P293" s="15">
        <f t="shared" si="34"/>
        <v>30.948881789137427</v>
      </c>
      <c r="Q293" s="7">
        <f>J293*'Model inputs'!$B$8</f>
        <v>625.99999999999909</v>
      </c>
      <c r="R293" s="1" t="s">
        <v>162</v>
      </c>
      <c r="S293" s="1">
        <v>668</v>
      </c>
      <c r="T293" s="1">
        <v>687</v>
      </c>
    </row>
    <row r="294" spans="1:20" ht="21" customHeight="1">
      <c r="A294" s="8">
        <v>46276</v>
      </c>
      <c r="B294" s="1" t="s">
        <v>34</v>
      </c>
      <c r="C294" s="1" t="s">
        <v>90</v>
      </c>
      <c r="D294" s="7">
        <v>5800</v>
      </c>
      <c r="E294" s="7">
        <v>6000</v>
      </c>
      <c r="F294" s="7">
        <v>6200</v>
      </c>
      <c r="G294" s="7">
        <f>'Option source'!B654</f>
        <v>20.5</v>
      </c>
      <c r="H294" s="7">
        <f>'Option source'!B673</f>
        <v>35.590000000000003</v>
      </c>
      <c r="I294" s="7">
        <f>'Option source'!B692</f>
        <v>62.2</v>
      </c>
      <c r="J294" s="7">
        <f t="shared" si="28"/>
        <v>11.519999999999996</v>
      </c>
      <c r="K294" s="7">
        <f t="shared" si="29"/>
        <v>200</v>
      </c>
      <c r="L294" s="7">
        <f t="shared" si="30"/>
        <v>188.48000000000002</v>
      </c>
      <c r="M294" s="7">
        <f t="shared" si="31"/>
        <v>11.519999999999996</v>
      </c>
      <c r="N294" s="7">
        <f t="shared" si="32"/>
        <v>5811.52</v>
      </c>
      <c r="O294" s="7">
        <f t="shared" si="33"/>
        <v>6188.48</v>
      </c>
      <c r="P294" s="15">
        <f t="shared" si="34"/>
        <v>16.361111111111118</v>
      </c>
      <c r="Q294" s="7">
        <f>J294*'Model inputs'!$B$8</f>
        <v>1151.9999999999995</v>
      </c>
      <c r="R294" s="1" t="s">
        <v>162</v>
      </c>
      <c r="S294" s="1">
        <v>649</v>
      </c>
      <c r="T294" s="1">
        <v>668</v>
      </c>
    </row>
    <row r="295" spans="1:20" ht="21" customHeight="1">
      <c r="A295" s="8">
        <v>46276</v>
      </c>
      <c r="B295" s="1" t="s">
        <v>34</v>
      </c>
      <c r="C295" s="1" t="s">
        <v>90</v>
      </c>
      <c r="D295" s="7">
        <v>5600</v>
      </c>
      <c r="E295" s="7">
        <v>5800</v>
      </c>
      <c r="F295" s="7">
        <v>6000</v>
      </c>
      <c r="G295" s="7">
        <f>'Option source'!B635</f>
        <v>10.74</v>
      </c>
      <c r="H295" s="7">
        <f>'Option source'!B654</f>
        <v>20.5</v>
      </c>
      <c r="I295" s="7">
        <f>'Option source'!B673</f>
        <v>35.590000000000003</v>
      </c>
      <c r="J295" s="7">
        <f t="shared" si="28"/>
        <v>5.3300000000000054</v>
      </c>
      <c r="K295" s="7">
        <f t="shared" si="29"/>
        <v>200</v>
      </c>
      <c r="L295" s="7">
        <f t="shared" si="30"/>
        <v>194.67</v>
      </c>
      <c r="M295" s="7">
        <f t="shared" si="31"/>
        <v>5.3300000000000054</v>
      </c>
      <c r="N295" s="7">
        <f t="shared" si="32"/>
        <v>5605.33</v>
      </c>
      <c r="O295" s="7">
        <f t="shared" si="33"/>
        <v>5994.67</v>
      </c>
      <c r="P295" s="15">
        <f t="shared" si="34"/>
        <v>36.523452157598463</v>
      </c>
      <c r="Q295" s="7">
        <f>J295*'Model inputs'!$B$8</f>
        <v>533.00000000000057</v>
      </c>
      <c r="R295" s="1" t="s">
        <v>162</v>
      </c>
      <c r="S295" s="1">
        <v>630</v>
      </c>
      <c r="T295" s="1">
        <v>649</v>
      </c>
    </row>
    <row r="296" spans="1:20" ht="21" customHeight="1">
      <c r="A296" s="8">
        <v>46276</v>
      </c>
      <c r="B296" s="1" t="s">
        <v>34</v>
      </c>
      <c r="C296" s="1" t="s">
        <v>87</v>
      </c>
      <c r="D296" s="7">
        <v>8000</v>
      </c>
      <c r="E296" s="7">
        <v>8300</v>
      </c>
      <c r="F296" s="7">
        <v>8600</v>
      </c>
      <c r="G296" s="7">
        <f>'Option source'!B369</f>
        <v>109.14</v>
      </c>
      <c r="H296" s="7">
        <f>'Option source'!B388</f>
        <v>66.81</v>
      </c>
      <c r="I296" s="7">
        <f>'Option source'!B407</f>
        <v>38.76</v>
      </c>
      <c r="J296" s="7">
        <f t="shared" si="28"/>
        <v>14.279999999999994</v>
      </c>
      <c r="K296" s="7">
        <f t="shared" si="29"/>
        <v>300</v>
      </c>
      <c r="L296" s="7">
        <f t="shared" si="30"/>
        <v>285.72000000000003</v>
      </c>
      <c r="M296" s="7">
        <f t="shared" si="31"/>
        <v>14.279999999999994</v>
      </c>
      <c r="N296" s="7">
        <f t="shared" si="32"/>
        <v>8014.28</v>
      </c>
      <c r="O296" s="7">
        <f t="shared" si="33"/>
        <v>8585.7199999999993</v>
      </c>
      <c r="P296" s="15">
        <f t="shared" si="34"/>
        <v>20.008403361344548</v>
      </c>
      <c r="Q296" s="7">
        <f>J296*'Model inputs'!$B$8</f>
        <v>1427.9999999999993</v>
      </c>
      <c r="R296" s="1" t="s">
        <v>162</v>
      </c>
      <c r="S296" s="1">
        <v>364</v>
      </c>
      <c r="T296" s="1">
        <v>383</v>
      </c>
    </row>
    <row r="297" spans="1:20" ht="21" customHeight="1">
      <c r="A297" s="8">
        <v>46276</v>
      </c>
      <c r="B297" s="1" t="s">
        <v>34</v>
      </c>
      <c r="C297" s="1" t="s">
        <v>90</v>
      </c>
      <c r="D297" s="7">
        <v>5400</v>
      </c>
      <c r="E297" s="7">
        <v>5600</v>
      </c>
      <c r="F297" s="7">
        <v>5800</v>
      </c>
      <c r="G297" s="7">
        <f>'Option source'!B616</f>
        <v>5.84</v>
      </c>
      <c r="H297" s="7">
        <f>'Option source'!B635</f>
        <v>10.74</v>
      </c>
      <c r="I297" s="7">
        <f>'Option source'!B654</f>
        <v>20.5</v>
      </c>
      <c r="J297" s="7">
        <f t="shared" si="28"/>
        <v>4.8599999999999994</v>
      </c>
      <c r="K297" s="7">
        <f t="shared" si="29"/>
        <v>200</v>
      </c>
      <c r="L297" s="7">
        <f t="shared" si="30"/>
        <v>195.14</v>
      </c>
      <c r="M297" s="7">
        <f t="shared" si="31"/>
        <v>4.8599999999999994</v>
      </c>
      <c r="N297" s="7">
        <f t="shared" si="32"/>
        <v>5404.86</v>
      </c>
      <c r="O297" s="7">
        <f t="shared" si="33"/>
        <v>5795.14</v>
      </c>
      <c r="P297" s="15">
        <f t="shared" si="34"/>
        <v>40.152263374485599</v>
      </c>
      <c r="Q297" s="7">
        <f>J297*'Model inputs'!$B$8</f>
        <v>485.99999999999994</v>
      </c>
      <c r="R297" s="1" t="s">
        <v>162</v>
      </c>
      <c r="S297" s="1">
        <v>611</v>
      </c>
      <c r="T297" s="1">
        <v>630</v>
      </c>
    </row>
    <row r="298" spans="1:20" ht="21" customHeight="1">
      <c r="A298" s="8">
        <v>46276</v>
      </c>
      <c r="B298" s="1" t="s">
        <v>34</v>
      </c>
      <c r="C298" s="1" t="s">
        <v>87</v>
      </c>
      <c r="D298" s="7">
        <v>8300</v>
      </c>
      <c r="E298" s="7">
        <v>8600</v>
      </c>
      <c r="F298" s="7">
        <v>8900</v>
      </c>
      <c r="G298" s="7">
        <f>'Option source'!B388</f>
        <v>66.81</v>
      </c>
      <c r="H298" s="7">
        <f>'Option source'!B407</f>
        <v>38.76</v>
      </c>
      <c r="I298" s="7">
        <f>'Option source'!B426</f>
        <v>22.19</v>
      </c>
      <c r="J298" s="7">
        <f t="shared" si="28"/>
        <v>11.480000000000008</v>
      </c>
      <c r="K298" s="7">
        <f t="shared" si="29"/>
        <v>300</v>
      </c>
      <c r="L298" s="7">
        <f t="shared" si="30"/>
        <v>288.52</v>
      </c>
      <c r="M298" s="7">
        <f t="shared" si="31"/>
        <v>11.480000000000008</v>
      </c>
      <c r="N298" s="7">
        <f t="shared" si="32"/>
        <v>8311.48</v>
      </c>
      <c r="O298" s="7">
        <f t="shared" si="33"/>
        <v>8888.52</v>
      </c>
      <c r="P298" s="15">
        <f t="shared" si="34"/>
        <v>25.132404181184651</v>
      </c>
      <c r="Q298" s="7">
        <f>J298*'Model inputs'!$B$8</f>
        <v>1148.0000000000007</v>
      </c>
      <c r="R298" s="1" t="s">
        <v>162</v>
      </c>
      <c r="S298" s="1">
        <v>383</v>
      </c>
      <c r="T298" s="1">
        <v>402</v>
      </c>
    </row>
    <row r="299" spans="1:20" ht="21" customHeight="1">
      <c r="A299" s="8">
        <v>46276</v>
      </c>
      <c r="B299" s="1" t="s">
        <v>34</v>
      </c>
      <c r="C299" s="1" t="s">
        <v>90</v>
      </c>
      <c r="D299" s="7">
        <v>5200</v>
      </c>
      <c r="E299" s="7">
        <v>5400</v>
      </c>
      <c r="F299" s="7">
        <v>5600</v>
      </c>
      <c r="G299" s="7">
        <f>'Option source'!B597</f>
        <v>3.1</v>
      </c>
      <c r="H299" s="7">
        <f>'Option source'!B616</f>
        <v>5.84</v>
      </c>
      <c r="I299" s="7">
        <f>'Option source'!B635</f>
        <v>10.74</v>
      </c>
      <c r="J299" s="7">
        <f t="shared" si="28"/>
        <v>2.16</v>
      </c>
      <c r="K299" s="7">
        <f t="shared" si="29"/>
        <v>200</v>
      </c>
      <c r="L299" s="7">
        <f t="shared" si="30"/>
        <v>197.84</v>
      </c>
      <c r="M299" s="7">
        <f t="shared" si="31"/>
        <v>2.16</v>
      </c>
      <c r="N299" s="7">
        <f t="shared" si="32"/>
        <v>5202.16</v>
      </c>
      <c r="O299" s="7">
        <f t="shared" si="33"/>
        <v>5597.84</v>
      </c>
      <c r="P299" s="15">
        <f t="shared" si="34"/>
        <v>91.592592592592595</v>
      </c>
      <c r="Q299" s="7">
        <f>J299*'Model inputs'!$B$8</f>
        <v>216</v>
      </c>
      <c r="R299" s="1" t="s">
        <v>162</v>
      </c>
      <c r="S299" s="1">
        <v>592</v>
      </c>
      <c r="T299" s="1">
        <v>611</v>
      </c>
    </row>
    <row r="300" spans="1:20" ht="21" customHeight="1">
      <c r="A300" s="8">
        <v>46276</v>
      </c>
      <c r="B300" s="1" t="s">
        <v>34</v>
      </c>
      <c r="C300" s="1" t="s">
        <v>90</v>
      </c>
      <c r="D300" s="7">
        <v>5000</v>
      </c>
      <c r="E300" s="7">
        <v>5200</v>
      </c>
      <c r="F300" s="7">
        <v>5400</v>
      </c>
      <c r="G300" s="7">
        <f>'Option source'!B578</f>
        <v>2.15</v>
      </c>
      <c r="H300" s="7">
        <f>'Option source'!B597</f>
        <v>3.1</v>
      </c>
      <c r="I300" s="7">
        <f>'Option source'!B616</f>
        <v>5.84</v>
      </c>
      <c r="J300" s="7">
        <f t="shared" si="28"/>
        <v>1.7899999999999991</v>
      </c>
      <c r="K300" s="7">
        <f t="shared" si="29"/>
        <v>200</v>
      </c>
      <c r="L300" s="7">
        <f t="shared" si="30"/>
        <v>198.21</v>
      </c>
      <c r="M300" s="7">
        <f t="shared" si="31"/>
        <v>1.7899999999999991</v>
      </c>
      <c r="N300" s="7">
        <f t="shared" si="32"/>
        <v>5001.79</v>
      </c>
      <c r="O300" s="7">
        <f t="shared" si="33"/>
        <v>5398.21</v>
      </c>
      <c r="P300" s="15">
        <f t="shared" si="34"/>
        <v>110.73184357541905</v>
      </c>
      <c r="Q300" s="7">
        <f>J300*'Model inputs'!$B$8</f>
        <v>178.99999999999991</v>
      </c>
      <c r="R300" s="1" t="s">
        <v>162</v>
      </c>
      <c r="S300" s="1">
        <v>573</v>
      </c>
      <c r="T300" s="1">
        <v>592</v>
      </c>
    </row>
    <row r="301" spans="1:20" ht="21" customHeight="1">
      <c r="A301" s="8">
        <v>46276</v>
      </c>
      <c r="B301" s="1" t="s">
        <v>34</v>
      </c>
      <c r="C301" s="1" t="s">
        <v>87</v>
      </c>
      <c r="D301" s="7">
        <v>8600</v>
      </c>
      <c r="E301" s="7">
        <v>8900</v>
      </c>
      <c r="F301" s="7">
        <v>9200</v>
      </c>
      <c r="G301" s="7">
        <f>'Option source'!B407</f>
        <v>38.76</v>
      </c>
      <c r="H301" s="7">
        <f>'Option source'!B426</f>
        <v>22.19</v>
      </c>
      <c r="I301" s="7">
        <f>'Option source'!B445</f>
        <v>13.01</v>
      </c>
      <c r="J301" s="7">
        <f t="shared" si="28"/>
        <v>7.3899999999999952</v>
      </c>
      <c r="K301" s="7">
        <f t="shared" si="29"/>
        <v>300</v>
      </c>
      <c r="L301" s="7">
        <f t="shared" si="30"/>
        <v>292.61</v>
      </c>
      <c r="M301" s="7">
        <f t="shared" si="31"/>
        <v>7.3899999999999952</v>
      </c>
      <c r="N301" s="7">
        <f t="shared" si="32"/>
        <v>8607.39</v>
      </c>
      <c r="O301" s="7">
        <f t="shared" si="33"/>
        <v>9192.61</v>
      </c>
      <c r="P301" s="15">
        <f t="shared" si="34"/>
        <v>39.595399188092046</v>
      </c>
      <c r="Q301" s="7">
        <f>J301*'Model inputs'!$B$8</f>
        <v>738.99999999999955</v>
      </c>
      <c r="R301" s="1" t="s">
        <v>162</v>
      </c>
      <c r="S301" s="1">
        <v>402</v>
      </c>
      <c r="T301" s="1">
        <v>421</v>
      </c>
    </row>
    <row r="302" spans="1:20" ht="21" customHeight="1">
      <c r="A302" s="8">
        <v>46276</v>
      </c>
      <c r="B302" s="1" t="s">
        <v>34</v>
      </c>
      <c r="C302" s="1" t="s">
        <v>90</v>
      </c>
      <c r="D302" s="7">
        <v>4800</v>
      </c>
      <c r="E302" s="7">
        <v>5000</v>
      </c>
      <c r="F302" s="7">
        <v>5200</v>
      </c>
      <c r="G302" s="7">
        <f>'Option source'!B559</f>
        <v>1.24</v>
      </c>
      <c r="H302" s="7">
        <f>'Option source'!B578</f>
        <v>2.15</v>
      </c>
      <c r="I302" s="7">
        <f>'Option source'!B597</f>
        <v>3.1</v>
      </c>
      <c r="J302" s="7">
        <f t="shared" si="28"/>
        <v>4.000000000000048E-2</v>
      </c>
      <c r="K302" s="7">
        <f t="shared" si="29"/>
        <v>200</v>
      </c>
      <c r="L302" s="7">
        <f t="shared" si="30"/>
        <v>199.96</v>
      </c>
      <c r="M302" s="7">
        <f t="shared" si="31"/>
        <v>4.000000000000048E-2</v>
      </c>
      <c r="N302" s="7">
        <f t="shared" si="32"/>
        <v>4800.04</v>
      </c>
      <c r="O302" s="7">
        <f t="shared" si="33"/>
        <v>5199.96</v>
      </c>
      <c r="P302" s="15">
        <f t="shared" si="34"/>
        <v>4998.99999999994</v>
      </c>
      <c r="Q302" s="7">
        <f>J302*'Model inputs'!$B$8</f>
        <v>4.000000000000048</v>
      </c>
      <c r="R302" s="1" t="s">
        <v>162</v>
      </c>
      <c r="S302" s="1">
        <v>554</v>
      </c>
      <c r="T302" s="1">
        <v>573</v>
      </c>
    </row>
    <row r="303" spans="1:20" ht="21" customHeight="1">
      <c r="A303" s="8">
        <v>46276</v>
      </c>
      <c r="B303" s="1" t="s">
        <v>34</v>
      </c>
      <c r="C303" s="1" t="s">
        <v>87</v>
      </c>
      <c r="D303" s="7">
        <v>8900</v>
      </c>
      <c r="E303" s="7">
        <v>9200</v>
      </c>
      <c r="F303" s="7">
        <v>9500</v>
      </c>
      <c r="G303" s="7">
        <f>'Option source'!B426</f>
        <v>22.19</v>
      </c>
      <c r="H303" s="7">
        <f>'Option source'!B445</f>
        <v>13.01</v>
      </c>
      <c r="I303" s="7">
        <f>'Option source'!B464</f>
        <v>7.92</v>
      </c>
      <c r="J303" s="7">
        <f t="shared" si="28"/>
        <v>4.0900000000000016</v>
      </c>
      <c r="K303" s="7">
        <f t="shared" si="29"/>
        <v>300</v>
      </c>
      <c r="L303" s="7">
        <f t="shared" si="30"/>
        <v>295.91000000000003</v>
      </c>
      <c r="M303" s="7">
        <f t="shared" si="31"/>
        <v>4.0900000000000016</v>
      </c>
      <c r="N303" s="7">
        <f t="shared" si="32"/>
        <v>8904.09</v>
      </c>
      <c r="O303" s="7">
        <f t="shared" si="33"/>
        <v>9495.91</v>
      </c>
      <c r="P303" s="15">
        <f t="shared" si="34"/>
        <v>72.349633251833723</v>
      </c>
      <c r="Q303" s="7">
        <f>J303*'Model inputs'!$B$8</f>
        <v>409.00000000000017</v>
      </c>
      <c r="R303" s="1" t="s">
        <v>162</v>
      </c>
      <c r="S303" s="1">
        <v>421</v>
      </c>
      <c r="T303" s="1">
        <v>440</v>
      </c>
    </row>
    <row r="304" spans="1:20" ht="21" customHeight="1">
      <c r="A304" s="8">
        <v>46276</v>
      </c>
      <c r="B304" s="1" t="s">
        <v>34</v>
      </c>
      <c r="C304" s="1" t="s">
        <v>90</v>
      </c>
      <c r="D304" s="7">
        <v>4600</v>
      </c>
      <c r="E304" s="7">
        <v>4800</v>
      </c>
      <c r="F304" s="7">
        <v>5000</v>
      </c>
      <c r="G304" s="7">
        <f>'Option source'!B540</f>
        <v>1.1299999999999999</v>
      </c>
      <c r="H304" s="7">
        <f>'Option source'!B559</f>
        <v>1.24</v>
      </c>
      <c r="I304" s="7">
        <f>'Option source'!B578</f>
        <v>2.15</v>
      </c>
      <c r="J304" s="7">
        <f t="shared" si="28"/>
        <v>0.79999999999999982</v>
      </c>
      <c r="K304" s="7">
        <f t="shared" si="29"/>
        <v>200</v>
      </c>
      <c r="L304" s="7">
        <f t="shared" si="30"/>
        <v>199.2</v>
      </c>
      <c r="M304" s="7">
        <f t="shared" si="31"/>
        <v>0.79999999999999982</v>
      </c>
      <c r="N304" s="7">
        <f t="shared" si="32"/>
        <v>4600.8</v>
      </c>
      <c r="O304" s="7">
        <f t="shared" si="33"/>
        <v>4999.2</v>
      </c>
      <c r="P304" s="15">
        <f t="shared" si="34"/>
        <v>249.00000000000003</v>
      </c>
      <c r="Q304" s="7">
        <f>J304*'Model inputs'!$B$8</f>
        <v>79.999999999999986</v>
      </c>
      <c r="R304" s="1" t="s">
        <v>162</v>
      </c>
      <c r="S304" s="1">
        <v>535</v>
      </c>
      <c r="T304" s="1">
        <v>554</v>
      </c>
    </row>
    <row r="305" spans="1:20" ht="21" customHeight="1">
      <c r="A305" s="8">
        <v>46276</v>
      </c>
      <c r="B305" s="1" t="s">
        <v>34</v>
      </c>
      <c r="C305" s="1" t="s">
        <v>87</v>
      </c>
      <c r="D305" s="7">
        <v>6200</v>
      </c>
      <c r="E305" s="7">
        <v>6400</v>
      </c>
      <c r="F305" s="7">
        <v>6600</v>
      </c>
      <c r="G305" s="7">
        <f>'Option source'!B198</f>
        <v>941.05</v>
      </c>
      <c r="H305" s="7">
        <f>'Option source'!B217</f>
        <v>830</v>
      </c>
      <c r="I305" s="7">
        <f>'Option source'!B236</f>
        <v>663.81</v>
      </c>
      <c r="J305" s="7">
        <f t="shared" si="28"/>
        <v>-55.1400000000001</v>
      </c>
      <c r="K305" s="7">
        <f t="shared" si="29"/>
        <v>200</v>
      </c>
      <c r="L305" s="7">
        <f t="shared" si="30"/>
        <v>255.1400000000001</v>
      </c>
      <c r="M305" s="7">
        <f t="shared" si="31"/>
        <v>0</v>
      </c>
      <c r="N305" s="7" t="str">
        <f t="shared" si="32"/>
        <v>n.a.</v>
      </c>
      <c r="O305" s="7" t="str">
        <f t="shared" si="33"/>
        <v>n.a.</v>
      </c>
      <c r="P305" s="15" t="str">
        <f t="shared" si="34"/>
        <v>n.a.</v>
      </c>
      <c r="Q305" s="7">
        <f>J305*'Model inputs'!$B$8</f>
        <v>-5514.00000000001</v>
      </c>
      <c r="R305" s="1" t="s">
        <v>163</v>
      </c>
      <c r="S305" s="1">
        <v>193</v>
      </c>
      <c r="T305" s="1">
        <v>212</v>
      </c>
    </row>
    <row r="306" spans="1:20" ht="21" customHeight="1">
      <c r="A306" s="8">
        <v>46276</v>
      </c>
      <c r="B306" s="1" t="s">
        <v>34</v>
      </c>
      <c r="C306" s="1" t="s">
        <v>90</v>
      </c>
      <c r="D306" s="7">
        <v>7400</v>
      </c>
      <c r="E306" s="7">
        <v>7600</v>
      </c>
      <c r="F306" s="7">
        <v>7800</v>
      </c>
      <c r="G306" s="7">
        <f>'Option source'!B806</f>
        <v>528.03</v>
      </c>
      <c r="H306" s="7">
        <f>'Option source'!B825</f>
        <v>658.65</v>
      </c>
      <c r="I306" s="7">
        <f>'Option source'!B844</f>
        <v>720</v>
      </c>
      <c r="J306" s="7">
        <f t="shared" si="28"/>
        <v>-69.269999999999982</v>
      </c>
      <c r="K306" s="7">
        <f t="shared" si="29"/>
        <v>200</v>
      </c>
      <c r="L306" s="7">
        <f t="shared" si="30"/>
        <v>269.27</v>
      </c>
      <c r="M306" s="7">
        <f t="shared" si="31"/>
        <v>0</v>
      </c>
      <c r="N306" s="7" t="str">
        <f t="shared" si="32"/>
        <v>n.a.</v>
      </c>
      <c r="O306" s="7" t="str">
        <f t="shared" si="33"/>
        <v>n.a.</v>
      </c>
      <c r="P306" s="15" t="str">
        <f t="shared" si="34"/>
        <v>n.a.</v>
      </c>
      <c r="Q306" s="7">
        <f>J306*'Model inputs'!$B$8</f>
        <v>-6926.9999999999982</v>
      </c>
      <c r="R306" s="1" t="s">
        <v>163</v>
      </c>
      <c r="S306" s="1">
        <v>801</v>
      </c>
      <c r="T306" s="1">
        <v>820</v>
      </c>
    </row>
    <row r="307" spans="1:20" ht="21" customHeight="1">
      <c r="A307" s="8">
        <v>46276</v>
      </c>
      <c r="B307" s="1" t="s">
        <v>34</v>
      </c>
      <c r="C307" s="1" t="s">
        <v>87</v>
      </c>
      <c r="D307" s="7">
        <v>6000</v>
      </c>
      <c r="E307" s="7">
        <v>6200</v>
      </c>
      <c r="F307" s="7">
        <v>6400</v>
      </c>
      <c r="G307" s="7">
        <f>'Option source'!B179</f>
        <v>1130</v>
      </c>
      <c r="H307" s="7">
        <f>'Option source'!B198</f>
        <v>941.05</v>
      </c>
      <c r="I307" s="7">
        <f>'Option source'!B217</f>
        <v>830</v>
      </c>
      <c r="J307" s="7">
        <f t="shared" si="28"/>
        <v>77.900000000000091</v>
      </c>
      <c r="K307" s="7">
        <f t="shared" si="29"/>
        <v>200</v>
      </c>
      <c r="L307" s="7">
        <f t="shared" si="30"/>
        <v>122.09999999999991</v>
      </c>
      <c r="M307" s="7">
        <f t="shared" si="31"/>
        <v>77.900000000000091</v>
      </c>
      <c r="N307" s="7">
        <f t="shared" si="32"/>
        <v>6077.9</v>
      </c>
      <c r="O307" s="7">
        <f t="shared" si="33"/>
        <v>6322.1</v>
      </c>
      <c r="P307" s="15">
        <f t="shared" si="34"/>
        <v>1.5673940949935785</v>
      </c>
      <c r="Q307" s="7">
        <f>J307*'Model inputs'!$B$8</f>
        <v>7790.0000000000091</v>
      </c>
      <c r="R307" s="1" t="s">
        <v>164</v>
      </c>
      <c r="S307" s="1">
        <v>174</v>
      </c>
      <c r="T307" s="1">
        <v>193</v>
      </c>
    </row>
    <row r="308" spans="1:20" ht="21" customHeight="1">
      <c r="A308" s="8">
        <v>46276</v>
      </c>
      <c r="B308" s="1" t="s">
        <v>34</v>
      </c>
      <c r="C308" s="1" t="s">
        <v>90</v>
      </c>
      <c r="D308" s="7">
        <v>7600</v>
      </c>
      <c r="E308" s="7">
        <v>7800</v>
      </c>
      <c r="F308" s="7">
        <v>8000</v>
      </c>
      <c r="G308" s="7">
        <f>'Option source'!B825</f>
        <v>658.65</v>
      </c>
      <c r="H308" s="7">
        <f>'Option source'!B844</f>
        <v>720</v>
      </c>
      <c r="I308" s="7">
        <f>'Option source'!B863</f>
        <v>1017.5</v>
      </c>
      <c r="J308" s="7">
        <f t="shared" si="28"/>
        <v>236.14999999999998</v>
      </c>
      <c r="K308" s="7">
        <f t="shared" si="29"/>
        <v>200</v>
      </c>
      <c r="L308" s="7">
        <f t="shared" si="30"/>
        <v>-36.149999999999977</v>
      </c>
      <c r="M308" s="7">
        <f t="shared" si="31"/>
        <v>236.14999999999998</v>
      </c>
      <c r="N308" s="7" t="str">
        <f t="shared" si="32"/>
        <v>n.a.</v>
      </c>
      <c r="O308" s="7" t="str">
        <f t="shared" si="33"/>
        <v>n.a.</v>
      </c>
      <c r="P308" s="15" t="str">
        <f t="shared" si="34"/>
        <v>n.a.</v>
      </c>
      <c r="Q308" s="7">
        <f>J308*'Model inputs'!$B$8</f>
        <v>23614.999999999996</v>
      </c>
      <c r="R308" s="1" t="s">
        <v>163</v>
      </c>
      <c r="S308" s="1">
        <v>820</v>
      </c>
      <c r="T308" s="1">
        <v>839</v>
      </c>
    </row>
    <row r="309" spans="1:20" ht="21" customHeight="1">
      <c r="A309" s="8">
        <v>46276</v>
      </c>
      <c r="B309" s="1" t="s">
        <v>34</v>
      </c>
      <c r="C309" s="1" t="s">
        <v>87</v>
      </c>
      <c r="D309" s="7">
        <v>5800</v>
      </c>
      <c r="E309" s="7">
        <v>6000</v>
      </c>
      <c r="F309" s="7">
        <v>6200</v>
      </c>
      <c r="G309" s="7">
        <f>'Option source'!B160</f>
        <v>1343.33</v>
      </c>
      <c r="H309" s="7">
        <f>'Option source'!B179</f>
        <v>1130</v>
      </c>
      <c r="I309" s="7">
        <f>'Option source'!B198</f>
        <v>941.05</v>
      </c>
      <c r="J309" s="7">
        <f t="shared" si="28"/>
        <v>24.379999999999882</v>
      </c>
      <c r="K309" s="7">
        <f t="shared" si="29"/>
        <v>200</v>
      </c>
      <c r="L309" s="7">
        <f t="shared" si="30"/>
        <v>175.62000000000012</v>
      </c>
      <c r="M309" s="7">
        <f t="shared" si="31"/>
        <v>24.379999999999882</v>
      </c>
      <c r="N309" s="7">
        <f t="shared" si="32"/>
        <v>5824.38</v>
      </c>
      <c r="O309" s="7">
        <f t="shared" si="33"/>
        <v>6175.62</v>
      </c>
      <c r="P309" s="15">
        <f t="shared" si="34"/>
        <v>7.2034454470878169</v>
      </c>
      <c r="Q309" s="7">
        <f>J309*'Model inputs'!$B$8</f>
        <v>2437.9999999999882</v>
      </c>
      <c r="R309" s="1" t="s">
        <v>164</v>
      </c>
      <c r="S309" s="1">
        <v>155</v>
      </c>
      <c r="T309" s="1">
        <v>174</v>
      </c>
    </row>
    <row r="310" spans="1:20" ht="21" customHeight="1">
      <c r="A310" s="8">
        <v>46276</v>
      </c>
      <c r="B310" s="1" t="s">
        <v>34</v>
      </c>
      <c r="C310" s="1" t="s">
        <v>87</v>
      </c>
      <c r="D310" s="7">
        <v>5600</v>
      </c>
      <c r="E310" s="7">
        <v>5800</v>
      </c>
      <c r="F310" s="7">
        <v>6000</v>
      </c>
      <c r="G310" s="7">
        <f>'Option source'!B150</f>
        <v>1490</v>
      </c>
      <c r="H310" s="7">
        <f>'Option source'!B160</f>
        <v>1343.33</v>
      </c>
      <c r="I310" s="7">
        <f>'Option source'!B179</f>
        <v>1130</v>
      </c>
      <c r="J310" s="7">
        <f t="shared" si="28"/>
        <v>-66.659999999999854</v>
      </c>
      <c r="K310" s="7">
        <f t="shared" si="29"/>
        <v>200</v>
      </c>
      <c r="L310" s="7">
        <f t="shared" si="30"/>
        <v>266.65999999999985</v>
      </c>
      <c r="M310" s="7">
        <f t="shared" si="31"/>
        <v>0</v>
      </c>
      <c r="N310" s="7" t="str">
        <f t="shared" si="32"/>
        <v>n.a.</v>
      </c>
      <c r="O310" s="7" t="str">
        <f t="shared" si="33"/>
        <v>n.a.</v>
      </c>
      <c r="P310" s="15" t="str">
        <f t="shared" si="34"/>
        <v>n.a.</v>
      </c>
      <c r="Q310" s="7">
        <f>J310*'Model inputs'!$B$8</f>
        <v>-6665.9999999999854</v>
      </c>
      <c r="R310" s="1" t="s">
        <v>163</v>
      </c>
      <c r="S310" s="1">
        <v>145</v>
      </c>
      <c r="T310" s="1">
        <v>155</v>
      </c>
    </row>
    <row r="311" spans="1:20" ht="21" customHeight="1">
      <c r="A311" s="8">
        <v>46276</v>
      </c>
      <c r="B311" s="1" t="s">
        <v>34</v>
      </c>
      <c r="C311" s="1" t="s">
        <v>90</v>
      </c>
      <c r="D311" s="7">
        <v>8000</v>
      </c>
      <c r="E311" s="7">
        <v>8300</v>
      </c>
      <c r="F311" s="7">
        <v>8600</v>
      </c>
      <c r="G311" s="7">
        <f>'Option source'!B863</f>
        <v>1017.5</v>
      </c>
      <c r="H311" s="7">
        <f>'Option source'!B882</f>
        <v>1264.67</v>
      </c>
      <c r="I311" s="7">
        <f>'Option source'!B901</f>
        <v>1600</v>
      </c>
      <c r="J311" s="7">
        <f t="shared" si="28"/>
        <v>88.159999999999854</v>
      </c>
      <c r="K311" s="7">
        <f t="shared" si="29"/>
        <v>300</v>
      </c>
      <c r="L311" s="7">
        <f t="shared" si="30"/>
        <v>211.84000000000015</v>
      </c>
      <c r="M311" s="7">
        <f t="shared" si="31"/>
        <v>88.159999999999854</v>
      </c>
      <c r="N311" s="7">
        <f t="shared" si="32"/>
        <v>8088.16</v>
      </c>
      <c r="O311" s="7">
        <f t="shared" si="33"/>
        <v>8511.84</v>
      </c>
      <c r="P311" s="15">
        <f t="shared" si="34"/>
        <v>2.402903811252274</v>
      </c>
      <c r="Q311" s="7">
        <f>J311*'Model inputs'!$B$8</f>
        <v>8815.9999999999854</v>
      </c>
      <c r="R311" s="1" t="s">
        <v>164</v>
      </c>
      <c r="S311" s="1">
        <v>858</v>
      </c>
      <c r="T311" s="1">
        <v>877</v>
      </c>
    </row>
    <row r="312" spans="1:20" ht="21" customHeight="1">
      <c r="A312" s="8">
        <v>46276</v>
      </c>
      <c r="B312" s="1" t="s">
        <v>34</v>
      </c>
      <c r="C312" s="1" t="s">
        <v>87</v>
      </c>
      <c r="D312" s="7">
        <v>5400</v>
      </c>
      <c r="E312" s="7">
        <v>5600</v>
      </c>
      <c r="F312" s="7">
        <v>5800</v>
      </c>
      <c r="G312" s="7">
        <f>'Option source'!B132</f>
        <v>1801.16</v>
      </c>
      <c r="H312" s="7">
        <f>'Option source'!B150</f>
        <v>1490</v>
      </c>
      <c r="I312" s="7">
        <f>'Option source'!B160</f>
        <v>1343.33</v>
      </c>
      <c r="J312" s="7">
        <f t="shared" si="28"/>
        <v>164.49</v>
      </c>
      <c r="K312" s="7">
        <f t="shared" si="29"/>
        <v>200</v>
      </c>
      <c r="L312" s="7">
        <f t="shared" si="30"/>
        <v>35.509999999999991</v>
      </c>
      <c r="M312" s="7">
        <f t="shared" si="31"/>
        <v>164.49</v>
      </c>
      <c r="N312" s="7">
        <f t="shared" si="32"/>
        <v>5564.49</v>
      </c>
      <c r="O312" s="7">
        <f t="shared" si="33"/>
        <v>5635.51</v>
      </c>
      <c r="P312" s="15">
        <f t="shared" si="34"/>
        <v>0.21587938476503124</v>
      </c>
      <c r="Q312" s="7">
        <f>J312*'Model inputs'!$B$8</f>
        <v>16449</v>
      </c>
      <c r="R312" s="1" t="s">
        <v>164</v>
      </c>
      <c r="S312" s="1">
        <v>127</v>
      </c>
      <c r="T312" s="1">
        <v>145</v>
      </c>
    </row>
    <row r="313" spans="1:20" ht="21" customHeight="1">
      <c r="A313" s="8">
        <v>46276</v>
      </c>
      <c r="B313" s="1" t="s">
        <v>34</v>
      </c>
      <c r="C313" s="1" t="s">
        <v>87</v>
      </c>
      <c r="D313" s="7">
        <v>5200</v>
      </c>
      <c r="E313" s="7">
        <v>5400</v>
      </c>
      <c r="F313" s="7">
        <v>5600</v>
      </c>
      <c r="G313" s="7">
        <f>'Option source'!B113</f>
        <v>1998.09</v>
      </c>
      <c r="H313" s="7">
        <f>'Option source'!B132</f>
        <v>1801.16</v>
      </c>
      <c r="I313" s="7">
        <f>'Option source'!B150</f>
        <v>1490</v>
      </c>
      <c r="J313" s="7">
        <f t="shared" si="28"/>
        <v>-114.23000000000025</v>
      </c>
      <c r="K313" s="7">
        <f t="shared" si="29"/>
        <v>200</v>
      </c>
      <c r="L313" s="7">
        <f t="shared" si="30"/>
        <v>314.23000000000025</v>
      </c>
      <c r="M313" s="7">
        <f t="shared" si="31"/>
        <v>0</v>
      </c>
      <c r="N313" s="7" t="str">
        <f t="shared" si="32"/>
        <v>n.a.</v>
      </c>
      <c r="O313" s="7" t="str">
        <f t="shared" si="33"/>
        <v>n.a.</v>
      </c>
      <c r="P313" s="15" t="str">
        <f t="shared" si="34"/>
        <v>n.a.</v>
      </c>
      <c r="Q313" s="7">
        <f>J313*'Model inputs'!$B$8</f>
        <v>-11423.000000000025</v>
      </c>
      <c r="R313" s="1" t="s">
        <v>163</v>
      </c>
      <c r="S313" s="1">
        <v>108</v>
      </c>
      <c r="T313" s="1">
        <v>127</v>
      </c>
    </row>
    <row r="314" spans="1:20" ht="21" customHeight="1">
      <c r="A314" s="8">
        <v>46276</v>
      </c>
      <c r="B314" s="1" t="s">
        <v>34</v>
      </c>
      <c r="C314" s="1" t="s">
        <v>90</v>
      </c>
      <c r="D314" s="7">
        <v>8300</v>
      </c>
      <c r="E314" s="7">
        <v>8600</v>
      </c>
      <c r="F314" s="7">
        <v>8900</v>
      </c>
      <c r="G314" s="7">
        <f>'Option source'!B882</f>
        <v>1264.67</v>
      </c>
      <c r="H314" s="7">
        <f>'Option source'!B901</f>
        <v>1600</v>
      </c>
      <c r="I314" s="7">
        <f>'Option source'!B916</f>
        <v>2022.5</v>
      </c>
      <c r="J314" s="7">
        <f t="shared" si="28"/>
        <v>87.170000000000073</v>
      </c>
      <c r="K314" s="7">
        <f t="shared" si="29"/>
        <v>300</v>
      </c>
      <c r="L314" s="7">
        <f t="shared" si="30"/>
        <v>212.82999999999993</v>
      </c>
      <c r="M314" s="7">
        <f t="shared" si="31"/>
        <v>87.170000000000073</v>
      </c>
      <c r="N314" s="7">
        <f t="shared" si="32"/>
        <v>8387.17</v>
      </c>
      <c r="O314" s="7">
        <f t="shared" si="33"/>
        <v>8812.83</v>
      </c>
      <c r="P314" s="15">
        <f t="shared" si="34"/>
        <v>2.4415509923138665</v>
      </c>
      <c r="Q314" s="7">
        <f>J314*'Model inputs'!$B$8</f>
        <v>8717.0000000000073</v>
      </c>
      <c r="R314" s="1" t="s">
        <v>164</v>
      </c>
      <c r="S314" s="1">
        <v>877</v>
      </c>
      <c r="T314" s="1">
        <v>896</v>
      </c>
    </row>
    <row r="315" spans="1:20" ht="21" customHeight="1">
      <c r="A315" s="8">
        <v>46276</v>
      </c>
      <c r="B315" s="1" t="s">
        <v>34</v>
      </c>
      <c r="C315" s="1" t="s">
        <v>87</v>
      </c>
      <c r="D315" s="7">
        <v>5000</v>
      </c>
      <c r="E315" s="7">
        <v>5200</v>
      </c>
      <c r="F315" s="7">
        <v>5400</v>
      </c>
      <c r="G315" s="7">
        <f>'Option source'!B94</f>
        <v>2248.1999999999998</v>
      </c>
      <c r="H315" s="7">
        <f>'Option source'!B113</f>
        <v>1998.09</v>
      </c>
      <c r="I315" s="7">
        <f>'Option source'!B132</f>
        <v>1801.16</v>
      </c>
      <c r="J315" s="7">
        <f t="shared" si="28"/>
        <v>53.180000000000064</v>
      </c>
      <c r="K315" s="7">
        <f t="shared" si="29"/>
        <v>200</v>
      </c>
      <c r="L315" s="7">
        <f t="shared" si="30"/>
        <v>146.81999999999994</v>
      </c>
      <c r="M315" s="7">
        <f t="shared" si="31"/>
        <v>53.180000000000064</v>
      </c>
      <c r="N315" s="7">
        <f t="shared" si="32"/>
        <v>5053.18</v>
      </c>
      <c r="O315" s="7">
        <f t="shared" si="33"/>
        <v>5346.82</v>
      </c>
      <c r="P315" s="15">
        <f t="shared" si="34"/>
        <v>2.7608123354644558</v>
      </c>
      <c r="Q315" s="7">
        <f>J315*'Model inputs'!$B$8</f>
        <v>5318.0000000000064</v>
      </c>
      <c r="R315" s="1" t="s">
        <v>164</v>
      </c>
      <c r="S315" s="1">
        <v>89</v>
      </c>
      <c r="T315" s="1">
        <v>108</v>
      </c>
    </row>
    <row r="316" spans="1:20" ht="21" customHeight="1">
      <c r="A316" s="8">
        <v>46276</v>
      </c>
      <c r="B316" s="1" t="s">
        <v>34</v>
      </c>
      <c r="C316" s="1" t="s">
        <v>90</v>
      </c>
      <c r="D316" s="7">
        <v>8600</v>
      </c>
      <c r="E316" s="7">
        <v>8900</v>
      </c>
      <c r="F316" s="7">
        <v>9200</v>
      </c>
      <c r="G316" s="7">
        <f>'Option source'!B901</f>
        <v>1600</v>
      </c>
      <c r="H316" s="7">
        <f>'Option source'!B916</f>
        <v>2022.5</v>
      </c>
      <c r="I316" s="7">
        <f>'Option source'!B923</f>
        <v>1895</v>
      </c>
      <c r="J316" s="7">
        <f t="shared" si="28"/>
        <v>-550</v>
      </c>
      <c r="K316" s="7">
        <f t="shared" si="29"/>
        <v>300</v>
      </c>
      <c r="L316" s="7">
        <f t="shared" si="30"/>
        <v>850</v>
      </c>
      <c r="M316" s="7">
        <f t="shared" si="31"/>
        <v>0</v>
      </c>
      <c r="N316" s="7" t="str">
        <f t="shared" si="32"/>
        <v>n.a.</v>
      </c>
      <c r="O316" s="7" t="str">
        <f t="shared" si="33"/>
        <v>n.a.</v>
      </c>
      <c r="P316" s="15" t="str">
        <f t="shared" si="34"/>
        <v>n.a.</v>
      </c>
      <c r="Q316" s="7">
        <f>J316*'Model inputs'!$B$8</f>
        <v>-55000</v>
      </c>
      <c r="R316" s="1" t="s">
        <v>163</v>
      </c>
      <c r="S316" s="1">
        <v>896</v>
      </c>
      <c r="T316" s="1">
        <v>911</v>
      </c>
    </row>
    <row r="317" spans="1:20" ht="21" customHeight="1">
      <c r="A317" s="8">
        <v>46276</v>
      </c>
      <c r="B317" s="1" t="s">
        <v>34</v>
      </c>
      <c r="C317" s="1" t="s">
        <v>87</v>
      </c>
      <c r="D317" s="7">
        <v>4800</v>
      </c>
      <c r="E317" s="7">
        <v>5000</v>
      </c>
      <c r="F317" s="7">
        <v>5200</v>
      </c>
      <c r="G317" s="7">
        <f>'Option source'!B77</f>
        <v>2425.7399999999998</v>
      </c>
      <c r="H317" s="7">
        <f>'Option source'!B94</f>
        <v>2248.1999999999998</v>
      </c>
      <c r="I317" s="7">
        <f>'Option source'!B113</f>
        <v>1998.09</v>
      </c>
      <c r="J317" s="7">
        <f t="shared" si="28"/>
        <v>-72.569999999999936</v>
      </c>
      <c r="K317" s="7">
        <f t="shared" si="29"/>
        <v>200</v>
      </c>
      <c r="L317" s="7">
        <f t="shared" si="30"/>
        <v>272.56999999999994</v>
      </c>
      <c r="M317" s="7">
        <f t="shared" si="31"/>
        <v>0</v>
      </c>
      <c r="N317" s="7" t="str">
        <f t="shared" si="32"/>
        <v>n.a.</v>
      </c>
      <c r="O317" s="7" t="str">
        <f t="shared" si="33"/>
        <v>n.a.</v>
      </c>
      <c r="P317" s="15" t="str">
        <f t="shared" si="34"/>
        <v>n.a.</v>
      </c>
      <c r="Q317" s="7">
        <f>J317*'Model inputs'!$B$8</f>
        <v>-7256.9999999999936</v>
      </c>
      <c r="R317" s="1" t="s">
        <v>163</v>
      </c>
      <c r="S317" s="1">
        <v>72</v>
      </c>
      <c r="T317" s="1">
        <v>89</v>
      </c>
    </row>
    <row r="318" spans="1:20" ht="21" customHeight="1">
      <c r="A318" s="8">
        <v>46276</v>
      </c>
      <c r="B318" s="1" t="s">
        <v>34</v>
      </c>
      <c r="C318" s="1" t="s">
        <v>87</v>
      </c>
      <c r="D318" s="7">
        <v>4600</v>
      </c>
      <c r="E318" s="7">
        <v>4800</v>
      </c>
      <c r="F318" s="7">
        <v>5000</v>
      </c>
      <c r="G318" s="7">
        <f>'Option source'!B60</f>
        <v>2650</v>
      </c>
      <c r="H318" s="7">
        <f>'Option source'!B77</f>
        <v>2425.7399999999998</v>
      </c>
      <c r="I318" s="7">
        <f>'Option source'!B94</f>
        <v>2248.1999999999998</v>
      </c>
      <c r="J318" s="7">
        <f t="shared" si="28"/>
        <v>46.720000000000255</v>
      </c>
      <c r="K318" s="7">
        <f t="shared" si="29"/>
        <v>200</v>
      </c>
      <c r="L318" s="7">
        <f t="shared" si="30"/>
        <v>153.27999999999975</v>
      </c>
      <c r="M318" s="7">
        <f t="shared" si="31"/>
        <v>46.720000000000255</v>
      </c>
      <c r="N318" s="7">
        <f t="shared" si="32"/>
        <v>4646.72</v>
      </c>
      <c r="O318" s="7">
        <f t="shared" si="33"/>
        <v>4953.28</v>
      </c>
      <c r="P318" s="15">
        <f t="shared" si="34"/>
        <v>3.2808219178081957</v>
      </c>
      <c r="Q318" s="7">
        <f>J318*'Model inputs'!$B$8</f>
        <v>4672.0000000000255</v>
      </c>
      <c r="R318" s="1" t="s">
        <v>164</v>
      </c>
      <c r="S318" s="1">
        <v>55</v>
      </c>
      <c r="T318" s="1">
        <v>72</v>
      </c>
    </row>
    <row r="319" spans="1:20" ht="21" customHeight="1">
      <c r="A319" s="8">
        <v>46276</v>
      </c>
      <c r="B319" s="1" t="s">
        <v>34</v>
      </c>
      <c r="C319" s="1" t="s">
        <v>87</v>
      </c>
      <c r="D319" s="7">
        <v>4400</v>
      </c>
      <c r="E319" s="7">
        <v>4600</v>
      </c>
      <c r="F319" s="7">
        <v>4800</v>
      </c>
      <c r="G319" s="7">
        <f>'Option source'!B41</f>
        <v>2799.47</v>
      </c>
      <c r="H319" s="7">
        <f>'Option source'!B60</f>
        <v>2650</v>
      </c>
      <c r="I319" s="7">
        <f>'Option source'!B77</f>
        <v>2425.7399999999998</v>
      </c>
      <c r="J319" s="7">
        <f t="shared" si="28"/>
        <v>-74.790000000000418</v>
      </c>
      <c r="K319" s="7">
        <f t="shared" si="29"/>
        <v>200</v>
      </c>
      <c r="L319" s="7">
        <f t="shared" si="30"/>
        <v>274.79000000000042</v>
      </c>
      <c r="M319" s="7">
        <f t="shared" si="31"/>
        <v>0</v>
      </c>
      <c r="N319" s="7" t="str">
        <f t="shared" si="32"/>
        <v>n.a.</v>
      </c>
      <c r="O319" s="7" t="str">
        <f t="shared" si="33"/>
        <v>n.a.</v>
      </c>
      <c r="P319" s="15" t="str">
        <f t="shared" si="34"/>
        <v>n.a.</v>
      </c>
      <c r="Q319" s="7">
        <f>J319*'Model inputs'!$B$8</f>
        <v>-7479.0000000000418</v>
      </c>
      <c r="R319" s="1" t="s">
        <v>163</v>
      </c>
      <c r="S319" s="1">
        <v>36</v>
      </c>
      <c r="T319" s="1">
        <v>55</v>
      </c>
    </row>
    <row r="320" spans="1:20" ht="21" customHeight="1">
      <c r="A320" s="8">
        <v>46276</v>
      </c>
      <c r="B320" s="1" t="s">
        <v>34</v>
      </c>
      <c r="C320" s="1" t="s">
        <v>90</v>
      </c>
      <c r="D320" s="7">
        <v>4400</v>
      </c>
      <c r="E320" s="7">
        <v>4600</v>
      </c>
      <c r="F320" s="7">
        <v>4800</v>
      </c>
      <c r="G320" s="7">
        <f>'Option source'!B521</f>
        <v>0.89</v>
      </c>
      <c r="H320" s="7">
        <f>'Option source'!B540</f>
        <v>1.1299999999999999</v>
      </c>
      <c r="I320" s="7">
        <f>'Option source'!B559</f>
        <v>1.24</v>
      </c>
      <c r="J320" s="7">
        <f t="shared" si="28"/>
        <v>-0.12999999999999967</v>
      </c>
      <c r="K320" s="7">
        <f t="shared" si="29"/>
        <v>200</v>
      </c>
      <c r="L320" s="7">
        <f t="shared" si="30"/>
        <v>200.13</v>
      </c>
      <c r="M320" s="7">
        <f t="shared" si="31"/>
        <v>0</v>
      </c>
      <c r="N320" s="7" t="str">
        <f t="shared" si="32"/>
        <v>n.a.</v>
      </c>
      <c r="O320" s="7" t="str">
        <f t="shared" si="33"/>
        <v>n.a.</v>
      </c>
      <c r="P320" s="15" t="str">
        <f t="shared" si="34"/>
        <v>n.a.</v>
      </c>
      <c r="Q320" s="7">
        <f>J320*'Model inputs'!$B$8</f>
        <v>-12.999999999999968</v>
      </c>
      <c r="R320" s="1" t="s">
        <v>163</v>
      </c>
      <c r="S320" s="1">
        <v>516</v>
      </c>
      <c r="T320" s="1">
        <v>535</v>
      </c>
    </row>
    <row r="321" spans="1:20" ht="21" customHeight="1">
      <c r="A321" s="8">
        <v>46276</v>
      </c>
      <c r="B321" s="1" t="s">
        <v>34</v>
      </c>
      <c r="C321" s="1" t="s">
        <v>87</v>
      </c>
      <c r="D321" s="7">
        <v>4200</v>
      </c>
      <c r="E321" s="7">
        <v>4400</v>
      </c>
      <c r="F321" s="7">
        <v>4600</v>
      </c>
      <c r="G321" s="7">
        <f>'Option source'!B22</f>
        <v>2956.52</v>
      </c>
      <c r="H321" s="7">
        <f>'Option source'!B41</f>
        <v>2799.47</v>
      </c>
      <c r="I321" s="7">
        <f>'Option source'!B60</f>
        <v>2650</v>
      </c>
      <c r="J321" s="7">
        <f t="shared" si="28"/>
        <v>7.580000000000382</v>
      </c>
      <c r="K321" s="7">
        <f t="shared" si="29"/>
        <v>200</v>
      </c>
      <c r="L321" s="7">
        <f t="shared" si="30"/>
        <v>192.41999999999962</v>
      </c>
      <c r="M321" s="7">
        <f t="shared" si="31"/>
        <v>7.580000000000382</v>
      </c>
      <c r="N321" s="7">
        <f t="shared" si="32"/>
        <v>4207.58</v>
      </c>
      <c r="O321" s="7">
        <f t="shared" si="33"/>
        <v>4592.42</v>
      </c>
      <c r="P321" s="15">
        <f t="shared" si="34"/>
        <v>25.385224274405005</v>
      </c>
      <c r="Q321" s="7">
        <f>J321*'Model inputs'!$B$8</f>
        <v>758.0000000000382</v>
      </c>
      <c r="R321" s="1" t="s">
        <v>164</v>
      </c>
      <c r="S321" s="1">
        <v>17</v>
      </c>
      <c r="T321" s="1">
        <v>36</v>
      </c>
    </row>
    <row r="322" spans="1:20" ht="21" customHeight="1">
      <c r="A322" s="8">
        <v>46276</v>
      </c>
      <c r="B322" s="1" t="s">
        <v>34</v>
      </c>
      <c r="C322" s="1" t="s">
        <v>90</v>
      </c>
      <c r="D322" s="7">
        <v>4200</v>
      </c>
      <c r="E322" s="7">
        <v>4400</v>
      </c>
      <c r="F322" s="7">
        <v>4600</v>
      </c>
      <c r="G322" s="7">
        <f>'Option source'!B502</f>
        <v>0.59</v>
      </c>
      <c r="H322" s="7">
        <f>'Option source'!B521</f>
        <v>0.89</v>
      </c>
      <c r="I322" s="7">
        <f>'Option source'!B540</f>
        <v>1.1299999999999999</v>
      </c>
      <c r="J322" s="7">
        <f t="shared" si="28"/>
        <v>-6.0000000000000053E-2</v>
      </c>
      <c r="K322" s="7">
        <f t="shared" si="29"/>
        <v>200</v>
      </c>
      <c r="L322" s="7">
        <f t="shared" si="30"/>
        <v>200.06</v>
      </c>
      <c r="M322" s="7">
        <f t="shared" si="31"/>
        <v>0</v>
      </c>
      <c r="N322" s="7" t="str">
        <f t="shared" si="32"/>
        <v>n.a.</v>
      </c>
      <c r="O322" s="7" t="str">
        <f t="shared" si="33"/>
        <v>n.a.</v>
      </c>
      <c r="P322" s="15" t="str">
        <f t="shared" si="34"/>
        <v>n.a.</v>
      </c>
      <c r="Q322" s="7">
        <f>J322*'Model inputs'!$B$8</f>
        <v>-6.0000000000000053</v>
      </c>
      <c r="R322" s="1" t="s">
        <v>163</v>
      </c>
      <c r="S322" s="1">
        <v>497</v>
      </c>
      <c r="T322" s="1">
        <v>516</v>
      </c>
    </row>
    <row r="323" spans="1:20" ht="21" customHeight="1">
      <c r="A323" s="8">
        <v>46276</v>
      </c>
      <c r="B323" s="1" t="s">
        <v>36</v>
      </c>
      <c r="C323" s="1" t="s">
        <v>87</v>
      </c>
      <c r="D323" s="7">
        <v>6800</v>
      </c>
      <c r="E323" s="7">
        <v>7000</v>
      </c>
      <c r="F323" s="7"/>
      <c r="G323" s="7">
        <f>'Option source'!B255</f>
        <v>544.29</v>
      </c>
      <c r="H323" s="7">
        <f>'Option source'!B274</f>
        <v>438.34</v>
      </c>
      <c r="I323" s="7"/>
      <c r="J323" s="7">
        <f t="shared" si="28"/>
        <v>-332.39</v>
      </c>
      <c r="K323" s="7">
        <f t="shared" si="29"/>
        <v>200</v>
      </c>
      <c r="L323" s="7">
        <f t="shared" si="30"/>
        <v>532.39</v>
      </c>
      <c r="M323" s="7" t="str">
        <f t="shared" si="31"/>
        <v>Unlimited</v>
      </c>
      <c r="N323" s="7" t="str">
        <f t="shared" si="32"/>
        <v>n.a.</v>
      </c>
      <c r="O323" s="7">
        <f t="shared" si="33"/>
        <v>7532.39</v>
      </c>
      <c r="P323" s="15" t="str">
        <f t="shared" si="34"/>
        <v>n.a.</v>
      </c>
      <c r="Q323" s="7">
        <f>J323*'Model inputs'!$B$8</f>
        <v>-33239</v>
      </c>
      <c r="R323" s="1" t="s">
        <v>162</v>
      </c>
      <c r="S323" s="1">
        <v>250</v>
      </c>
      <c r="T323" s="1">
        <v>269</v>
      </c>
    </row>
    <row r="324" spans="1:20" ht="21" customHeight="1">
      <c r="A324" s="8">
        <v>46276</v>
      </c>
      <c r="B324" s="1" t="s">
        <v>36</v>
      </c>
      <c r="C324" s="1" t="s">
        <v>90</v>
      </c>
      <c r="D324" s="7">
        <v>7200</v>
      </c>
      <c r="E324" s="7">
        <v>7000</v>
      </c>
      <c r="F324" s="7"/>
      <c r="G324" s="7">
        <f>'Option source'!B787</f>
        <v>409.22</v>
      </c>
      <c r="H324" s="7">
        <f>'Option source'!B768</f>
        <v>308.63</v>
      </c>
      <c r="I324" s="7"/>
      <c r="J324" s="7">
        <f t="shared" si="28"/>
        <v>-208.03999999999996</v>
      </c>
      <c r="K324" s="7">
        <f t="shared" si="29"/>
        <v>200</v>
      </c>
      <c r="L324" s="7">
        <f t="shared" si="30"/>
        <v>408.03999999999996</v>
      </c>
      <c r="M324" s="7">
        <f t="shared" si="31"/>
        <v>6591.96</v>
      </c>
      <c r="N324" s="7">
        <f t="shared" si="32"/>
        <v>6591.96</v>
      </c>
      <c r="O324" s="7" t="str">
        <f t="shared" si="33"/>
        <v>n.a.</v>
      </c>
      <c r="P324" s="15" t="str">
        <f t="shared" si="34"/>
        <v>n.a.</v>
      </c>
      <c r="Q324" s="7">
        <f>J324*'Model inputs'!$B$8</f>
        <v>-20803.999999999996</v>
      </c>
      <c r="R324" s="1" t="s">
        <v>162</v>
      </c>
      <c r="S324" s="1">
        <v>782</v>
      </c>
      <c r="T324" s="1">
        <v>763</v>
      </c>
    </row>
    <row r="325" spans="1:20" ht="21" customHeight="1">
      <c r="A325" s="8">
        <v>46276</v>
      </c>
      <c r="B325" s="1" t="s">
        <v>36</v>
      </c>
      <c r="C325" s="1" t="s">
        <v>87</v>
      </c>
      <c r="D325" s="7">
        <v>6600</v>
      </c>
      <c r="E325" s="7">
        <v>6800</v>
      </c>
      <c r="F325" s="7"/>
      <c r="G325" s="7">
        <f>'Option source'!B236</f>
        <v>663.81</v>
      </c>
      <c r="H325" s="7">
        <f>'Option source'!B255</f>
        <v>544.29</v>
      </c>
      <c r="I325" s="7"/>
      <c r="J325" s="7">
        <f t="shared" si="28"/>
        <v>-424.77</v>
      </c>
      <c r="K325" s="7">
        <f t="shared" si="29"/>
        <v>200</v>
      </c>
      <c r="L325" s="7">
        <f t="shared" si="30"/>
        <v>624.77</v>
      </c>
      <c r="M325" s="7" t="str">
        <f t="shared" si="31"/>
        <v>Unlimited</v>
      </c>
      <c r="N325" s="7" t="str">
        <f t="shared" si="32"/>
        <v>n.a.</v>
      </c>
      <c r="O325" s="7">
        <f t="shared" si="33"/>
        <v>7424.77</v>
      </c>
      <c r="P325" s="15" t="str">
        <f t="shared" si="34"/>
        <v>n.a.</v>
      </c>
      <c r="Q325" s="7">
        <f>J325*'Model inputs'!$B$8</f>
        <v>-42477</v>
      </c>
      <c r="R325" s="1" t="s">
        <v>162</v>
      </c>
      <c r="S325" s="1">
        <v>231</v>
      </c>
      <c r="T325" s="1">
        <v>250</v>
      </c>
    </row>
    <row r="326" spans="1:20" ht="21" customHeight="1">
      <c r="A326" s="8">
        <v>46276</v>
      </c>
      <c r="B326" s="1" t="s">
        <v>36</v>
      </c>
      <c r="C326" s="1" t="s">
        <v>87</v>
      </c>
      <c r="D326" s="7">
        <v>7000</v>
      </c>
      <c r="E326" s="7">
        <v>7200</v>
      </c>
      <c r="F326" s="7"/>
      <c r="G326" s="7">
        <f>'Option source'!B274</f>
        <v>438.34</v>
      </c>
      <c r="H326" s="7">
        <f>'Option source'!B293</f>
        <v>345.7</v>
      </c>
      <c r="I326" s="7"/>
      <c r="J326" s="7">
        <f t="shared" si="28"/>
        <v>-253.06</v>
      </c>
      <c r="K326" s="7">
        <f t="shared" si="29"/>
        <v>200</v>
      </c>
      <c r="L326" s="7">
        <f t="shared" si="30"/>
        <v>453.06</v>
      </c>
      <c r="M326" s="7" t="str">
        <f t="shared" si="31"/>
        <v>Unlimited</v>
      </c>
      <c r="N326" s="7" t="str">
        <f t="shared" si="32"/>
        <v>n.a.</v>
      </c>
      <c r="O326" s="7">
        <f t="shared" si="33"/>
        <v>7653.06</v>
      </c>
      <c r="P326" s="15" t="str">
        <f t="shared" si="34"/>
        <v>n.a.</v>
      </c>
      <c r="Q326" s="7">
        <f>J326*'Model inputs'!$B$8</f>
        <v>-25306</v>
      </c>
      <c r="R326" s="1" t="s">
        <v>162</v>
      </c>
      <c r="S326" s="1">
        <v>269</v>
      </c>
      <c r="T326" s="1">
        <v>288</v>
      </c>
    </row>
    <row r="327" spans="1:20" ht="21" customHeight="1">
      <c r="A327" s="8">
        <v>46276</v>
      </c>
      <c r="B327" s="1" t="s">
        <v>36</v>
      </c>
      <c r="C327" s="1" t="s">
        <v>90</v>
      </c>
      <c r="D327" s="7">
        <v>7000</v>
      </c>
      <c r="E327" s="7">
        <v>6800</v>
      </c>
      <c r="F327" s="7"/>
      <c r="G327" s="7">
        <f>'Option source'!B768</f>
        <v>308.63</v>
      </c>
      <c r="H327" s="7">
        <f>'Option source'!B749</f>
        <v>222.83</v>
      </c>
      <c r="I327" s="7"/>
      <c r="J327" s="7">
        <f t="shared" ref="J327:J390" si="35">G327-2*H327+IF(B327="Butterfly",I327,0)</f>
        <v>-137.03000000000003</v>
      </c>
      <c r="K327" s="7">
        <f t="shared" ref="K327:K390" si="36">ABS(E327-D327)</f>
        <v>200</v>
      </c>
      <c r="L327" s="7">
        <f t="shared" ref="L327:L390" si="37">K327-J327</f>
        <v>337.03000000000003</v>
      </c>
      <c r="M327" s="7">
        <f t="shared" ref="M327:M390" si="38">IF(B327="Butterfly",MAX(J327,0),IF(C327="call","Unlimited",MAX(2*E327-D327+J327,J327,0)))</f>
        <v>6462.97</v>
      </c>
      <c r="N327" s="7">
        <f t="shared" ref="N327:N390" si="39">IF(B327="Butterfly",IF(AND(J327&gt;0,J327&lt;K327),D327+J327,"n.a."),IF(C327="call",IF(AND(J327&gt;0,J327&lt;K327),D327+J327,"n.a."),IF(AND(K327&gt;J327,2*E327-D327+J327&gt;=0),2*E327-D327+J327,"n.a.")))</f>
        <v>6462.97</v>
      </c>
      <c r="O327" s="7" t="str">
        <f t="shared" ref="O327:O390" si="40">IF(B327="Butterfly",IF(AND(J327&gt;0,J327&lt;K327),F327-J327,"n.a."),IF(C327="call",IF(K327&gt;J327,2*E327-D327-J327,"n.a."),IF(AND(J327&gt;0,J327&lt;K327),D327-J327,"n.a.")))</f>
        <v>n.a.</v>
      </c>
      <c r="P327" s="15" t="str">
        <f t="shared" ref="P327:P390" si="41">IF(AND(B327="Butterfly",J327&gt;0,J327&lt;K327),L327/J327,"n.a.")</f>
        <v>n.a.</v>
      </c>
      <c r="Q327" s="7">
        <f>J327*'Model inputs'!$B$8</f>
        <v>-13703.000000000004</v>
      </c>
      <c r="R327" s="1" t="s">
        <v>162</v>
      </c>
      <c r="S327" s="1">
        <v>763</v>
      </c>
      <c r="T327" s="1">
        <v>744</v>
      </c>
    </row>
    <row r="328" spans="1:20" ht="21" customHeight="1">
      <c r="A328" s="8">
        <v>46276</v>
      </c>
      <c r="B328" s="1" t="s">
        <v>36</v>
      </c>
      <c r="C328" s="1" t="s">
        <v>90</v>
      </c>
      <c r="D328" s="7">
        <v>7400</v>
      </c>
      <c r="E328" s="7">
        <v>7200</v>
      </c>
      <c r="F328" s="7"/>
      <c r="G328" s="7">
        <f>'Option source'!B806</f>
        <v>528.03</v>
      </c>
      <c r="H328" s="7">
        <f>'Option source'!B787</f>
        <v>409.22</v>
      </c>
      <c r="I328" s="7"/>
      <c r="J328" s="7">
        <f t="shared" si="35"/>
        <v>-290.41000000000008</v>
      </c>
      <c r="K328" s="7">
        <f t="shared" si="36"/>
        <v>200</v>
      </c>
      <c r="L328" s="7">
        <f t="shared" si="37"/>
        <v>490.41000000000008</v>
      </c>
      <c r="M328" s="7">
        <f t="shared" si="38"/>
        <v>6709.59</v>
      </c>
      <c r="N328" s="7">
        <f t="shared" si="39"/>
        <v>6709.59</v>
      </c>
      <c r="O328" s="7" t="str">
        <f t="shared" si="40"/>
        <v>n.a.</v>
      </c>
      <c r="P328" s="15" t="str">
        <f t="shared" si="41"/>
        <v>n.a.</v>
      </c>
      <c r="Q328" s="7">
        <f>J328*'Model inputs'!$B$8</f>
        <v>-29041.000000000007</v>
      </c>
      <c r="R328" s="1" t="s">
        <v>162</v>
      </c>
      <c r="S328" s="1">
        <v>801</v>
      </c>
      <c r="T328" s="1">
        <v>782</v>
      </c>
    </row>
    <row r="329" spans="1:20" ht="21" customHeight="1">
      <c r="A329" s="8">
        <v>46276</v>
      </c>
      <c r="B329" s="1" t="s">
        <v>36</v>
      </c>
      <c r="C329" s="1" t="s">
        <v>87</v>
      </c>
      <c r="D329" s="7">
        <v>6400</v>
      </c>
      <c r="E329" s="7">
        <v>6600</v>
      </c>
      <c r="F329" s="7"/>
      <c r="G329" s="7">
        <f>'Option source'!B217</f>
        <v>830</v>
      </c>
      <c r="H329" s="7">
        <f>'Option source'!B236</f>
        <v>663.81</v>
      </c>
      <c r="I329" s="7"/>
      <c r="J329" s="7">
        <f t="shared" si="35"/>
        <v>-497.61999999999989</v>
      </c>
      <c r="K329" s="7">
        <f t="shared" si="36"/>
        <v>200</v>
      </c>
      <c r="L329" s="7">
        <f t="shared" si="37"/>
        <v>697.61999999999989</v>
      </c>
      <c r="M329" s="7" t="str">
        <f t="shared" si="38"/>
        <v>Unlimited</v>
      </c>
      <c r="N329" s="7" t="str">
        <f t="shared" si="39"/>
        <v>n.a.</v>
      </c>
      <c r="O329" s="7">
        <f t="shared" si="40"/>
        <v>7297.62</v>
      </c>
      <c r="P329" s="15" t="str">
        <f t="shared" si="41"/>
        <v>n.a.</v>
      </c>
      <c r="Q329" s="7">
        <f>J329*'Model inputs'!$B$8</f>
        <v>-49761.999999999985</v>
      </c>
      <c r="R329" s="1" t="s">
        <v>162</v>
      </c>
      <c r="S329" s="1">
        <v>212</v>
      </c>
      <c r="T329" s="1">
        <v>231</v>
      </c>
    </row>
    <row r="330" spans="1:20" ht="21" customHeight="1">
      <c r="A330" s="8">
        <v>46276</v>
      </c>
      <c r="B330" s="1" t="s">
        <v>36</v>
      </c>
      <c r="C330" s="1" t="s">
        <v>87</v>
      </c>
      <c r="D330" s="7">
        <v>7200</v>
      </c>
      <c r="E330" s="7">
        <v>7400</v>
      </c>
      <c r="F330" s="7"/>
      <c r="G330" s="7">
        <f>'Option source'!B293</f>
        <v>345.7</v>
      </c>
      <c r="H330" s="7">
        <f>'Option source'!B312</f>
        <v>262.49</v>
      </c>
      <c r="I330" s="7"/>
      <c r="J330" s="7">
        <f t="shared" si="35"/>
        <v>-179.28000000000003</v>
      </c>
      <c r="K330" s="7">
        <f t="shared" si="36"/>
        <v>200</v>
      </c>
      <c r="L330" s="7">
        <f t="shared" si="37"/>
        <v>379.28000000000003</v>
      </c>
      <c r="M330" s="7" t="str">
        <f t="shared" si="38"/>
        <v>Unlimited</v>
      </c>
      <c r="N330" s="7" t="str">
        <f t="shared" si="39"/>
        <v>n.a.</v>
      </c>
      <c r="O330" s="7">
        <f t="shared" si="40"/>
        <v>7779.28</v>
      </c>
      <c r="P330" s="15" t="str">
        <f t="shared" si="41"/>
        <v>n.a.</v>
      </c>
      <c r="Q330" s="7">
        <f>J330*'Model inputs'!$B$8</f>
        <v>-17928.000000000004</v>
      </c>
      <c r="R330" s="1" t="s">
        <v>162</v>
      </c>
      <c r="S330" s="1">
        <v>288</v>
      </c>
      <c r="T330" s="1">
        <v>307</v>
      </c>
    </row>
    <row r="331" spans="1:20" ht="21" customHeight="1">
      <c r="A331" s="8">
        <v>46276</v>
      </c>
      <c r="B331" s="1" t="s">
        <v>36</v>
      </c>
      <c r="C331" s="1" t="s">
        <v>90</v>
      </c>
      <c r="D331" s="7">
        <v>6800</v>
      </c>
      <c r="E331" s="7">
        <v>6600</v>
      </c>
      <c r="F331" s="7"/>
      <c r="G331" s="7">
        <f>'Option source'!B749</f>
        <v>222.83</v>
      </c>
      <c r="H331" s="7">
        <f>'Option source'!B730</f>
        <v>152.55000000000001</v>
      </c>
      <c r="I331" s="7"/>
      <c r="J331" s="7">
        <f t="shared" si="35"/>
        <v>-82.27000000000001</v>
      </c>
      <c r="K331" s="7">
        <f t="shared" si="36"/>
        <v>200</v>
      </c>
      <c r="L331" s="7">
        <f t="shared" si="37"/>
        <v>282.27</v>
      </c>
      <c r="M331" s="7">
        <f t="shared" si="38"/>
        <v>6317.73</v>
      </c>
      <c r="N331" s="7">
        <f t="shared" si="39"/>
        <v>6317.73</v>
      </c>
      <c r="O331" s="7" t="str">
        <f t="shared" si="40"/>
        <v>n.a.</v>
      </c>
      <c r="P331" s="15" t="str">
        <f t="shared" si="41"/>
        <v>n.a.</v>
      </c>
      <c r="Q331" s="7">
        <f>J331*'Model inputs'!$B$8</f>
        <v>-8227.0000000000018</v>
      </c>
      <c r="R331" s="1" t="s">
        <v>162</v>
      </c>
      <c r="S331" s="1">
        <v>744</v>
      </c>
      <c r="T331" s="1">
        <v>725</v>
      </c>
    </row>
    <row r="332" spans="1:20" ht="21" customHeight="1">
      <c r="A332" s="8">
        <v>46276</v>
      </c>
      <c r="B332" s="1" t="s">
        <v>36</v>
      </c>
      <c r="C332" s="1" t="s">
        <v>90</v>
      </c>
      <c r="D332" s="7">
        <v>7600</v>
      </c>
      <c r="E332" s="7">
        <v>7400</v>
      </c>
      <c r="F332" s="7"/>
      <c r="G332" s="7">
        <f>'Option source'!B825</f>
        <v>658.65</v>
      </c>
      <c r="H332" s="7">
        <f>'Option source'!B806</f>
        <v>528.03</v>
      </c>
      <c r="I332" s="7"/>
      <c r="J332" s="7">
        <f t="shared" si="35"/>
        <v>-397.40999999999997</v>
      </c>
      <c r="K332" s="7">
        <f t="shared" si="36"/>
        <v>200</v>
      </c>
      <c r="L332" s="7">
        <f t="shared" si="37"/>
        <v>597.41</v>
      </c>
      <c r="M332" s="7">
        <f t="shared" si="38"/>
        <v>6802.59</v>
      </c>
      <c r="N332" s="7">
        <f t="shared" si="39"/>
        <v>6802.59</v>
      </c>
      <c r="O332" s="7" t="str">
        <f t="shared" si="40"/>
        <v>n.a.</v>
      </c>
      <c r="P332" s="15" t="str">
        <f t="shared" si="41"/>
        <v>n.a.</v>
      </c>
      <c r="Q332" s="7">
        <f>J332*'Model inputs'!$B$8</f>
        <v>-39741</v>
      </c>
      <c r="R332" s="1" t="s">
        <v>162</v>
      </c>
      <c r="S332" s="1">
        <v>820</v>
      </c>
      <c r="T332" s="1">
        <v>801</v>
      </c>
    </row>
    <row r="333" spans="1:20" ht="21" customHeight="1">
      <c r="A333" s="8">
        <v>46276</v>
      </c>
      <c r="B333" s="1" t="s">
        <v>36</v>
      </c>
      <c r="C333" s="1" t="s">
        <v>87</v>
      </c>
      <c r="D333" s="7">
        <v>7400</v>
      </c>
      <c r="E333" s="7">
        <v>7600</v>
      </c>
      <c r="F333" s="7"/>
      <c r="G333" s="7">
        <f>'Option source'!B312</f>
        <v>262.49</v>
      </c>
      <c r="H333" s="7">
        <f>'Option source'!B331</f>
        <v>198.58</v>
      </c>
      <c r="I333" s="7"/>
      <c r="J333" s="7">
        <f t="shared" si="35"/>
        <v>-134.67000000000002</v>
      </c>
      <c r="K333" s="7">
        <f t="shared" si="36"/>
        <v>200</v>
      </c>
      <c r="L333" s="7">
        <f t="shared" si="37"/>
        <v>334.67</v>
      </c>
      <c r="M333" s="7" t="str">
        <f t="shared" si="38"/>
        <v>Unlimited</v>
      </c>
      <c r="N333" s="7" t="str">
        <f t="shared" si="39"/>
        <v>n.a.</v>
      </c>
      <c r="O333" s="7">
        <f t="shared" si="40"/>
        <v>7934.67</v>
      </c>
      <c r="P333" s="15" t="str">
        <f t="shared" si="41"/>
        <v>n.a.</v>
      </c>
      <c r="Q333" s="7">
        <f>J333*'Model inputs'!$B$8</f>
        <v>-13467.000000000002</v>
      </c>
      <c r="R333" s="1" t="s">
        <v>162</v>
      </c>
      <c r="S333" s="1">
        <v>307</v>
      </c>
      <c r="T333" s="1">
        <v>326</v>
      </c>
    </row>
    <row r="334" spans="1:20" ht="21" customHeight="1">
      <c r="A334" s="8">
        <v>46276</v>
      </c>
      <c r="B334" s="1" t="s">
        <v>36</v>
      </c>
      <c r="C334" s="1" t="s">
        <v>90</v>
      </c>
      <c r="D334" s="7">
        <v>6600</v>
      </c>
      <c r="E334" s="7">
        <v>6400</v>
      </c>
      <c r="F334" s="7"/>
      <c r="G334" s="7">
        <f>'Option source'!B730</f>
        <v>152.55000000000001</v>
      </c>
      <c r="H334" s="7">
        <f>'Option source'!B711</f>
        <v>95.07</v>
      </c>
      <c r="I334" s="7"/>
      <c r="J334" s="7">
        <f t="shared" si="35"/>
        <v>-37.589999999999975</v>
      </c>
      <c r="K334" s="7">
        <f t="shared" si="36"/>
        <v>200</v>
      </c>
      <c r="L334" s="7">
        <f t="shared" si="37"/>
        <v>237.58999999999997</v>
      </c>
      <c r="M334" s="7">
        <f t="shared" si="38"/>
        <v>6162.41</v>
      </c>
      <c r="N334" s="7">
        <f t="shared" si="39"/>
        <v>6162.41</v>
      </c>
      <c r="O334" s="7" t="str">
        <f t="shared" si="40"/>
        <v>n.a.</v>
      </c>
      <c r="P334" s="15" t="str">
        <f t="shared" si="41"/>
        <v>n.a.</v>
      </c>
      <c r="Q334" s="7">
        <f>J334*'Model inputs'!$B$8</f>
        <v>-3758.9999999999973</v>
      </c>
      <c r="R334" s="1" t="s">
        <v>162</v>
      </c>
      <c r="S334" s="1">
        <v>725</v>
      </c>
      <c r="T334" s="1">
        <v>706</v>
      </c>
    </row>
    <row r="335" spans="1:20" ht="21" customHeight="1">
      <c r="A335" s="8">
        <v>46276</v>
      </c>
      <c r="B335" s="1" t="s">
        <v>36</v>
      </c>
      <c r="C335" s="1" t="s">
        <v>87</v>
      </c>
      <c r="D335" s="7">
        <v>7600</v>
      </c>
      <c r="E335" s="7">
        <v>7800</v>
      </c>
      <c r="F335" s="7"/>
      <c r="G335" s="7">
        <f>'Option source'!B331</f>
        <v>198.58</v>
      </c>
      <c r="H335" s="7">
        <f>'Option source'!B350</f>
        <v>147.07</v>
      </c>
      <c r="I335" s="7"/>
      <c r="J335" s="7">
        <f t="shared" si="35"/>
        <v>-95.559999999999974</v>
      </c>
      <c r="K335" s="7">
        <f t="shared" si="36"/>
        <v>200</v>
      </c>
      <c r="L335" s="7">
        <f t="shared" si="37"/>
        <v>295.55999999999995</v>
      </c>
      <c r="M335" s="7" t="str">
        <f t="shared" si="38"/>
        <v>Unlimited</v>
      </c>
      <c r="N335" s="7" t="str">
        <f t="shared" si="39"/>
        <v>n.a.</v>
      </c>
      <c r="O335" s="7">
        <f t="shared" si="40"/>
        <v>8095.56</v>
      </c>
      <c r="P335" s="15" t="str">
        <f t="shared" si="41"/>
        <v>n.a.</v>
      </c>
      <c r="Q335" s="7">
        <f>J335*'Model inputs'!$B$8</f>
        <v>-9555.9999999999982</v>
      </c>
      <c r="R335" s="1" t="s">
        <v>162</v>
      </c>
      <c r="S335" s="1">
        <v>326</v>
      </c>
      <c r="T335" s="1">
        <v>345</v>
      </c>
    </row>
    <row r="336" spans="1:20" ht="21" customHeight="1">
      <c r="A336" s="8">
        <v>46276</v>
      </c>
      <c r="B336" s="1" t="s">
        <v>36</v>
      </c>
      <c r="C336" s="1" t="s">
        <v>90</v>
      </c>
      <c r="D336" s="7">
        <v>6400</v>
      </c>
      <c r="E336" s="7">
        <v>6200</v>
      </c>
      <c r="F336" s="7"/>
      <c r="G336" s="7">
        <f>'Option source'!B711</f>
        <v>95.07</v>
      </c>
      <c r="H336" s="7">
        <f>'Option source'!B692</f>
        <v>62.2</v>
      </c>
      <c r="I336" s="7"/>
      <c r="J336" s="7">
        <f t="shared" si="35"/>
        <v>-29.330000000000013</v>
      </c>
      <c r="K336" s="7">
        <f t="shared" si="36"/>
        <v>200</v>
      </c>
      <c r="L336" s="7">
        <f t="shared" si="37"/>
        <v>229.33</v>
      </c>
      <c r="M336" s="7">
        <f t="shared" si="38"/>
        <v>5970.67</v>
      </c>
      <c r="N336" s="7">
        <f t="shared" si="39"/>
        <v>5970.67</v>
      </c>
      <c r="O336" s="7" t="str">
        <f t="shared" si="40"/>
        <v>n.a.</v>
      </c>
      <c r="P336" s="15" t="str">
        <f t="shared" si="41"/>
        <v>n.a.</v>
      </c>
      <c r="Q336" s="7">
        <f>J336*'Model inputs'!$B$8</f>
        <v>-2933.0000000000014</v>
      </c>
      <c r="R336" s="1" t="s">
        <v>162</v>
      </c>
      <c r="S336" s="1">
        <v>706</v>
      </c>
      <c r="T336" s="1">
        <v>687</v>
      </c>
    </row>
    <row r="337" spans="1:20" ht="21" customHeight="1">
      <c r="A337" s="8">
        <v>46276</v>
      </c>
      <c r="B337" s="1" t="s">
        <v>36</v>
      </c>
      <c r="C337" s="1" t="s">
        <v>87</v>
      </c>
      <c r="D337" s="7">
        <v>7800</v>
      </c>
      <c r="E337" s="7">
        <v>8000</v>
      </c>
      <c r="F337" s="7"/>
      <c r="G337" s="7">
        <f>'Option source'!B350</f>
        <v>147.07</v>
      </c>
      <c r="H337" s="7">
        <f>'Option source'!B369</f>
        <v>109.14</v>
      </c>
      <c r="I337" s="7"/>
      <c r="J337" s="7">
        <f t="shared" si="35"/>
        <v>-71.210000000000008</v>
      </c>
      <c r="K337" s="7">
        <f t="shared" si="36"/>
        <v>200</v>
      </c>
      <c r="L337" s="7">
        <f t="shared" si="37"/>
        <v>271.21000000000004</v>
      </c>
      <c r="M337" s="7" t="str">
        <f t="shared" si="38"/>
        <v>Unlimited</v>
      </c>
      <c r="N337" s="7" t="str">
        <f t="shared" si="39"/>
        <v>n.a.</v>
      </c>
      <c r="O337" s="7">
        <f t="shared" si="40"/>
        <v>8271.2099999999991</v>
      </c>
      <c r="P337" s="15" t="str">
        <f t="shared" si="41"/>
        <v>n.a.</v>
      </c>
      <c r="Q337" s="7">
        <f>J337*'Model inputs'!$B$8</f>
        <v>-7121.0000000000009</v>
      </c>
      <c r="R337" s="1" t="s">
        <v>162</v>
      </c>
      <c r="S337" s="1">
        <v>345</v>
      </c>
      <c r="T337" s="1">
        <v>364</v>
      </c>
    </row>
    <row r="338" spans="1:20" ht="21" customHeight="1">
      <c r="A338" s="8">
        <v>46276</v>
      </c>
      <c r="B338" s="1" t="s">
        <v>36</v>
      </c>
      <c r="C338" s="1" t="s">
        <v>90</v>
      </c>
      <c r="D338" s="7">
        <v>6200</v>
      </c>
      <c r="E338" s="7">
        <v>6000</v>
      </c>
      <c r="F338" s="7"/>
      <c r="G338" s="7">
        <f>'Option source'!B692</f>
        <v>62.2</v>
      </c>
      <c r="H338" s="7">
        <f>'Option source'!B673</f>
        <v>35.590000000000003</v>
      </c>
      <c r="I338" s="7"/>
      <c r="J338" s="7">
        <f t="shared" si="35"/>
        <v>-8.980000000000004</v>
      </c>
      <c r="K338" s="7">
        <f t="shared" si="36"/>
        <v>200</v>
      </c>
      <c r="L338" s="7">
        <f t="shared" si="37"/>
        <v>208.98000000000002</v>
      </c>
      <c r="M338" s="7">
        <f t="shared" si="38"/>
        <v>5791.02</v>
      </c>
      <c r="N338" s="7">
        <f t="shared" si="39"/>
        <v>5791.02</v>
      </c>
      <c r="O338" s="7" t="str">
        <f t="shared" si="40"/>
        <v>n.a.</v>
      </c>
      <c r="P338" s="15" t="str">
        <f t="shared" si="41"/>
        <v>n.a.</v>
      </c>
      <c r="Q338" s="7">
        <f>J338*'Model inputs'!$B$8</f>
        <v>-898.00000000000045</v>
      </c>
      <c r="R338" s="1" t="s">
        <v>162</v>
      </c>
      <c r="S338" s="1">
        <v>687</v>
      </c>
      <c r="T338" s="1">
        <v>668</v>
      </c>
    </row>
    <row r="339" spans="1:20" ht="21" customHeight="1">
      <c r="A339" s="8">
        <v>46276</v>
      </c>
      <c r="B339" s="1" t="s">
        <v>36</v>
      </c>
      <c r="C339" s="1" t="s">
        <v>90</v>
      </c>
      <c r="D339" s="7">
        <v>6000</v>
      </c>
      <c r="E339" s="7">
        <v>5800</v>
      </c>
      <c r="F339" s="7"/>
      <c r="G339" s="7">
        <f>'Option source'!B673</f>
        <v>35.590000000000003</v>
      </c>
      <c r="H339" s="7">
        <f>'Option source'!B654</f>
        <v>20.5</v>
      </c>
      <c r="I339" s="7"/>
      <c r="J339" s="7">
        <f t="shared" si="35"/>
        <v>-5.4099999999999966</v>
      </c>
      <c r="K339" s="7">
        <f t="shared" si="36"/>
        <v>200</v>
      </c>
      <c r="L339" s="7">
        <f t="shared" si="37"/>
        <v>205.41</v>
      </c>
      <c r="M339" s="7">
        <f t="shared" si="38"/>
        <v>5594.59</v>
      </c>
      <c r="N339" s="7">
        <f t="shared" si="39"/>
        <v>5594.59</v>
      </c>
      <c r="O339" s="7" t="str">
        <f t="shared" si="40"/>
        <v>n.a.</v>
      </c>
      <c r="P339" s="15" t="str">
        <f t="shared" si="41"/>
        <v>n.a.</v>
      </c>
      <c r="Q339" s="7">
        <f>J339*'Model inputs'!$B$8</f>
        <v>-540.99999999999966</v>
      </c>
      <c r="R339" s="1" t="s">
        <v>162</v>
      </c>
      <c r="S339" s="1">
        <v>668</v>
      </c>
      <c r="T339" s="1">
        <v>649</v>
      </c>
    </row>
    <row r="340" spans="1:20" ht="21" customHeight="1">
      <c r="A340" s="8">
        <v>46276</v>
      </c>
      <c r="B340" s="1" t="s">
        <v>36</v>
      </c>
      <c r="C340" s="1" t="s">
        <v>87</v>
      </c>
      <c r="D340" s="7">
        <v>8000</v>
      </c>
      <c r="E340" s="7">
        <v>8300</v>
      </c>
      <c r="F340" s="7"/>
      <c r="G340" s="7">
        <f>'Option source'!B369</f>
        <v>109.14</v>
      </c>
      <c r="H340" s="7">
        <f>'Option source'!B388</f>
        <v>66.81</v>
      </c>
      <c r="I340" s="7"/>
      <c r="J340" s="7">
        <f t="shared" si="35"/>
        <v>-24.480000000000004</v>
      </c>
      <c r="K340" s="7">
        <f t="shared" si="36"/>
        <v>300</v>
      </c>
      <c r="L340" s="7">
        <f t="shared" si="37"/>
        <v>324.48</v>
      </c>
      <c r="M340" s="7" t="str">
        <f t="shared" si="38"/>
        <v>Unlimited</v>
      </c>
      <c r="N340" s="7" t="str">
        <f t="shared" si="39"/>
        <v>n.a.</v>
      </c>
      <c r="O340" s="7">
        <f t="shared" si="40"/>
        <v>8624.48</v>
      </c>
      <c r="P340" s="15" t="str">
        <f t="shared" si="41"/>
        <v>n.a.</v>
      </c>
      <c r="Q340" s="7">
        <f>J340*'Model inputs'!$B$8</f>
        <v>-2448.0000000000005</v>
      </c>
      <c r="R340" s="1" t="s">
        <v>162</v>
      </c>
      <c r="S340" s="1">
        <v>364</v>
      </c>
      <c r="T340" s="1">
        <v>383</v>
      </c>
    </row>
    <row r="341" spans="1:20" ht="21" customHeight="1">
      <c r="A341" s="8">
        <v>46276</v>
      </c>
      <c r="B341" s="1" t="s">
        <v>36</v>
      </c>
      <c r="C341" s="1" t="s">
        <v>90</v>
      </c>
      <c r="D341" s="7">
        <v>5800</v>
      </c>
      <c r="E341" s="7">
        <v>5600</v>
      </c>
      <c r="F341" s="7"/>
      <c r="G341" s="7">
        <f>'Option source'!B654</f>
        <v>20.5</v>
      </c>
      <c r="H341" s="7">
        <f>'Option source'!B635</f>
        <v>10.74</v>
      </c>
      <c r="I341" s="7"/>
      <c r="J341" s="7">
        <f t="shared" si="35"/>
        <v>-0.98000000000000043</v>
      </c>
      <c r="K341" s="7">
        <f t="shared" si="36"/>
        <v>200</v>
      </c>
      <c r="L341" s="7">
        <f t="shared" si="37"/>
        <v>200.98</v>
      </c>
      <c r="M341" s="7">
        <f t="shared" si="38"/>
        <v>5399.02</v>
      </c>
      <c r="N341" s="7">
        <f t="shared" si="39"/>
        <v>5399.02</v>
      </c>
      <c r="O341" s="7" t="str">
        <f t="shared" si="40"/>
        <v>n.a.</v>
      </c>
      <c r="P341" s="15" t="str">
        <f t="shared" si="41"/>
        <v>n.a.</v>
      </c>
      <c r="Q341" s="7">
        <f>J341*'Model inputs'!$B$8</f>
        <v>-98.000000000000043</v>
      </c>
      <c r="R341" s="1" t="s">
        <v>162</v>
      </c>
      <c r="S341" s="1">
        <v>649</v>
      </c>
      <c r="T341" s="1">
        <v>630</v>
      </c>
    </row>
    <row r="342" spans="1:20" ht="21" customHeight="1">
      <c r="A342" s="8">
        <v>46276</v>
      </c>
      <c r="B342" s="1" t="s">
        <v>36</v>
      </c>
      <c r="C342" s="1" t="s">
        <v>87</v>
      </c>
      <c r="D342" s="7">
        <v>8300</v>
      </c>
      <c r="E342" s="7">
        <v>8600</v>
      </c>
      <c r="F342" s="7"/>
      <c r="G342" s="7">
        <f>'Option source'!B388</f>
        <v>66.81</v>
      </c>
      <c r="H342" s="7">
        <f>'Option source'!B407</f>
        <v>38.76</v>
      </c>
      <c r="I342" s="7"/>
      <c r="J342" s="7">
        <f t="shared" si="35"/>
        <v>-10.709999999999994</v>
      </c>
      <c r="K342" s="7">
        <f t="shared" si="36"/>
        <v>300</v>
      </c>
      <c r="L342" s="7">
        <f t="shared" si="37"/>
        <v>310.70999999999998</v>
      </c>
      <c r="M342" s="7" t="str">
        <f t="shared" si="38"/>
        <v>Unlimited</v>
      </c>
      <c r="N342" s="7" t="str">
        <f t="shared" si="39"/>
        <v>n.a.</v>
      </c>
      <c r="O342" s="7">
        <f t="shared" si="40"/>
        <v>8910.7099999999991</v>
      </c>
      <c r="P342" s="15" t="str">
        <f t="shared" si="41"/>
        <v>n.a.</v>
      </c>
      <c r="Q342" s="7">
        <f>J342*'Model inputs'!$B$8</f>
        <v>-1070.9999999999993</v>
      </c>
      <c r="R342" s="1" t="s">
        <v>162</v>
      </c>
      <c r="S342" s="1">
        <v>383</v>
      </c>
      <c r="T342" s="1">
        <v>402</v>
      </c>
    </row>
    <row r="343" spans="1:20" ht="21" customHeight="1">
      <c r="A343" s="8">
        <v>46276</v>
      </c>
      <c r="B343" s="1" t="s">
        <v>36</v>
      </c>
      <c r="C343" s="1" t="s">
        <v>90</v>
      </c>
      <c r="D343" s="7">
        <v>5600</v>
      </c>
      <c r="E343" s="7">
        <v>5400</v>
      </c>
      <c r="F343" s="7"/>
      <c r="G343" s="7">
        <f>'Option source'!B635</f>
        <v>10.74</v>
      </c>
      <c r="H343" s="7">
        <f>'Option source'!B616</f>
        <v>5.84</v>
      </c>
      <c r="I343" s="7"/>
      <c r="J343" s="7">
        <f t="shared" si="35"/>
        <v>-0.9399999999999995</v>
      </c>
      <c r="K343" s="7">
        <f t="shared" si="36"/>
        <v>200</v>
      </c>
      <c r="L343" s="7">
        <f t="shared" si="37"/>
        <v>200.94</v>
      </c>
      <c r="M343" s="7">
        <f t="shared" si="38"/>
        <v>5199.0600000000004</v>
      </c>
      <c r="N343" s="7">
        <f t="shared" si="39"/>
        <v>5199.0600000000004</v>
      </c>
      <c r="O343" s="7" t="str">
        <f t="shared" si="40"/>
        <v>n.a.</v>
      </c>
      <c r="P343" s="15" t="str">
        <f t="shared" si="41"/>
        <v>n.a.</v>
      </c>
      <c r="Q343" s="7">
        <f>J343*'Model inputs'!$B$8</f>
        <v>-93.999999999999943</v>
      </c>
      <c r="R343" s="1" t="s">
        <v>162</v>
      </c>
      <c r="S343" s="1">
        <v>630</v>
      </c>
      <c r="T343" s="1">
        <v>611</v>
      </c>
    </row>
    <row r="344" spans="1:20" ht="21" customHeight="1">
      <c r="A344" s="8">
        <v>46276</v>
      </c>
      <c r="B344" s="1" t="s">
        <v>36</v>
      </c>
      <c r="C344" s="1" t="s">
        <v>90</v>
      </c>
      <c r="D344" s="7">
        <v>5400</v>
      </c>
      <c r="E344" s="7">
        <v>5200</v>
      </c>
      <c r="F344" s="7"/>
      <c r="G344" s="7">
        <f>'Option source'!B616</f>
        <v>5.84</v>
      </c>
      <c r="H344" s="7">
        <f>'Option source'!B597</f>
        <v>3.1</v>
      </c>
      <c r="I344" s="7"/>
      <c r="J344" s="7">
        <f t="shared" si="35"/>
        <v>-0.36000000000000032</v>
      </c>
      <c r="K344" s="7">
        <f t="shared" si="36"/>
        <v>200</v>
      </c>
      <c r="L344" s="7">
        <f t="shared" si="37"/>
        <v>200.36</v>
      </c>
      <c r="M344" s="7">
        <f t="shared" si="38"/>
        <v>4999.6400000000003</v>
      </c>
      <c r="N344" s="7">
        <f t="shared" si="39"/>
        <v>4999.6400000000003</v>
      </c>
      <c r="O344" s="7" t="str">
        <f t="shared" si="40"/>
        <v>n.a.</v>
      </c>
      <c r="P344" s="15" t="str">
        <f t="shared" si="41"/>
        <v>n.a.</v>
      </c>
      <c r="Q344" s="7">
        <f>J344*'Model inputs'!$B$8</f>
        <v>-36.000000000000028</v>
      </c>
      <c r="R344" s="1" t="s">
        <v>162</v>
      </c>
      <c r="S344" s="1">
        <v>611</v>
      </c>
      <c r="T344" s="1">
        <v>592</v>
      </c>
    </row>
    <row r="345" spans="1:20" ht="21" customHeight="1">
      <c r="A345" s="8">
        <v>46276</v>
      </c>
      <c r="B345" s="1" t="s">
        <v>36</v>
      </c>
      <c r="C345" s="1" t="s">
        <v>87</v>
      </c>
      <c r="D345" s="7">
        <v>8600</v>
      </c>
      <c r="E345" s="7">
        <v>8900</v>
      </c>
      <c r="F345" s="7"/>
      <c r="G345" s="7">
        <f>'Option source'!B407</f>
        <v>38.76</v>
      </c>
      <c r="H345" s="7">
        <f>'Option source'!B426</f>
        <v>22.19</v>
      </c>
      <c r="I345" s="7"/>
      <c r="J345" s="7">
        <f t="shared" si="35"/>
        <v>-5.6200000000000045</v>
      </c>
      <c r="K345" s="7">
        <f t="shared" si="36"/>
        <v>300</v>
      </c>
      <c r="L345" s="7">
        <f t="shared" si="37"/>
        <v>305.62</v>
      </c>
      <c r="M345" s="7" t="str">
        <f t="shared" si="38"/>
        <v>Unlimited</v>
      </c>
      <c r="N345" s="7" t="str">
        <f t="shared" si="39"/>
        <v>n.a.</v>
      </c>
      <c r="O345" s="7">
        <f t="shared" si="40"/>
        <v>9205.6200000000008</v>
      </c>
      <c r="P345" s="15" t="str">
        <f t="shared" si="41"/>
        <v>n.a.</v>
      </c>
      <c r="Q345" s="7">
        <f>J345*'Model inputs'!$B$8</f>
        <v>-562.00000000000045</v>
      </c>
      <c r="R345" s="1" t="s">
        <v>162</v>
      </c>
      <c r="S345" s="1">
        <v>402</v>
      </c>
      <c r="T345" s="1">
        <v>421</v>
      </c>
    </row>
    <row r="346" spans="1:20" ht="21" customHeight="1">
      <c r="A346" s="8">
        <v>46276</v>
      </c>
      <c r="B346" s="1" t="s">
        <v>36</v>
      </c>
      <c r="C346" s="1" t="s">
        <v>90</v>
      </c>
      <c r="D346" s="7">
        <v>5200</v>
      </c>
      <c r="E346" s="7">
        <v>5000</v>
      </c>
      <c r="F346" s="7"/>
      <c r="G346" s="7">
        <f>'Option source'!B597</f>
        <v>3.1</v>
      </c>
      <c r="H346" s="7">
        <f>'Option source'!B578</f>
        <v>2.15</v>
      </c>
      <c r="I346" s="7"/>
      <c r="J346" s="7">
        <f t="shared" si="35"/>
        <v>-1.1999999999999997</v>
      </c>
      <c r="K346" s="7">
        <f t="shared" si="36"/>
        <v>200</v>
      </c>
      <c r="L346" s="7">
        <f t="shared" si="37"/>
        <v>201.2</v>
      </c>
      <c r="M346" s="7">
        <f t="shared" si="38"/>
        <v>4798.8</v>
      </c>
      <c r="N346" s="7">
        <f t="shared" si="39"/>
        <v>4798.8</v>
      </c>
      <c r="O346" s="7" t="str">
        <f t="shared" si="40"/>
        <v>n.a.</v>
      </c>
      <c r="P346" s="15" t="str">
        <f t="shared" si="41"/>
        <v>n.a.</v>
      </c>
      <c r="Q346" s="7">
        <f>J346*'Model inputs'!$B$8</f>
        <v>-119.99999999999997</v>
      </c>
      <c r="R346" s="1" t="s">
        <v>162</v>
      </c>
      <c r="S346" s="1">
        <v>592</v>
      </c>
      <c r="T346" s="1">
        <v>573</v>
      </c>
    </row>
    <row r="347" spans="1:20" ht="21" customHeight="1">
      <c r="A347" s="8">
        <v>46276</v>
      </c>
      <c r="B347" s="1" t="s">
        <v>36</v>
      </c>
      <c r="C347" s="1" t="s">
        <v>87</v>
      </c>
      <c r="D347" s="7">
        <v>8900</v>
      </c>
      <c r="E347" s="7">
        <v>9200</v>
      </c>
      <c r="F347" s="7"/>
      <c r="G347" s="7">
        <f>'Option source'!B426</f>
        <v>22.19</v>
      </c>
      <c r="H347" s="7">
        <f>'Option source'!B445</f>
        <v>13.01</v>
      </c>
      <c r="I347" s="7"/>
      <c r="J347" s="7">
        <f t="shared" si="35"/>
        <v>-3.8299999999999983</v>
      </c>
      <c r="K347" s="7">
        <f t="shared" si="36"/>
        <v>300</v>
      </c>
      <c r="L347" s="7">
        <f t="shared" si="37"/>
        <v>303.83</v>
      </c>
      <c r="M347" s="7" t="str">
        <f t="shared" si="38"/>
        <v>Unlimited</v>
      </c>
      <c r="N347" s="7" t="str">
        <f t="shared" si="39"/>
        <v>n.a.</v>
      </c>
      <c r="O347" s="7">
        <f t="shared" si="40"/>
        <v>9503.83</v>
      </c>
      <c r="P347" s="15" t="str">
        <f t="shared" si="41"/>
        <v>n.a.</v>
      </c>
      <c r="Q347" s="7">
        <f>J347*'Model inputs'!$B$8</f>
        <v>-382.99999999999983</v>
      </c>
      <c r="R347" s="1" t="s">
        <v>162</v>
      </c>
      <c r="S347" s="1">
        <v>421</v>
      </c>
      <c r="T347" s="1">
        <v>440</v>
      </c>
    </row>
    <row r="348" spans="1:20" ht="21" customHeight="1">
      <c r="A348" s="8">
        <v>46276</v>
      </c>
      <c r="B348" s="1" t="s">
        <v>36</v>
      </c>
      <c r="C348" s="1" t="s">
        <v>90</v>
      </c>
      <c r="D348" s="7">
        <v>5000</v>
      </c>
      <c r="E348" s="7">
        <v>4800</v>
      </c>
      <c r="F348" s="7"/>
      <c r="G348" s="7">
        <f>'Option source'!B578</f>
        <v>2.15</v>
      </c>
      <c r="H348" s="7">
        <f>'Option source'!B559</f>
        <v>1.24</v>
      </c>
      <c r="I348" s="7"/>
      <c r="J348" s="7">
        <f t="shared" si="35"/>
        <v>-0.33000000000000007</v>
      </c>
      <c r="K348" s="7">
        <f t="shared" si="36"/>
        <v>200</v>
      </c>
      <c r="L348" s="7">
        <f t="shared" si="37"/>
        <v>200.33</v>
      </c>
      <c r="M348" s="7">
        <f t="shared" si="38"/>
        <v>4599.67</v>
      </c>
      <c r="N348" s="7">
        <f t="shared" si="39"/>
        <v>4599.67</v>
      </c>
      <c r="O348" s="7" t="str">
        <f t="shared" si="40"/>
        <v>n.a.</v>
      </c>
      <c r="P348" s="15" t="str">
        <f t="shared" si="41"/>
        <v>n.a.</v>
      </c>
      <c r="Q348" s="7">
        <f>J348*'Model inputs'!$B$8</f>
        <v>-33.000000000000007</v>
      </c>
      <c r="R348" s="1" t="s">
        <v>162</v>
      </c>
      <c r="S348" s="1">
        <v>573</v>
      </c>
      <c r="T348" s="1">
        <v>554</v>
      </c>
    </row>
    <row r="349" spans="1:20" ht="21" customHeight="1">
      <c r="A349" s="8">
        <v>46276</v>
      </c>
      <c r="B349" s="1" t="s">
        <v>36</v>
      </c>
      <c r="C349" s="1" t="s">
        <v>90</v>
      </c>
      <c r="D349" s="7">
        <v>4800</v>
      </c>
      <c r="E349" s="7">
        <v>4600</v>
      </c>
      <c r="F349" s="7"/>
      <c r="G349" s="7">
        <f>'Option source'!B559</f>
        <v>1.24</v>
      </c>
      <c r="H349" s="7">
        <f>'Option source'!B540</f>
        <v>1.1299999999999999</v>
      </c>
      <c r="I349" s="7"/>
      <c r="J349" s="7">
        <f t="shared" si="35"/>
        <v>-1.0199999999999998</v>
      </c>
      <c r="K349" s="7">
        <f t="shared" si="36"/>
        <v>200</v>
      </c>
      <c r="L349" s="7">
        <f t="shared" si="37"/>
        <v>201.02</v>
      </c>
      <c r="M349" s="7">
        <f t="shared" si="38"/>
        <v>4398.9799999999996</v>
      </c>
      <c r="N349" s="7">
        <f t="shared" si="39"/>
        <v>4398.9799999999996</v>
      </c>
      <c r="O349" s="7" t="str">
        <f t="shared" si="40"/>
        <v>n.a.</v>
      </c>
      <c r="P349" s="15" t="str">
        <f t="shared" si="41"/>
        <v>n.a.</v>
      </c>
      <c r="Q349" s="7">
        <f>J349*'Model inputs'!$B$8</f>
        <v>-101.99999999999999</v>
      </c>
      <c r="R349" s="1" t="s">
        <v>162</v>
      </c>
      <c r="S349" s="1">
        <v>554</v>
      </c>
      <c r="T349" s="1">
        <v>535</v>
      </c>
    </row>
    <row r="350" spans="1:20" ht="21" customHeight="1">
      <c r="A350" s="8">
        <v>46276</v>
      </c>
      <c r="B350" s="1" t="s">
        <v>36</v>
      </c>
      <c r="C350" s="1" t="s">
        <v>87</v>
      </c>
      <c r="D350" s="7">
        <v>9200</v>
      </c>
      <c r="E350" s="7">
        <v>9500</v>
      </c>
      <c r="F350" s="7"/>
      <c r="G350" s="7">
        <f>'Option source'!B445</f>
        <v>13.01</v>
      </c>
      <c r="H350" s="7">
        <f>'Option source'!B464</f>
        <v>7.92</v>
      </c>
      <c r="I350" s="7"/>
      <c r="J350" s="7">
        <f t="shared" si="35"/>
        <v>-2.83</v>
      </c>
      <c r="K350" s="7">
        <f t="shared" si="36"/>
        <v>300</v>
      </c>
      <c r="L350" s="7">
        <f t="shared" si="37"/>
        <v>302.83</v>
      </c>
      <c r="M350" s="7" t="str">
        <f t="shared" si="38"/>
        <v>Unlimited</v>
      </c>
      <c r="N350" s="7" t="str">
        <f t="shared" si="39"/>
        <v>n.a.</v>
      </c>
      <c r="O350" s="7">
        <f t="shared" si="40"/>
        <v>9802.83</v>
      </c>
      <c r="P350" s="15" t="str">
        <f t="shared" si="41"/>
        <v>n.a.</v>
      </c>
      <c r="Q350" s="7">
        <f>J350*'Model inputs'!$B$8</f>
        <v>-283</v>
      </c>
      <c r="R350" s="1" t="s">
        <v>162</v>
      </c>
      <c r="S350" s="1">
        <v>440</v>
      </c>
      <c r="T350" s="1">
        <v>459</v>
      </c>
    </row>
    <row r="351" spans="1:20" ht="21" customHeight="1">
      <c r="A351" s="8">
        <v>46276</v>
      </c>
      <c r="B351" s="1" t="s">
        <v>36</v>
      </c>
      <c r="C351" s="1" t="s">
        <v>90</v>
      </c>
      <c r="D351" s="7">
        <v>4600</v>
      </c>
      <c r="E351" s="7">
        <v>4400</v>
      </c>
      <c r="F351" s="7"/>
      <c r="G351" s="7">
        <f>'Option source'!B540</f>
        <v>1.1299999999999999</v>
      </c>
      <c r="H351" s="7">
        <f>'Option source'!B521</f>
        <v>0.89</v>
      </c>
      <c r="I351" s="7"/>
      <c r="J351" s="7">
        <f t="shared" si="35"/>
        <v>-0.65000000000000013</v>
      </c>
      <c r="K351" s="7">
        <f t="shared" si="36"/>
        <v>200</v>
      </c>
      <c r="L351" s="7">
        <f t="shared" si="37"/>
        <v>200.65</v>
      </c>
      <c r="M351" s="7">
        <f t="shared" si="38"/>
        <v>4199.3500000000004</v>
      </c>
      <c r="N351" s="7">
        <f t="shared" si="39"/>
        <v>4199.3500000000004</v>
      </c>
      <c r="O351" s="7" t="str">
        <f t="shared" si="40"/>
        <v>n.a.</v>
      </c>
      <c r="P351" s="15" t="str">
        <f t="shared" si="41"/>
        <v>n.a.</v>
      </c>
      <c r="Q351" s="7">
        <f>J351*'Model inputs'!$B$8</f>
        <v>-65.000000000000014</v>
      </c>
      <c r="R351" s="1" t="s">
        <v>162</v>
      </c>
      <c r="S351" s="1">
        <v>535</v>
      </c>
      <c r="T351" s="1">
        <v>516</v>
      </c>
    </row>
    <row r="352" spans="1:20" ht="21" customHeight="1">
      <c r="A352" s="8">
        <v>46276</v>
      </c>
      <c r="B352" s="1" t="s">
        <v>36</v>
      </c>
      <c r="C352" s="1" t="s">
        <v>90</v>
      </c>
      <c r="D352" s="7">
        <v>4400</v>
      </c>
      <c r="E352" s="7">
        <v>4200</v>
      </c>
      <c r="F352" s="7"/>
      <c r="G352" s="7">
        <f>'Option source'!B521</f>
        <v>0.89</v>
      </c>
      <c r="H352" s="7">
        <f>'Option source'!B502</f>
        <v>0.59</v>
      </c>
      <c r="I352" s="7"/>
      <c r="J352" s="7">
        <f t="shared" si="35"/>
        <v>-0.28999999999999992</v>
      </c>
      <c r="K352" s="7">
        <f t="shared" si="36"/>
        <v>200</v>
      </c>
      <c r="L352" s="7">
        <f t="shared" si="37"/>
        <v>200.29</v>
      </c>
      <c r="M352" s="7">
        <f t="shared" si="38"/>
        <v>3999.71</v>
      </c>
      <c r="N352" s="7">
        <f t="shared" si="39"/>
        <v>3999.71</v>
      </c>
      <c r="O352" s="7" t="str">
        <f t="shared" si="40"/>
        <v>n.a.</v>
      </c>
      <c r="P352" s="15" t="str">
        <f t="shared" si="41"/>
        <v>n.a.</v>
      </c>
      <c r="Q352" s="7">
        <f>J352*'Model inputs'!$B$8</f>
        <v>-28.999999999999993</v>
      </c>
      <c r="R352" s="1" t="s">
        <v>162</v>
      </c>
      <c r="S352" s="1">
        <v>516</v>
      </c>
      <c r="T352" s="1">
        <v>497</v>
      </c>
    </row>
    <row r="353" spans="1:20" ht="21" customHeight="1">
      <c r="A353" s="8">
        <v>46276</v>
      </c>
      <c r="B353" s="1" t="s">
        <v>36</v>
      </c>
      <c r="C353" s="1" t="s">
        <v>87</v>
      </c>
      <c r="D353" s="7">
        <v>9500</v>
      </c>
      <c r="E353" s="7">
        <v>9900</v>
      </c>
      <c r="F353" s="7"/>
      <c r="G353" s="7">
        <f>'Option source'!B464</f>
        <v>7.92</v>
      </c>
      <c r="H353" s="7">
        <f>'Option source'!B483</f>
        <v>4.41</v>
      </c>
      <c r="I353" s="7"/>
      <c r="J353" s="7">
        <f t="shared" si="35"/>
        <v>-0.90000000000000036</v>
      </c>
      <c r="K353" s="7">
        <f t="shared" si="36"/>
        <v>400</v>
      </c>
      <c r="L353" s="7">
        <f t="shared" si="37"/>
        <v>400.9</v>
      </c>
      <c r="M353" s="7" t="str">
        <f t="shared" si="38"/>
        <v>Unlimited</v>
      </c>
      <c r="N353" s="7" t="str">
        <f t="shared" si="39"/>
        <v>n.a.</v>
      </c>
      <c r="O353" s="7">
        <f t="shared" si="40"/>
        <v>10300.9</v>
      </c>
      <c r="P353" s="15" t="str">
        <f t="shared" si="41"/>
        <v>n.a.</v>
      </c>
      <c r="Q353" s="7">
        <f>J353*'Model inputs'!$B$8</f>
        <v>-90.000000000000028</v>
      </c>
      <c r="R353" s="1" t="s">
        <v>162</v>
      </c>
      <c r="S353" s="1">
        <v>459</v>
      </c>
      <c r="T353" s="1">
        <v>478</v>
      </c>
    </row>
    <row r="354" spans="1:20" ht="21" customHeight="1">
      <c r="A354" s="8">
        <v>46276</v>
      </c>
      <c r="B354" s="1" t="s">
        <v>36</v>
      </c>
      <c r="C354" s="1" t="s">
        <v>87</v>
      </c>
      <c r="D354" s="7">
        <v>6200</v>
      </c>
      <c r="E354" s="7">
        <v>6400</v>
      </c>
      <c r="F354" s="7"/>
      <c r="G354" s="7">
        <f>'Option source'!B198</f>
        <v>941.05</v>
      </c>
      <c r="H354" s="7">
        <f>'Option source'!B217</f>
        <v>830</v>
      </c>
      <c r="I354" s="7"/>
      <c r="J354" s="7">
        <f t="shared" si="35"/>
        <v>-718.95</v>
      </c>
      <c r="K354" s="7">
        <f t="shared" si="36"/>
        <v>200</v>
      </c>
      <c r="L354" s="7">
        <f t="shared" si="37"/>
        <v>918.95</v>
      </c>
      <c r="M354" s="7" t="str">
        <f t="shared" si="38"/>
        <v>Unlimited</v>
      </c>
      <c r="N354" s="7" t="str">
        <f t="shared" si="39"/>
        <v>n.a.</v>
      </c>
      <c r="O354" s="7">
        <f t="shared" si="40"/>
        <v>7318.95</v>
      </c>
      <c r="P354" s="15" t="str">
        <f t="shared" si="41"/>
        <v>n.a.</v>
      </c>
      <c r="Q354" s="7">
        <f>J354*'Model inputs'!$B$8</f>
        <v>-71895</v>
      </c>
      <c r="R354" s="1" t="s">
        <v>164</v>
      </c>
      <c r="S354" s="1">
        <v>193</v>
      </c>
      <c r="T354" s="1">
        <v>212</v>
      </c>
    </row>
    <row r="355" spans="1:20" ht="21" customHeight="1">
      <c r="A355" s="8">
        <v>46276</v>
      </c>
      <c r="B355" s="1" t="s">
        <v>36</v>
      </c>
      <c r="C355" s="1" t="s">
        <v>90</v>
      </c>
      <c r="D355" s="7">
        <v>7800</v>
      </c>
      <c r="E355" s="7">
        <v>7600</v>
      </c>
      <c r="F355" s="7"/>
      <c r="G355" s="7">
        <f>'Option source'!B844</f>
        <v>720</v>
      </c>
      <c r="H355" s="7">
        <f>'Option source'!B825</f>
        <v>658.65</v>
      </c>
      <c r="I355" s="7"/>
      <c r="J355" s="7">
        <f t="shared" si="35"/>
        <v>-597.29999999999995</v>
      </c>
      <c r="K355" s="7">
        <f t="shared" si="36"/>
        <v>200</v>
      </c>
      <c r="L355" s="7">
        <f t="shared" si="37"/>
        <v>797.3</v>
      </c>
      <c r="M355" s="7">
        <f t="shared" si="38"/>
        <v>6802.7</v>
      </c>
      <c r="N355" s="7">
        <f t="shared" si="39"/>
        <v>6802.7</v>
      </c>
      <c r="O355" s="7" t="str">
        <f t="shared" si="40"/>
        <v>n.a.</v>
      </c>
      <c r="P355" s="15" t="str">
        <f t="shared" si="41"/>
        <v>n.a.</v>
      </c>
      <c r="Q355" s="7">
        <f>J355*'Model inputs'!$B$8</f>
        <v>-59729.999999999993</v>
      </c>
      <c r="R355" s="1" t="s">
        <v>164</v>
      </c>
      <c r="S355" s="1">
        <v>839</v>
      </c>
      <c r="T355" s="1">
        <v>820</v>
      </c>
    </row>
    <row r="356" spans="1:20" ht="21" customHeight="1">
      <c r="A356" s="8">
        <v>46276</v>
      </c>
      <c r="B356" s="1" t="s">
        <v>36</v>
      </c>
      <c r="C356" s="1" t="s">
        <v>87</v>
      </c>
      <c r="D356" s="7">
        <v>6000</v>
      </c>
      <c r="E356" s="7">
        <v>6200</v>
      </c>
      <c r="F356" s="7"/>
      <c r="G356" s="7">
        <f>'Option source'!B179</f>
        <v>1130</v>
      </c>
      <c r="H356" s="7">
        <f>'Option source'!B198</f>
        <v>941.05</v>
      </c>
      <c r="I356" s="7"/>
      <c r="J356" s="7">
        <f t="shared" si="35"/>
        <v>-752.09999999999991</v>
      </c>
      <c r="K356" s="7">
        <f t="shared" si="36"/>
        <v>200</v>
      </c>
      <c r="L356" s="7">
        <f t="shared" si="37"/>
        <v>952.09999999999991</v>
      </c>
      <c r="M356" s="7" t="str">
        <f t="shared" si="38"/>
        <v>Unlimited</v>
      </c>
      <c r="N356" s="7" t="str">
        <f t="shared" si="39"/>
        <v>n.a.</v>
      </c>
      <c r="O356" s="7">
        <f t="shared" si="40"/>
        <v>7152.1</v>
      </c>
      <c r="P356" s="15" t="str">
        <f t="shared" si="41"/>
        <v>n.a.</v>
      </c>
      <c r="Q356" s="7">
        <f>J356*'Model inputs'!$B$8</f>
        <v>-75209.999999999985</v>
      </c>
      <c r="R356" s="1" t="s">
        <v>164</v>
      </c>
      <c r="S356" s="1">
        <v>174</v>
      </c>
      <c r="T356" s="1">
        <v>193</v>
      </c>
    </row>
    <row r="357" spans="1:20" ht="21" customHeight="1">
      <c r="A357" s="8">
        <v>46276</v>
      </c>
      <c r="B357" s="1" t="s">
        <v>36</v>
      </c>
      <c r="C357" s="1" t="s">
        <v>90</v>
      </c>
      <c r="D357" s="7">
        <v>8000</v>
      </c>
      <c r="E357" s="7">
        <v>7800</v>
      </c>
      <c r="F357" s="7"/>
      <c r="G357" s="7">
        <f>'Option source'!B863</f>
        <v>1017.5</v>
      </c>
      <c r="H357" s="7">
        <f>'Option source'!B844</f>
        <v>720</v>
      </c>
      <c r="I357" s="7"/>
      <c r="J357" s="7">
        <f t="shared" si="35"/>
        <v>-422.5</v>
      </c>
      <c r="K357" s="7">
        <f t="shared" si="36"/>
        <v>200</v>
      </c>
      <c r="L357" s="7">
        <f t="shared" si="37"/>
        <v>622.5</v>
      </c>
      <c r="M357" s="7">
        <f t="shared" si="38"/>
        <v>7177.5</v>
      </c>
      <c r="N357" s="7">
        <f t="shared" si="39"/>
        <v>7177.5</v>
      </c>
      <c r="O357" s="7" t="str">
        <f t="shared" si="40"/>
        <v>n.a.</v>
      </c>
      <c r="P357" s="15" t="str">
        <f t="shared" si="41"/>
        <v>n.a.</v>
      </c>
      <c r="Q357" s="7">
        <f>J357*'Model inputs'!$B$8</f>
        <v>-42250</v>
      </c>
      <c r="R357" s="1" t="s">
        <v>164</v>
      </c>
      <c r="S357" s="1">
        <v>858</v>
      </c>
      <c r="T357" s="1">
        <v>839</v>
      </c>
    </row>
    <row r="358" spans="1:20" ht="21" customHeight="1">
      <c r="A358" s="8">
        <v>46276</v>
      </c>
      <c r="B358" s="1" t="s">
        <v>36</v>
      </c>
      <c r="C358" s="1" t="s">
        <v>87</v>
      </c>
      <c r="D358" s="7">
        <v>5800</v>
      </c>
      <c r="E358" s="7">
        <v>6000</v>
      </c>
      <c r="F358" s="7"/>
      <c r="G358" s="7">
        <f>'Option source'!B160</f>
        <v>1343.33</v>
      </c>
      <c r="H358" s="7">
        <f>'Option source'!B179</f>
        <v>1130</v>
      </c>
      <c r="I358" s="7"/>
      <c r="J358" s="7">
        <f t="shared" si="35"/>
        <v>-916.67000000000007</v>
      </c>
      <c r="K358" s="7">
        <f t="shared" si="36"/>
        <v>200</v>
      </c>
      <c r="L358" s="7">
        <f t="shared" si="37"/>
        <v>1116.67</v>
      </c>
      <c r="M358" s="7" t="str">
        <f t="shared" si="38"/>
        <v>Unlimited</v>
      </c>
      <c r="N358" s="7" t="str">
        <f t="shared" si="39"/>
        <v>n.a.</v>
      </c>
      <c r="O358" s="7">
        <f t="shared" si="40"/>
        <v>7116.67</v>
      </c>
      <c r="P358" s="15" t="str">
        <f t="shared" si="41"/>
        <v>n.a.</v>
      </c>
      <c r="Q358" s="7">
        <f>J358*'Model inputs'!$B$8</f>
        <v>-91667</v>
      </c>
      <c r="R358" s="1" t="s">
        <v>164</v>
      </c>
      <c r="S358" s="1">
        <v>155</v>
      </c>
      <c r="T358" s="1">
        <v>174</v>
      </c>
    </row>
    <row r="359" spans="1:20" ht="21" customHeight="1">
      <c r="A359" s="8">
        <v>46276</v>
      </c>
      <c r="B359" s="1" t="s">
        <v>36</v>
      </c>
      <c r="C359" s="1" t="s">
        <v>90</v>
      </c>
      <c r="D359" s="7">
        <v>8300</v>
      </c>
      <c r="E359" s="7">
        <v>8000</v>
      </c>
      <c r="F359" s="7"/>
      <c r="G359" s="7">
        <f>'Option source'!B882</f>
        <v>1264.67</v>
      </c>
      <c r="H359" s="7">
        <f>'Option source'!B863</f>
        <v>1017.5</v>
      </c>
      <c r="I359" s="7"/>
      <c r="J359" s="7">
        <f t="shared" si="35"/>
        <v>-770.32999999999993</v>
      </c>
      <c r="K359" s="7">
        <f t="shared" si="36"/>
        <v>300</v>
      </c>
      <c r="L359" s="7">
        <f t="shared" si="37"/>
        <v>1070.33</v>
      </c>
      <c r="M359" s="7">
        <f t="shared" si="38"/>
        <v>6929.67</v>
      </c>
      <c r="N359" s="7">
        <f t="shared" si="39"/>
        <v>6929.67</v>
      </c>
      <c r="O359" s="7" t="str">
        <f t="shared" si="40"/>
        <v>n.a.</v>
      </c>
      <c r="P359" s="15" t="str">
        <f t="shared" si="41"/>
        <v>n.a.</v>
      </c>
      <c r="Q359" s="7">
        <f>J359*'Model inputs'!$B$8</f>
        <v>-77033</v>
      </c>
      <c r="R359" s="1" t="s">
        <v>164</v>
      </c>
      <c r="S359" s="1">
        <v>877</v>
      </c>
      <c r="T359" s="1">
        <v>858</v>
      </c>
    </row>
    <row r="360" spans="1:20" ht="21" customHeight="1">
      <c r="A360" s="8">
        <v>46276</v>
      </c>
      <c r="B360" s="1" t="s">
        <v>36</v>
      </c>
      <c r="C360" s="1" t="s">
        <v>87</v>
      </c>
      <c r="D360" s="7">
        <v>5600</v>
      </c>
      <c r="E360" s="7">
        <v>5800</v>
      </c>
      <c r="F360" s="7"/>
      <c r="G360" s="7">
        <f>'Option source'!B150</f>
        <v>1490</v>
      </c>
      <c r="H360" s="7">
        <f>'Option source'!B160</f>
        <v>1343.33</v>
      </c>
      <c r="I360" s="7"/>
      <c r="J360" s="7">
        <f t="shared" si="35"/>
        <v>-1196.6599999999999</v>
      </c>
      <c r="K360" s="7">
        <f t="shared" si="36"/>
        <v>200</v>
      </c>
      <c r="L360" s="7">
        <f t="shared" si="37"/>
        <v>1396.6599999999999</v>
      </c>
      <c r="M360" s="7" t="str">
        <f t="shared" si="38"/>
        <v>Unlimited</v>
      </c>
      <c r="N360" s="7" t="str">
        <f t="shared" si="39"/>
        <v>n.a.</v>
      </c>
      <c r="O360" s="7">
        <f t="shared" si="40"/>
        <v>7196.66</v>
      </c>
      <c r="P360" s="15" t="str">
        <f t="shared" si="41"/>
        <v>n.a.</v>
      </c>
      <c r="Q360" s="7">
        <f>J360*'Model inputs'!$B$8</f>
        <v>-119665.99999999999</v>
      </c>
      <c r="R360" s="1" t="s">
        <v>164</v>
      </c>
      <c r="S360" s="1">
        <v>145</v>
      </c>
      <c r="T360" s="1">
        <v>155</v>
      </c>
    </row>
    <row r="361" spans="1:20" ht="21" customHeight="1">
      <c r="A361" s="8">
        <v>46276</v>
      </c>
      <c r="B361" s="1" t="s">
        <v>36</v>
      </c>
      <c r="C361" s="1" t="s">
        <v>90</v>
      </c>
      <c r="D361" s="7">
        <v>8600</v>
      </c>
      <c r="E361" s="7">
        <v>8300</v>
      </c>
      <c r="F361" s="7"/>
      <c r="G361" s="7">
        <f>'Option source'!B901</f>
        <v>1600</v>
      </c>
      <c r="H361" s="7">
        <f>'Option source'!B882</f>
        <v>1264.67</v>
      </c>
      <c r="I361" s="7"/>
      <c r="J361" s="7">
        <f t="shared" si="35"/>
        <v>-929.34000000000015</v>
      </c>
      <c r="K361" s="7">
        <f t="shared" si="36"/>
        <v>300</v>
      </c>
      <c r="L361" s="7">
        <f t="shared" si="37"/>
        <v>1229.3400000000001</v>
      </c>
      <c r="M361" s="7">
        <f t="shared" si="38"/>
        <v>7070.66</v>
      </c>
      <c r="N361" s="7">
        <f t="shared" si="39"/>
        <v>7070.66</v>
      </c>
      <c r="O361" s="7" t="str">
        <f t="shared" si="40"/>
        <v>n.a.</v>
      </c>
      <c r="P361" s="15" t="str">
        <f t="shared" si="41"/>
        <v>n.a.</v>
      </c>
      <c r="Q361" s="7">
        <f>J361*'Model inputs'!$B$8</f>
        <v>-92934.000000000015</v>
      </c>
      <c r="R361" s="1" t="s">
        <v>164</v>
      </c>
      <c r="S361" s="1">
        <v>896</v>
      </c>
      <c r="T361" s="1">
        <v>877</v>
      </c>
    </row>
    <row r="362" spans="1:20" ht="21" customHeight="1">
      <c r="A362" s="8">
        <v>46276</v>
      </c>
      <c r="B362" s="1" t="s">
        <v>36</v>
      </c>
      <c r="C362" s="1" t="s">
        <v>87</v>
      </c>
      <c r="D362" s="7">
        <v>5400</v>
      </c>
      <c r="E362" s="7">
        <v>5600</v>
      </c>
      <c r="F362" s="7"/>
      <c r="G362" s="7">
        <f>'Option source'!B132</f>
        <v>1801.16</v>
      </c>
      <c r="H362" s="7">
        <f>'Option source'!B150</f>
        <v>1490</v>
      </c>
      <c r="I362" s="7"/>
      <c r="J362" s="7">
        <f t="shared" si="35"/>
        <v>-1178.8399999999999</v>
      </c>
      <c r="K362" s="7">
        <f t="shared" si="36"/>
        <v>200</v>
      </c>
      <c r="L362" s="7">
        <f t="shared" si="37"/>
        <v>1378.84</v>
      </c>
      <c r="M362" s="7" t="str">
        <f t="shared" si="38"/>
        <v>Unlimited</v>
      </c>
      <c r="N362" s="7" t="str">
        <f t="shared" si="39"/>
        <v>n.a.</v>
      </c>
      <c r="O362" s="7">
        <f t="shared" si="40"/>
        <v>6978.84</v>
      </c>
      <c r="P362" s="15" t="str">
        <f t="shared" si="41"/>
        <v>n.a.</v>
      </c>
      <c r="Q362" s="7">
        <f>J362*'Model inputs'!$B$8</f>
        <v>-117883.99999999999</v>
      </c>
      <c r="R362" s="1" t="s">
        <v>164</v>
      </c>
      <c r="S362" s="1">
        <v>127</v>
      </c>
      <c r="T362" s="1">
        <v>145</v>
      </c>
    </row>
    <row r="363" spans="1:20" ht="21" customHeight="1">
      <c r="A363" s="8">
        <v>46276</v>
      </c>
      <c r="B363" s="1" t="s">
        <v>36</v>
      </c>
      <c r="C363" s="1" t="s">
        <v>87</v>
      </c>
      <c r="D363" s="7">
        <v>5200</v>
      </c>
      <c r="E363" s="7">
        <v>5400</v>
      </c>
      <c r="F363" s="7"/>
      <c r="G363" s="7">
        <f>'Option source'!B113</f>
        <v>1998.09</v>
      </c>
      <c r="H363" s="7">
        <f>'Option source'!B132</f>
        <v>1801.16</v>
      </c>
      <c r="I363" s="7"/>
      <c r="J363" s="7">
        <f t="shared" si="35"/>
        <v>-1604.2300000000002</v>
      </c>
      <c r="K363" s="7">
        <f t="shared" si="36"/>
        <v>200</v>
      </c>
      <c r="L363" s="7">
        <f t="shared" si="37"/>
        <v>1804.2300000000002</v>
      </c>
      <c r="M363" s="7" t="str">
        <f t="shared" si="38"/>
        <v>Unlimited</v>
      </c>
      <c r="N363" s="7" t="str">
        <f t="shared" si="39"/>
        <v>n.a.</v>
      </c>
      <c r="O363" s="7">
        <f t="shared" si="40"/>
        <v>7204.2300000000005</v>
      </c>
      <c r="P363" s="15" t="str">
        <f t="shared" si="41"/>
        <v>n.a.</v>
      </c>
      <c r="Q363" s="7">
        <f>J363*'Model inputs'!$B$8</f>
        <v>-160423.00000000003</v>
      </c>
      <c r="R363" s="1" t="s">
        <v>164</v>
      </c>
      <c r="S363" s="1">
        <v>108</v>
      </c>
      <c r="T363" s="1">
        <v>127</v>
      </c>
    </row>
    <row r="364" spans="1:20" ht="21" customHeight="1">
      <c r="A364" s="8">
        <v>46276</v>
      </c>
      <c r="B364" s="1" t="s">
        <v>36</v>
      </c>
      <c r="C364" s="1" t="s">
        <v>90</v>
      </c>
      <c r="D364" s="7">
        <v>8900</v>
      </c>
      <c r="E364" s="7">
        <v>8600</v>
      </c>
      <c r="F364" s="7"/>
      <c r="G364" s="7">
        <f>'Option source'!B916</f>
        <v>2022.5</v>
      </c>
      <c r="H364" s="7">
        <f>'Option source'!B901</f>
        <v>1600</v>
      </c>
      <c r="I364" s="7"/>
      <c r="J364" s="7">
        <f t="shared" si="35"/>
        <v>-1177.5</v>
      </c>
      <c r="K364" s="7">
        <f t="shared" si="36"/>
        <v>300</v>
      </c>
      <c r="L364" s="7">
        <f t="shared" si="37"/>
        <v>1477.5</v>
      </c>
      <c r="M364" s="7">
        <f t="shared" si="38"/>
        <v>7122.5</v>
      </c>
      <c r="N364" s="7">
        <f t="shared" si="39"/>
        <v>7122.5</v>
      </c>
      <c r="O364" s="7" t="str">
        <f t="shared" si="40"/>
        <v>n.a.</v>
      </c>
      <c r="P364" s="15" t="str">
        <f t="shared" si="41"/>
        <v>n.a.</v>
      </c>
      <c r="Q364" s="7">
        <f>J364*'Model inputs'!$B$8</f>
        <v>-117750</v>
      </c>
      <c r="R364" s="1" t="s">
        <v>164</v>
      </c>
      <c r="S364" s="1">
        <v>911</v>
      </c>
      <c r="T364" s="1">
        <v>896</v>
      </c>
    </row>
    <row r="365" spans="1:20" ht="21" customHeight="1">
      <c r="A365" s="8">
        <v>46276</v>
      </c>
      <c r="B365" s="1" t="s">
        <v>36</v>
      </c>
      <c r="C365" s="1" t="s">
        <v>87</v>
      </c>
      <c r="D365" s="7">
        <v>5000</v>
      </c>
      <c r="E365" s="7">
        <v>5200</v>
      </c>
      <c r="F365" s="7"/>
      <c r="G365" s="7">
        <f>'Option source'!B94</f>
        <v>2248.1999999999998</v>
      </c>
      <c r="H365" s="7">
        <f>'Option source'!B113</f>
        <v>1998.09</v>
      </c>
      <c r="I365" s="7"/>
      <c r="J365" s="7">
        <f t="shared" si="35"/>
        <v>-1747.98</v>
      </c>
      <c r="K365" s="7">
        <f t="shared" si="36"/>
        <v>200</v>
      </c>
      <c r="L365" s="7">
        <f t="shared" si="37"/>
        <v>1947.98</v>
      </c>
      <c r="M365" s="7" t="str">
        <f t="shared" si="38"/>
        <v>Unlimited</v>
      </c>
      <c r="N365" s="7" t="str">
        <f t="shared" si="39"/>
        <v>n.a.</v>
      </c>
      <c r="O365" s="7">
        <f t="shared" si="40"/>
        <v>7147.98</v>
      </c>
      <c r="P365" s="15" t="str">
        <f t="shared" si="41"/>
        <v>n.a.</v>
      </c>
      <c r="Q365" s="7">
        <f>J365*'Model inputs'!$B$8</f>
        <v>-174798</v>
      </c>
      <c r="R365" s="1" t="s">
        <v>164</v>
      </c>
      <c r="S365" s="1">
        <v>89</v>
      </c>
      <c r="T365" s="1">
        <v>108</v>
      </c>
    </row>
    <row r="366" spans="1:20" ht="21" customHeight="1">
      <c r="A366" s="8">
        <v>46276</v>
      </c>
      <c r="B366" s="1" t="s">
        <v>36</v>
      </c>
      <c r="C366" s="1" t="s">
        <v>90</v>
      </c>
      <c r="D366" s="7">
        <v>9200</v>
      </c>
      <c r="E366" s="7">
        <v>8900</v>
      </c>
      <c r="F366" s="7"/>
      <c r="G366" s="7">
        <f>'Option source'!B923</f>
        <v>1895</v>
      </c>
      <c r="H366" s="7">
        <f>'Option source'!B916</f>
        <v>2022.5</v>
      </c>
      <c r="I366" s="7"/>
      <c r="J366" s="7">
        <f t="shared" si="35"/>
        <v>-2150</v>
      </c>
      <c r="K366" s="7">
        <f t="shared" si="36"/>
        <v>300</v>
      </c>
      <c r="L366" s="7">
        <f t="shared" si="37"/>
        <v>2450</v>
      </c>
      <c r="M366" s="7">
        <f t="shared" si="38"/>
        <v>6450</v>
      </c>
      <c r="N366" s="7">
        <f t="shared" si="39"/>
        <v>6450</v>
      </c>
      <c r="O366" s="7" t="str">
        <f t="shared" si="40"/>
        <v>n.a.</v>
      </c>
      <c r="P366" s="15" t="str">
        <f t="shared" si="41"/>
        <v>n.a.</v>
      </c>
      <c r="Q366" s="7">
        <f>J366*'Model inputs'!$B$8</f>
        <v>-215000</v>
      </c>
      <c r="R366" s="1" t="s">
        <v>164</v>
      </c>
      <c r="S366" s="1">
        <v>918</v>
      </c>
      <c r="T366" s="1">
        <v>911</v>
      </c>
    </row>
    <row r="367" spans="1:20" ht="21" customHeight="1">
      <c r="A367" s="8">
        <v>46276</v>
      </c>
      <c r="B367" s="1" t="s">
        <v>36</v>
      </c>
      <c r="C367" s="1" t="s">
        <v>87</v>
      </c>
      <c r="D367" s="7">
        <v>4800</v>
      </c>
      <c r="E367" s="7">
        <v>5000</v>
      </c>
      <c r="F367" s="7"/>
      <c r="G367" s="7">
        <f>'Option source'!B77</f>
        <v>2425.7399999999998</v>
      </c>
      <c r="H367" s="7">
        <f>'Option source'!B94</f>
        <v>2248.1999999999998</v>
      </c>
      <c r="I367" s="7"/>
      <c r="J367" s="7">
        <f t="shared" si="35"/>
        <v>-2070.66</v>
      </c>
      <c r="K367" s="7">
        <f t="shared" si="36"/>
        <v>200</v>
      </c>
      <c r="L367" s="7">
        <f t="shared" si="37"/>
        <v>2270.66</v>
      </c>
      <c r="M367" s="7" t="str">
        <f t="shared" si="38"/>
        <v>Unlimited</v>
      </c>
      <c r="N367" s="7" t="str">
        <f t="shared" si="39"/>
        <v>n.a.</v>
      </c>
      <c r="O367" s="7">
        <f t="shared" si="40"/>
        <v>7270.66</v>
      </c>
      <c r="P367" s="15" t="str">
        <f t="shared" si="41"/>
        <v>n.a.</v>
      </c>
      <c r="Q367" s="7">
        <f>J367*'Model inputs'!$B$8</f>
        <v>-207066</v>
      </c>
      <c r="R367" s="1" t="s">
        <v>164</v>
      </c>
      <c r="S367" s="1">
        <v>72</v>
      </c>
      <c r="T367" s="1">
        <v>89</v>
      </c>
    </row>
    <row r="368" spans="1:20" ht="21" customHeight="1">
      <c r="A368" s="8">
        <v>46276</v>
      </c>
      <c r="B368" s="1" t="s">
        <v>36</v>
      </c>
      <c r="C368" s="1" t="s">
        <v>87</v>
      </c>
      <c r="D368" s="7">
        <v>4600</v>
      </c>
      <c r="E368" s="7">
        <v>4800</v>
      </c>
      <c r="F368" s="7"/>
      <c r="G368" s="7">
        <f>'Option source'!B60</f>
        <v>2650</v>
      </c>
      <c r="H368" s="7">
        <f>'Option source'!B77</f>
        <v>2425.7399999999998</v>
      </c>
      <c r="I368" s="7"/>
      <c r="J368" s="7">
        <f t="shared" si="35"/>
        <v>-2201.4799999999996</v>
      </c>
      <c r="K368" s="7">
        <f t="shared" si="36"/>
        <v>200</v>
      </c>
      <c r="L368" s="7">
        <f t="shared" si="37"/>
        <v>2401.4799999999996</v>
      </c>
      <c r="M368" s="7" t="str">
        <f t="shared" si="38"/>
        <v>Unlimited</v>
      </c>
      <c r="N368" s="7" t="str">
        <f t="shared" si="39"/>
        <v>n.a.</v>
      </c>
      <c r="O368" s="7">
        <f t="shared" si="40"/>
        <v>7201.48</v>
      </c>
      <c r="P368" s="15" t="str">
        <f t="shared" si="41"/>
        <v>n.a.</v>
      </c>
      <c r="Q368" s="7">
        <f>J368*'Model inputs'!$B$8</f>
        <v>-220147.99999999994</v>
      </c>
      <c r="R368" s="1" t="s">
        <v>164</v>
      </c>
      <c r="S368" s="1">
        <v>55</v>
      </c>
      <c r="T368" s="1">
        <v>72</v>
      </c>
    </row>
    <row r="369" spans="1:20" ht="21" customHeight="1">
      <c r="A369" s="8">
        <v>46276</v>
      </c>
      <c r="B369" s="1" t="s">
        <v>36</v>
      </c>
      <c r="C369" s="1" t="s">
        <v>87</v>
      </c>
      <c r="D369" s="7">
        <v>4400</v>
      </c>
      <c r="E369" s="7">
        <v>4600</v>
      </c>
      <c r="F369" s="7"/>
      <c r="G369" s="7">
        <f>'Option source'!B41</f>
        <v>2799.47</v>
      </c>
      <c r="H369" s="7">
        <f>'Option source'!B60</f>
        <v>2650</v>
      </c>
      <c r="I369" s="7"/>
      <c r="J369" s="7">
        <f t="shared" si="35"/>
        <v>-2500.5300000000002</v>
      </c>
      <c r="K369" s="7">
        <f t="shared" si="36"/>
        <v>200</v>
      </c>
      <c r="L369" s="7">
        <f t="shared" si="37"/>
        <v>2700.53</v>
      </c>
      <c r="M369" s="7" t="str">
        <f t="shared" si="38"/>
        <v>Unlimited</v>
      </c>
      <c r="N369" s="7" t="str">
        <f t="shared" si="39"/>
        <v>n.a.</v>
      </c>
      <c r="O369" s="7">
        <f t="shared" si="40"/>
        <v>7300.5300000000007</v>
      </c>
      <c r="P369" s="15" t="str">
        <f t="shared" si="41"/>
        <v>n.a.</v>
      </c>
      <c r="Q369" s="7">
        <f>J369*'Model inputs'!$B$8</f>
        <v>-250053.00000000003</v>
      </c>
      <c r="R369" s="1" t="s">
        <v>164</v>
      </c>
      <c r="S369" s="1">
        <v>36</v>
      </c>
      <c r="T369" s="1">
        <v>55</v>
      </c>
    </row>
    <row r="370" spans="1:20" ht="21" customHeight="1">
      <c r="A370" s="8">
        <v>46276</v>
      </c>
      <c r="B370" s="1" t="s">
        <v>36</v>
      </c>
      <c r="C370" s="1" t="s">
        <v>87</v>
      </c>
      <c r="D370" s="7">
        <v>4200</v>
      </c>
      <c r="E370" s="7">
        <v>4400</v>
      </c>
      <c r="F370" s="7"/>
      <c r="G370" s="7">
        <f>'Option source'!B22</f>
        <v>2956.52</v>
      </c>
      <c r="H370" s="7">
        <f>'Option source'!B41</f>
        <v>2799.47</v>
      </c>
      <c r="I370" s="7"/>
      <c r="J370" s="7">
        <f t="shared" si="35"/>
        <v>-2642.4199999999996</v>
      </c>
      <c r="K370" s="7">
        <f t="shared" si="36"/>
        <v>200</v>
      </c>
      <c r="L370" s="7">
        <f t="shared" si="37"/>
        <v>2842.4199999999996</v>
      </c>
      <c r="M370" s="7" t="str">
        <f t="shared" si="38"/>
        <v>Unlimited</v>
      </c>
      <c r="N370" s="7" t="str">
        <f t="shared" si="39"/>
        <v>n.a.</v>
      </c>
      <c r="O370" s="7">
        <f t="shared" si="40"/>
        <v>7242.42</v>
      </c>
      <c r="P370" s="15" t="str">
        <f t="shared" si="41"/>
        <v>n.a.</v>
      </c>
      <c r="Q370" s="7">
        <f>J370*'Model inputs'!$B$8</f>
        <v>-264241.99999999994</v>
      </c>
      <c r="R370" s="1" t="s">
        <v>164</v>
      </c>
      <c r="S370" s="1">
        <v>17</v>
      </c>
      <c r="T370" s="1">
        <v>36</v>
      </c>
    </row>
    <row r="371" spans="1:20" ht="21" customHeight="1">
      <c r="A371" s="8">
        <v>46275</v>
      </c>
      <c r="B371" s="1" t="s">
        <v>34</v>
      </c>
      <c r="C371" s="1" t="s">
        <v>87</v>
      </c>
      <c r="D371" s="7">
        <v>7000</v>
      </c>
      <c r="E371" s="7">
        <v>7200</v>
      </c>
      <c r="F371" s="7">
        <v>7400</v>
      </c>
      <c r="G371" s="7">
        <f>'Option source'!B273</f>
        <v>523.63</v>
      </c>
      <c r="H371" s="7">
        <f>'Option source'!B292</f>
        <v>423.4</v>
      </c>
      <c r="I371" s="7">
        <f>'Option source'!B311</f>
        <v>328.35</v>
      </c>
      <c r="J371" s="7">
        <f t="shared" si="35"/>
        <v>5.1800000000000637</v>
      </c>
      <c r="K371" s="7">
        <f t="shared" si="36"/>
        <v>200</v>
      </c>
      <c r="L371" s="7">
        <f t="shared" si="37"/>
        <v>194.81999999999994</v>
      </c>
      <c r="M371" s="7">
        <f t="shared" si="38"/>
        <v>5.1800000000000637</v>
      </c>
      <c r="N371" s="7">
        <f t="shared" si="39"/>
        <v>7005.18</v>
      </c>
      <c r="O371" s="7">
        <f t="shared" si="40"/>
        <v>7394.82</v>
      </c>
      <c r="P371" s="15">
        <f t="shared" si="41"/>
        <v>37.610038610038139</v>
      </c>
      <c r="Q371" s="7">
        <f>J371*'Model inputs'!$B$8</f>
        <v>518.00000000000637</v>
      </c>
      <c r="R371" s="1" t="s">
        <v>162</v>
      </c>
      <c r="S371" s="1">
        <v>268</v>
      </c>
      <c r="T371" s="1">
        <v>287</v>
      </c>
    </row>
    <row r="372" spans="1:20" ht="21" customHeight="1">
      <c r="A372" s="8">
        <v>46275</v>
      </c>
      <c r="B372" s="1" t="s">
        <v>34</v>
      </c>
      <c r="C372" s="1" t="s">
        <v>90</v>
      </c>
      <c r="D372" s="7">
        <v>7000</v>
      </c>
      <c r="E372" s="7">
        <v>7200</v>
      </c>
      <c r="F372" s="7">
        <v>7400</v>
      </c>
      <c r="G372" s="7">
        <f>'Option source'!B767</f>
        <v>250.22</v>
      </c>
      <c r="H372" s="7">
        <f>'Option source'!B786</f>
        <v>344.11</v>
      </c>
      <c r="I372" s="7">
        <f>'Option source'!B805</f>
        <v>451.44</v>
      </c>
      <c r="J372" s="7">
        <f t="shared" si="35"/>
        <v>13.439999999999998</v>
      </c>
      <c r="K372" s="7">
        <f t="shared" si="36"/>
        <v>200</v>
      </c>
      <c r="L372" s="7">
        <f t="shared" si="37"/>
        <v>186.56</v>
      </c>
      <c r="M372" s="7">
        <f t="shared" si="38"/>
        <v>13.439999999999998</v>
      </c>
      <c r="N372" s="7">
        <f t="shared" si="39"/>
        <v>7013.44</v>
      </c>
      <c r="O372" s="7">
        <f t="shared" si="40"/>
        <v>7386.56</v>
      </c>
      <c r="P372" s="15">
        <f t="shared" si="41"/>
        <v>13.880952380952383</v>
      </c>
      <c r="Q372" s="7">
        <f>J372*'Model inputs'!$B$8</f>
        <v>1343.9999999999998</v>
      </c>
      <c r="R372" s="1" t="s">
        <v>162</v>
      </c>
      <c r="S372" s="1">
        <v>762</v>
      </c>
      <c r="T372" s="1">
        <v>781</v>
      </c>
    </row>
    <row r="373" spans="1:20" ht="21" customHeight="1">
      <c r="A373" s="8">
        <v>46275</v>
      </c>
      <c r="B373" s="1" t="s">
        <v>34</v>
      </c>
      <c r="C373" s="1" t="s">
        <v>87</v>
      </c>
      <c r="D373" s="7">
        <v>6800</v>
      </c>
      <c r="E373" s="7">
        <v>7000</v>
      </c>
      <c r="F373" s="7">
        <v>7200</v>
      </c>
      <c r="G373" s="7">
        <f>'Option source'!B254</f>
        <v>648.79</v>
      </c>
      <c r="H373" s="7">
        <f>'Option source'!B273</f>
        <v>523.63</v>
      </c>
      <c r="I373" s="7">
        <f>'Option source'!B292</f>
        <v>423.4</v>
      </c>
      <c r="J373" s="7">
        <f t="shared" si="35"/>
        <v>24.92999999999995</v>
      </c>
      <c r="K373" s="7">
        <f t="shared" si="36"/>
        <v>200</v>
      </c>
      <c r="L373" s="7">
        <f t="shared" si="37"/>
        <v>175.07000000000005</v>
      </c>
      <c r="M373" s="7">
        <f t="shared" si="38"/>
        <v>24.92999999999995</v>
      </c>
      <c r="N373" s="7">
        <f t="shared" si="39"/>
        <v>6824.93</v>
      </c>
      <c r="O373" s="7">
        <f t="shared" si="40"/>
        <v>7175.07</v>
      </c>
      <c r="P373" s="15">
        <f t="shared" si="41"/>
        <v>7.022462896109122</v>
      </c>
      <c r="Q373" s="7">
        <f>J373*'Model inputs'!$B$8</f>
        <v>2492.999999999995</v>
      </c>
      <c r="R373" s="1" t="s">
        <v>162</v>
      </c>
      <c r="S373" s="1">
        <v>249</v>
      </c>
      <c r="T373" s="1">
        <v>268</v>
      </c>
    </row>
    <row r="374" spans="1:20" ht="21" customHeight="1">
      <c r="A374" s="8">
        <v>46275</v>
      </c>
      <c r="B374" s="1" t="s">
        <v>34</v>
      </c>
      <c r="C374" s="1" t="s">
        <v>90</v>
      </c>
      <c r="D374" s="7">
        <v>6800</v>
      </c>
      <c r="E374" s="7">
        <v>7000</v>
      </c>
      <c r="F374" s="7">
        <v>7200</v>
      </c>
      <c r="G374" s="7">
        <f>'Option source'!B748</f>
        <v>180.26</v>
      </c>
      <c r="H374" s="7">
        <f>'Option source'!B767</f>
        <v>250.22</v>
      </c>
      <c r="I374" s="7">
        <f>'Option source'!B786</f>
        <v>344.11</v>
      </c>
      <c r="J374" s="7">
        <f t="shared" si="35"/>
        <v>23.930000000000007</v>
      </c>
      <c r="K374" s="7">
        <f t="shared" si="36"/>
        <v>200</v>
      </c>
      <c r="L374" s="7">
        <f t="shared" si="37"/>
        <v>176.07</v>
      </c>
      <c r="M374" s="7">
        <f t="shared" si="38"/>
        <v>23.930000000000007</v>
      </c>
      <c r="N374" s="7">
        <f t="shared" si="39"/>
        <v>6823.93</v>
      </c>
      <c r="O374" s="7">
        <f t="shared" si="40"/>
        <v>7176.07</v>
      </c>
      <c r="P374" s="15">
        <f t="shared" si="41"/>
        <v>7.3577099874634326</v>
      </c>
      <c r="Q374" s="7">
        <f>J374*'Model inputs'!$B$8</f>
        <v>2393.0000000000009</v>
      </c>
      <c r="R374" s="1" t="s">
        <v>162</v>
      </c>
      <c r="S374" s="1">
        <v>743</v>
      </c>
      <c r="T374" s="1">
        <v>762</v>
      </c>
    </row>
    <row r="375" spans="1:20" ht="21" customHeight="1">
      <c r="A375" s="8">
        <v>46275</v>
      </c>
      <c r="B375" s="1" t="s">
        <v>34</v>
      </c>
      <c r="C375" s="1" t="s">
        <v>87</v>
      </c>
      <c r="D375" s="7">
        <v>7200</v>
      </c>
      <c r="E375" s="7">
        <v>7400</v>
      </c>
      <c r="F375" s="7">
        <v>7600</v>
      </c>
      <c r="G375" s="7">
        <f>'Option source'!B292</f>
        <v>423.4</v>
      </c>
      <c r="H375" s="7">
        <f>'Option source'!B311</f>
        <v>328.35</v>
      </c>
      <c r="I375" s="7">
        <f>'Option source'!B330</f>
        <v>254.8</v>
      </c>
      <c r="J375" s="7">
        <f t="shared" si="35"/>
        <v>21.499999999999943</v>
      </c>
      <c r="K375" s="7">
        <f t="shared" si="36"/>
        <v>200</v>
      </c>
      <c r="L375" s="7">
        <f t="shared" si="37"/>
        <v>178.50000000000006</v>
      </c>
      <c r="M375" s="7">
        <f t="shared" si="38"/>
        <v>21.499999999999943</v>
      </c>
      <c r="N375" s="7">
        <f t="shared" si="39"/>
        <v>7221.5</v>
      </c>
      <c r="O375" s="7">
        <f t="shared" si="40"/>
        <v>7578.5</v>
      </c>
      <c r="P375" s="15">
        <f t="shared" si="41"/>
        <v>8.3023255813953742</v>
      </c>
      <c r="Q375" s="7">
        <f>J375*'Model inputs'!$B$8</f>
        <v>2149.9999999999945</v>
      </c>
      <c r="R375" s="1" t="s">
        <v>162</v>
      </c>
      <c r="S375" s="1">
        <v>287</v>
      </c>
      <c r="T375" s="1">
        <v>306</v>
      </c>
    </row>
    <row r="376" spans="1:20" ht="21" customHeight="1">
      <c r="A376" s="8">
        <v>46275</v>
      </c>
      <c r="B376" s="1" t="s">
        <v>34</v>
      </c>
      <c r="C376" s="1" t="s">
        <v>90</v>
      </c>
      <c r="D376" s="7">
        <v>7200</v>
      </c>
      <c r="E376" s="7">
        <v>7400</v>
      </c>
      <c r="F376" s="7">
        <v>7600</v>
      </c>
      <c r="G376" s="7">
        <f>'Option source'!B786</f>
        <v>344.11</v>
      </c>
      <c r="H376" s="7">
        <f>'Option source'!B805</f>
        <v>451.44</v>
      </c>
      <c r="I376" s="7">
        <f>'Option source'!B824</f>
        <v>569.29</v>
      </c>
      <c r="J376" s="7">
        <f t="shared" si="35"/>
        <v>10.519999999999982</v>
      </c>
      <c r="K376" s="7">
        <f t="shared" si="36"/>
        <v>200</v>
      </c>
      <c r="L376" s="7">
        <f t="shared" si="37"/>
        <v>189.48000000000002</v>
      </c>
      <c r="M376" s="7">
        <f t="shared" si="38"/>
        <v>10.519999999999982</v>
      </c>
      <c r="N376" s="7">
        <f t="shared" si="39"/>
        <v>7210.52</v>
      </c>
      <c r="O376" s="7">
        <f t="shared" si="40"/>
        <v>7589.48</v>
      </c>
      <c r="P376" s="15">
        <f t="shared" si="41"/>
        <v>18.011406844106496</v>
      </c>
      <c r="Q376" s="7">
        <f>J376*'Model inputs'!$B$8</f>
        <v>1051.9999999999982</v>
      </c>
      <c r="R376" s="1" t="s">
        <v>162</v>
      </c>
      <c r="S376" s="1">
        <v>781</v>
      </c>
      <c r="T376" s="1">
        <v>800</v>
      </c>
    </row>
    <row r="377" spans="1:20" ht="21" customHeight="1">
      <c r="A377" s="8">
        <v>46275</v>
      </c>
      <c r="B377" s="1" t="s">
        <v>34</v>
      </c>
      <c r="C377" s="1" t="s">
        <v>90</v>
      </c>
      <c r="D377" s="7">
        <v>6600</v>
      </c>
      <c r="E377" s="7">
        <v>6800</v>
      </c>
      <c r="F377" s="7">
        <v>7000</v>
      </c>
      <c r="G377" s="7">
        <f>'Option source'!B729</f>
        <v>119.26</v>
      </c>
      <c r="H377" s="7">
        <f>'Option source'!B748</f>
        <v>180.26</v>
      </c>
      <c r="I377" s="7">
        <f>'Option source'!B767</f>
        <v>250.22</v>
      </c>
      <c r="J377" s="7">
        <f t="shared" si="35"/>
        <v>8.960000000000008</v>
      </c>
      <c r="K377" s="7">
        <f t="shared" si="36"/>
        <v>200</v>
      </c>
      <c r="L377" s="7">
        <f t="shared" si="37"/>
        <v>191.04</v>
      </c>
      <c r="M377" s="7">
        <f t="shared" si="38"/>
        <v>8.960000000000008</v>
      </c>
      <c r="N377" s="7">
        <f t="shared" si="39"/>
        <v>6608.96</v>
      </c>
      <c r="O377" s="7">
        <f t="shared" si="40"/>
        <v>6991.04</v>
      </c>
      <c r="P377" s="15">
        <f t="shared" si="41"/>
        <v>21.321428571428552</v>
      </c>
      <c r="Q377" s="7">
        <f>J377*'Model inputs'!$B$8</f>
        <v>896.0000000000008</v>
      </c>
      <c r="R377" s="1" t="s">
        <v>162</v>
      </c>
      <c r="S377" s="1">
        <v>724</v>
      </c>
      <c r="T377" s="1">
        <v>743</v>
      </c>
    </row>
    <row r="378" spans="1:20" ht="21" customHeight="1">
      <c r="A378" s="8">
        <v>46275</v>
      </c>
      <c r="B378" s="1" t="s">
        <v>34</v>
      </c>
      <c r="C378" s="1" t="s">
        <v>87</v>
      </c>
      <c r="D378" s="7">
        <v>7400</v>
      </c>
      <c r="E378" s="7">
        <v>7600</v>
      </c>
      <c r="F378" s="7">
        <v>7800</v>
      </c>
      <c r="G378" s="7">
        <f>'Option source'!B311</f>
        <v>328.35</v>
      </c>
      <c r="H378" s="7">
        <f>'Option source'!B330</f>
        <v>254.8</v>
      </c>
      <c r="I378" s="7">
        <f>'Option source'!B349</f>
        <v>197.85</v>
      </c>
      <c r="J378" s="7">
        <f t="shared" si="35"/>
        <v>16.599999999999994</v>
      </c>
      <c r="K378" s="7">
        <f t="shared" si="36"/>
        <v>200</v>
      </c>
      <c r="L378" s="7">
        <f t="shared" si="37"/>
        <v>183.4</v>
      </c>
      <c r="M378" s="7">
        <f t="shared" si="38"/>
        <v>16.599999999999994</v>
      </c>
      <c r="N378" s="7">
        <f t="shared" si="39"/>
        <v>7416.6</v>
      </c>
      <c r="O378" s="7">
        <f t="shared" si="40"/>
        <v>7783.4</v>
      </c>
      <c r="P378" s="15">
        <f t="shared" si="41"/>
        <v>11.048192771084342</v>
      </c>
      <c r="Q378" s="7">
        <f>J378*'Model inputs'!$B$8</f>
        <v>1659.9999999999995</v>
      </c>
      <c r="R378" s="1" t="s">
        <v>162</v>
      </c>
      <c r="S378" s="1">
        <v>306</v>
      </c>
      <c r="T378" s="1">
        <v>325</v>
      </c>
    </row>
    <row r="379" spans="1:20" ht="21" customHeight="1">
      <c r="A379" s="8">
        <v>46275</v>
      </c>
      <c r="B379" s="1" t="s">
        <v>34</v>
      </c>
      <c r="C379" s="1" t="s">
        <v>87</v>
      </c>
      <c r="D379" s="7">
        <v>6400</v>
      </c>
      <c r="E379" s="7">
        <v>6600</v>
      </c>
      <c r="F379" s="7">
        <v>6800</v>
      </c>
      <c r="G379" s="7">
        <f>'Option source'!B216</f>
        <v>945</v>
      </c>
      <c r="H379" s="7">
        <f>'Option source'!B235</f>
        <v>763.51</v>
      </c>
      <c r="I379" s="7">
        <f>'Option source'!B254</f>
        <v>648.79</v>
      </c>
      <c r="J379" s="7">
        <f t="shared" si="35"/>
        <v>66.769999999999982</v>
      </c>
      <c r="K379" s="7">
        <f t="shared" si="36"/>
        <v>200</v>
      </c>
      <c r="L379" s="7">
        <f t="shared" si="37"/>
        <v>133.23000000000002</v>
      </c>
      <c r="M379" s="7">
        <f t="shared" si="38"/>
        <v>66.769999999999982</v>
      </c>
      <c r="N379" s="7">
        <f t="shared" si="39"/>
        <v>6466.77</v>
      </c>
      <c r="O379" s="7">
        <f t="shared" si="40"/>
        <v>6733.23</v>
      </c>
      <c r="P379" s="15">
        <f t="shared" si="41"/>
        <v>1.9953571963456651</v>
      </c>
      <c r="Q379" s="7">
        <f>J379*'Model inputs'!$B$8</f>
        <v>6676.9999999999982</v>
      </c>
      <c r="R379" s="1" t="s">
        <v>162</v>
      </c>
      <c r="S379" s="1">
        <v>211</v>
      </c>
      <c r="T379" s="1">
        <v>230</v>
      </c>
    </row>
    <row r="380" spans="1:20" ht="21" customHeight="1">
      <c r="A380" s="8">
        <v>46275</v>
      </c>
      <c r="B380" s="1" t="s">
        <v>34</v>
      </c>
      <c r="C380" s="1" t="s">
        <v>90</v>
      </c>
      <c r="D380" s="7">
        <v>6400</v>
      </c>
      <c r="E380" s="7">
        <v>6600</v>
      </c>
      <c r="F380" s="7">
        <v>6800</v>
      </c>
      <c r="G380" s="7">
        <f>'Option source'!B710</f>
        <v>79.55</v>
      </c>
      <c r="H380" s="7">
        <f>'Option source'!B729</f>
        <v>119.26</v>
      </c>
      <c r="I380" s="7">
        <f>'Option source'!B748</f>
        <v>180.26</v>
      </c>
      <c r="J380" s="7">
        <f t="shared" si="35"/>
        <v>21.289999999999964</v>
      </c>
      <c r="K380" s="7">
        <f t="shared" si="36"/>
        <v>200</v>
      </c>
      <c r="L380" s="7">
        <f t="shared" si="37"/>
        <v>178.71000000000004</v>
      </c>
      <c r="M380" s="7">
        <f t="shared" si="38"/>
        <v>21.289999999999964</v>
      </c>
      <c r="N380" s="7">
        <f t="shared" si="39"/>
        <v>6421.29</v>
      </c>
      <c r="O380" s="7">
        <f t="shared" si="40"/>
        <v>6778.71</v>
      </c>
      <c r="P380" s="15">
        <f t="shared" si="41"/>
        <v>8.3940817285110541</v>
      </c>
      <c r="Q380" s="7">
        <f>J380*'Model inputs'!$B$8</f>
        <v>2128.9999999999964</v>
      </c>
      <c r="R380" s="1" t="s">
        <v>162</v>
      </c>
      <c r="S380" s="1">
        <v>705</v>
      </c>
      <c r="T380" s="1">
        <v>724</v>
      </c>
    </row>
    <row r="381" spans="1:20" ht="21" customHeight="1">
      <c r="A381" s="8">
        <v>46275</v>
      </c>
      <c r="B381" s="1" t="s">
        <v>34</v>
      </c>
      <c r="C381" s="1" t="s">
        <v>87</v>
      </c>
      <c r="D381" s="7">
        <v>7600</v>
      </c>
      <c r="E381" s="7">
        <v>7800</v>
      </c>
      <c r="F381" s="7">
        <v>8000</v>
      </c>
      <c r="G381" s="7">
        <f>'Option source'!B330</f>
        <v>254.8</v>
      </c>
      <c r="H381" s="7">
        <f>'Option source'!B349</f>
        <v>197.85</v>
      </c>
      <c r="I381" s="7">
        <f>'Option source'!B368</f>
        <v>146.4</v>
      </c>
      <c r="J381" s="7">
        <f t="shared" si="35"/>
        <v>5.5000000000000284</v>
      </c>
      <c r="K381" s="7">
        <f t="shared" si="36"/>
        <v>200</v>
      </c>
      <c r="L381" s="7">
        <f t="shared" si="37"/>
        <v>194.49999999999997</v>
      </c>
      <c r="M381" s="7">
        <f t="shared" si="38"/>
        <v>5.5000000000000284</v>
      </c>
      <c r="N381" s="7">
        <f t="shared" si="39"/>
        <v>7605.5</v>
      </c>
      <c r="O381" s="7">
        <f t="shared" si="40"/>
        <v>7994.5</v>
      </c>
      <c r="P381" s="15">
        <f t="shared" si="41"/>
        <v>35.363636363636175</v>
      </c>
      <c r="Q381" s="7">
        <f>J381*'Model inputs'!$B$8</f>
        <v>550.00000000000284</v>
      </c>
      <c r="R381" s="1" t="s">
        <v>162</v>
      </c>
      <c r="S381" s="1">
        <v>325</v>
      </c>
      <c r="T381" s="1">
        <v>344</v>
      </c>
    </row>
    <row r="382" spans="1:20" ht="21" customHeight="1">
      <c r="A382" s="8">
        <v>46275</v>
      </c>
      <c r="B382" s="1" t="s">
        <v>34</v>
      </c>
      <c r="C382" s="1" t="s">
        <v>90</v>
      </c>
      <c r="D382" s="7">
        <v>6200</v>
      </c>
      <c r="E382" s="7">
        <v>6400</v>
      </c>
      <c r="F382" s="7">
        <v>6600</v>
      </c>
      <c r="G382" s="7">
        <f>'Option source'!B691</f>
        <v>50.26</v>
      </c>
      <c r="H382" s="7">
        <f>'Option source'!B710</f>
        <v>79.55</v>
      </c>
      <c r="I382" s="7">
        <f>'Option source'!B729</f>
        <v>119.26</v>
      </c>
      <c r="J382" s="7">
        <f t="shared" si="35"/>
        <v>10.420000000000002</v>
      </c>
      <c r="K382" s="7">
        <f t="shared" si="36"/>
        <v>200</v>
      </c>
      <c r="L382" s="7">
        <f t="shared" si="37"/>
        <v>189.57999999999998</v>
      </c>
      <c r="M382" s="7">
        <f t="shared" si="38"/>
        <v>10.420000000000002</v>
      </c>
      <c r="N382" s="7">
        <f t="shared" si="39"/>
        <v>6210.42</v>
      </c>
      <c r="O382" s="7">
        <f t="shared" si="40"/>
        <v>6589.58</v>
      </c>
      <c r="P382" s="15">
        <f t="shared" si="41"/>
        <v>18.193857965451052</v>
      </c>
      <c r="Q382" s="7">
        <f>J382*'Model inputs'!$B$8</f>
        <v>1042.0000000000002</v>
      </c>
      <c r="R382" s="1" t="s">
        <v>162</v>
      </c>
      <c r="S382" s="1">
        <v>686</v>
      </c>
      <c r="T382" s="1">
        <v>705</v>
      </c>
    </row>
    <row r="383" spans="1:20" ht="21" customHeight="1">
      <c r="A383" s="8">
        <v>46275</v>
      </c>
      <c r="B383" s="1" t="s">
        <v>34</v>
      </c>
      <c r="C383" s="1" t="s">
        <v>90</v>
      </c>
      <c r="D383" s="7">
        <v>6000</v>
      </c>
      <c r="E383" s="7">
        <v>6200</v>
      </c>
      <c r="F383" s="7">
        <v>6400</v>
      </c>
      <c r="G383" s="7">
        <f>'Option source'!B672</f>
        <v>29.33</v>
      </c>
      <c r="H383" s="7">
        <f>'Option source'!B691</f>
        <v>50.26</v>
      </c>
      <c r="I383" s="7">
        <f>'Option source'!B710</f>
        <v>79.55</v>
      </c>
      <c r="J383" s="7">
        <f t="shared" si="35"/>
        <v>8.36</v>
      </c>
      <c r="K383" s="7">
        <f t="shared" si="36"/>
        <v>200</v>
      </c>
      <c r="L383" s="7">
        <f t="shared" si="37"/>
        <v>191.64</v>
      </c>
      <c r="M383" s="7">
        <f t="shared" si="38"/>
        <v>8.36</v>
      </c>
      <c r="N383" s="7">
        <f t="shared" si="39"/>
        <v>6008.36</v>
      </c>
      <c r="O383" s="7">
        <f t="shared" si="40"/>
        <v>6391.64</v>
      </c>
      <c r="P383" s="15">
        <f t="shared" si="41"/>
        <v>22.923444976076556</v>
      </c>
      <c r="Q383" s="7">
        <f>J383*'Model inputs'!$B$8</f>
        <v>836</v>
      </c>
      <c r="R383" s="1" t="s">
        <v>162</v>
      </c>
      <c r="S383" s="1">
        <v>667</v>
      </c>
      <c r="T383" s="1">
        <v>686</v>
      </c>
    </row>
    <row r="384" spans="1:20" ht="21" customHeight="1">
      <c r="A384" s="8">
        <v>46275</v>
      </c>
      <c r="B384" s="1" t="s">
        <v>34</v>
      </c>
      <c r="C384" s="1" t="s">
        <v>90</v>
      </c>
      <c r="D384" s="7">
        <v>5800</v>
      </c>
      <c r="E384" s="7">
        <v>6000</v>
      </c>
      <c r="F384" s="7">
        <v>6200</v>
      </c>
      <c r="G384" s="7">
        <f>'Option source'!B653</f>
        <v>15.97</v>
      </c>
      <c r="H384" s="7">
        <f>'Option source'!B672</f>
        <v>29.33</v>
      </c>
      <c r="I384" s="7">
        <f>'Option source'!B691</f>
        <v>50.26</v>
      </c>
      <c r="J384" s="7">
        <f t="shared" si="35"/>
        <v>7.57</v>
      </c>
      <c r="K384" s="7">
        <f t="shared" si="36"/>
        <v>200</v>
      </c>
      <c r="L384" s="7">
        <f t="shared" si="37"/>
        <v>192.43</v>
      </c>
      <c r="M384" s="7">
        <f t="shared" si="38"/>
        <v>7.57</v>
      </c>
      <c r="N384" s="7">
        <f t="shared" si="39"/>
        <v>5807.57</v>
      </c>
      <c r="O384" s="7">
        <f t="shared" si="40"/>
        <v>6192.43</v>
      </c>
      <c r="P384" s="15">
        <f t="shared" si="41"/>
        <v>25.420079260237781</v>
      </c>
      <c r="Q384" s="7">
        <f>J384*'Model inputs'!$B$8</f>
        <v>757</v>
      </c>
      <c r="R384" s="1" t="s">
        <v>162</v>
      </c>
      <c r="S384" s="1">
        <v>648</v>
      </c>
      <c r="T384" s="1">
        <v>667</v>
      </c>
    </row>
    <row r="385" spans="1:20" ht="21" customHeight="1">
      <c r="A385" s="8">
        <v>46275</v>
      </c>
      <c r="B385" s="1" t="s">
        <v>34</v>
      </c>
      <c r="C385" s="1" t="s">
        <v>87</v>
      </c>
      <c r="D385" s="7">
        <v>8000</v>
      </c>
      <c r="E385" s="7">
        <v>8300</v>
      </c>
      <c r="F385" s="7">
        <v>8600</v>
      </c>
      <c r="G385" s="7">
        <f>'Option source'!B368</f>
        <v>146.4</v>
      </c>
      <c r="H385" s="7">
        <f>'Option source'!B387</f>
        <v>92.56</v>
      </c>
      <c r="I385" s="7">
        <f>'Option source'!B406</f>
        <v>53.67</v>
      </c>
      <c r="J385" s="7">
        <f t="shared" si="35"/>
        <v>14.950000000000003</v>
      </c>
      <c r="K385" s="7">
        <f t="shared" si="36"/>
        <v>300</v>
      </c>
      <c r="L385" s="7">
        <f t="shared" si="37"/>
        <v>285.05</v>
      </c>
      <c r="M385" s="7">
        <f t="shared" si="38"/>
        <v>14.950000000000003</v>
      </c>
      <c r="N385" s="7">
        <f t="shared" si="39"/>
        <v>8014.95</v>
      </c>
      <c r="O385" s="7">
        <f t="shared" si="40"/>
        <v>8585.0499999999993</v>
      </c>
      <c r="P385" s="15">
        <f t="shared" si="41"/>
        <v>19.066889632107021</v>
      </c>
      <c r="Q385" s="7">
        <f>J385*'Model inputs'!$B$8</f>
        <v>1495.0000000000002</v>
      </c>
      <c r="R385" s="1" t="s">
        <v>162</v>
      </c>
      <c r="S385" s="1">
        <v>363</v>
      </c>
      <c r="T385" s="1">
        <v>382</v>
      </c>
    </row>
    <row r="386" spans="1:20" ht="21" customHeight="1">
      <c r="A386" s="8">
        <v>46275</v>
      </c>
      <c r="B386" s="1" t="s">
        <v>34</v>
      </c>
      <c r="C386" s="1" t="s">
        <v>90</v>
      </c>
      <c r="D386" s="7">
        <v>5600</v>
      </c>
      <c r="E386" s="7">
        <v>5800</v>
      </c>
      <c r="F386" s="7">
        <v>6000</v>
      </c>
      <c r="G386" s="7">
        <f>'Option source'!B634</f>
        <v>8.4499999999999993</v>
      </c>
      <c r="H386" s="7">
        <f>'Option source'!B653</f>
        <v>15.97</v>
      </c>
      <c r="I386" s="7">
        <f>'Option source'!B672</f>
        <v>29.33</v>
      </c>
      <c r="J386" s="7">
        <f t="shared" si="35"/>
        <v>5.8399999999999963</v>
      </c>
      <c r="K386" s="7">
        <f t="shared" si="36"/>
        <v>200</v>
      </c>
      <c r="L386" s="7">
        <f t="shared" si="37"/>
        <v>194.16</v>
      </c>
      <c r="M386" s="7">
        <f t="shared" si="38"/>
        <v>5.8399999999999963</v>
      </c>
      <c r="N386" s="7">
        <f t="shared" si="39"/>
        <v>5605.84</v>
      </c>
      <c r="O386" s="7">
        <f t="shared" si="40"/>
        <v>5994.16</v>
      </c>
      <c r="P386" s="15">
        <f t="shared" si="41"/>
        <v>33.246575342465775</v>
      </c>
      <c r="Q386" s="7">
        <f>J386*'Model inputs'!$B$8</f>
        <v>583.99999999999966</v>
      </c>
      <c r="R386" s="1" t="s">
        <v>162</v>
      </c>
      <c r="S386" s="1">
        <v>629</v>
      </c>
      <c r="T386" s="1">
        <v>648</v>
      </c>
    </row>
    <row r="387" spans="1:20" ht="21" customHeight="1">
      <c r="A387" s="8">
        <v>46275</v>
      </c>
      <c r="B387" s="1" t="s">
        <v>34</v>
      </c>
      <c r="C387" s="1" t="s">
        <v>87</v>
      </c>
      <c r="D387" s="7">
        <v>8300</v>
      </c>
      <c r="E387" s="7">
        <v>8600</v>
      </c>
      <c r="F387" s="7">
        <v>8900</v>
      </c>
      <c r="G387" s="7">
        <f>'Option source'!B387</f>
        <v>92.56</v>
      </c>
      <c r="H387" s="7">
        <f>'Option source'!B406</f>
        <v>53.67</v>
      </c>
      <c r="I387" s="7">
        <f>'Option source'!B425</f>
        <v>31.79</v>
      </c>
      <c r="J387" s="7">
        <f t="shared" si="35"/>
        <v>17.009999999999998</v>
      </c>
      <c r="K387" s="7">
        <f t="shared" si="36"/>
        <v>300</v>
      </c>
      <c r="L387" s="7">
        <f t="shared" si="37"/>
        <v>282.99</v>
      </c>
      <c r="M387" s="7">
        <f t="shared" si="38"/>
        <v>17.009999999999998</v>
      </c>
      <c r="N387" s="7">
        <f t="shared" si="39"/>
        <v>8317.01</v>
      </c>
      <c r="O387" s="7">
        <f t="shared" si="40"/>
        <v>8882.99</v>
      </c>
      <c r="P387" s="15">
        <f t="shared" si="41"/>
        <v>16.636684303350972</v>
      </c>
      <c r="Q387" s="7">
        <f>J387*'Model inputs'!$B$8</f>
        <v>1700.9999999999998</v>
      </c>
      <c r="R387" s="1" t="s">
        <v>162</v>
      </c>
      <c r="S387" s="1">
        <v>382</v>
      </c>
      <c r="T387" s="1">
        <v>401</v>
      </c>
    </row>
    <row r="388" spans="1:20" ht="21" customHeight="1">
      <c r="A388" s="8">
        <v>46275</v>
      </c>
      <c r="B388" s="1" t="s">
        <v>34</v>
      </c>
      <c r="C388" s="1" t="s">
        <v>90</v>
      </c>
      <c r="D388" s="7">
        <v>5400</v>
      </c>
      <c r="E388" s="7">
        <v>5600</v>
      </c>
      <c r="F388" s="7">
        <v>5800</v>
      </c>
      <c r="G388" s="7">
        <f>'Option source'!B615</f>
        <v>4.5199999999999996</v>
      </c>
      <c r="H388" s="7">
        <f>'Option source'!B634</f>
        <v>8.4499999999999993</v>
      </c>
      <c r="I388" s="7">
        <f>'Option source'!B653</f>
        <v>15.97</v>
      </c>
      <c r="J388" s="7">
        <f t="shared" si="35"/>
        <v>3.5900000000000016</v>
      </c>
      <c r="K388" s="7">
        <f t="shared" si="36"/>
        <v>200</v>
      </c>
      <c r="L388" s="7">
        <f t="shared" si="37"/>
        <v>196.41</v>
      </c>
      <c r="M388" s="7">
        <f t="shared" si="38"/>
        <v>3.5900000000000016</v>
      </c>
      <c r="N388" s="7">
        <f t="shared" si="39"/>
        <v>5403.59</v>
      </c>
      <c r="O388" s="7">
        <f t="shared" si="40"/>
        <v>5796.41</v>
      </c>
      <c r="P388" s="15">
        <f t="shared" si="41"/>
        <v>54.710306406685213</v>
      </c>
      <c r="Q388" s="7">
        <f>J388*'Model inputs'!$B$8</f>
        <v>359.00000000000017</v>
      </c>
      <c r="R388" s="1" t="s">
        <v>162</v>
      </c>
      <c r="S388" s="1">
        <v>610</v>
      </c>
      <c r="T388" s="1">
        <v>629</v>
      </c>
    </row>
    <row r="389" spans="1:20" ht="21" customHeight="1">
      <c r="A389" s="8">
        <v>46275</v>
      </c>
      <c r="B389" s="1" t="s">
        <v>34</v>
      </c>
      <c r="C389" s="1" t="s">
        <v>90</v>
      </c>
      <c r="D389" s="7">
        <v>5200</v>
      </c>
      <c r="E389" s="7">
        <v>5400</v>
      </c>
      <c r="F389" s="7">
        <v>5600</v>
      </c>
      <c r="G389" s="7">
        <f>'Option source'!B596</f>
        <v>2.66</v>
      </c>
      <c r="H389" s="7">
        <f>'Option source'!B615</f>
        <v>4.5199999999999996</v>
      </c>
      <c r="I389" s="7">
        <f>'Option source'!B634</f>
        <v>8.4499999999999993</v>
      </c>
      <c r="J389" s="7">
        <f t="shared" si="35"/>
        <v>2.0700000000000003</v>
      </c>
      <c r="K389" s="7">
        <f t="shared" si="36"/>
        <v>200</v>
      </c>
      <c r="L389" s="7">
        <f t="shared" si="37"/>
        <v>197.93</v>
      </c>
      <c r="M389" s="7">
        <f t="shared" si="38"/>
        <v>2.0700000000000003</v>
      </c>
      <c r="N389" s="7">
        <f t="shared" si="39"/>
        <v>5202.07</v>
      </c>
      <c r="O389" s="7">
        <f t="shared" si="40"/>
        <v>5597.93</v>
      </c>
      <c r="P389" s="15">
        <f t="shared" si="41"/>
        <v>95.618357487922694</v>
      </c>
      <c r="Q389" s="7">
        <f>J389*'Model inputs'!$B$8</f>
        <v>207.00000000000003</v>
      </c>
      <c r="R389" s="1" t="s">
        <v>162</v>
      </c>
      <c r="S389" s="1">
        <v>591</v>
      </c>
      <c r="T389" s="1">
        <v>610</v>
      </c>
    </row>
    <row r="390" spans="1:20" ht="21" customHeight="1">
      <c r="A390" s="8">
        <v>46275</v>
      </c>
      <c r="B390" s="1" t="s">
        <v>34</v>
      </c>
      <c r="C390" s="1" t="s">
        <v>87</v>
      </c>
      <c r="D390" s="7">
        <v>8600</v>
      </c>
      <c r="E390" s="7">
        <v>8900</v>
      </c>
      <c r="F390" s="7">
        <v>9200</v>
      </c>
      <c r="G390" s="7">
        <f>'Option source'!B406</f>
        <v>53.67</v>
      </c>
      <c r="H390" s="7">
        <f>'Option source'!B425</f>
        <v>31.79</v>
      </c>
      <c r="I390" s="7">
        <f>'Option source'!B444</f>
        <v>18.48</v>
      </c>
      <c r="J390" s="7">
        <f t="shared" si="35"/>
        <v>8.5700000000000038</v>
      </c>
      <c r="K390" s="7">
        <f t="shared" si="36"/>
        <v>300</v>
      </c>
      <c r="L390" s="7">
        <f t="shared" si="37"/>
        <v>291.43</v>
      </c>
      <c r="M390" s="7">
        <f t="shared" si="38"/>
        <v>8.5700000000000038</v>
      </c>
      <c r="N390" s="7">
        <f t="shared" si="39"/>
        <v>8608.57</v>
      </c>
      <c r="O390" s="7">
        <f t="shared" si="40"/>
        <v>9191.43</v>
      </c>
      <c r="P390" s="15">
        <f t="shared" si="41"/>
        <v>34.005834305717606</v>
      </c>
      <c r="Q390" s="7">
        <f>J390*'Model inputs'!$B$8</f>
        <v>857.00000000000034</v>
      </c>
      <c r="R390" s="1" t="s">
        <v>162</v>
      </c>
      <c r="S390" s="1">
        <v>401</v>
      </c>
      <c r="T390" s="1">
        <v>420</v>
      </c>
    </row>
    <row r="391" spans="1:20" ht="21" customHeight="1">
      <c r="A391" s="8">
        <v>46275</v>
      </c>
      <c r="B391" s="1" t="s">
        <v>34</v>
      </c>
      <c r="C391" s="1" t="s">
        <v>90</v>
      </c>
      <c r="D391" s="7">
        <v>5000</v>
      </c>
      <c r="E391" s="7">
        <v>5200</v>
      </c>
      <c r="F391" s="7">
        <v>5400</v>
      </c>
      <c r="G391" s="7">
        <f>'Option source'!B577</f>
        <v>1.75</v>
      </c>
      <c r="H391" s="7">
        <f>'Option source'!B596</f>
        <v>2.66</v>
      </c>
      <c r="I391" s="7">
        <f>'Option source'!B615</f>
        <v>4.5199999999999996</v>
      </c>
      <c r="J391" s="7">
        <f t="shared" ref="J391:J454" si="42">G391-2*H391+IF(B391="Butterfly",I391,0)</f>
        <v>0.94999999999999929</v>
      </c>
      <c r="K391" s="7">
        <f t="shared" ref="K391:K454" si="43">ABS(E391-D391)</f>
        <v>200</v>
      </c>
      <c r="L391" s="7">
        <f t="shared" ref="L391:L454" si="44">K391-J391</f>
        <v>199.05</v>
      </c>
      <c r="M391" s="7">
        <f t="shared" ref="M391:M454" si="45">IF(B391="Butterfly",MAX(J391,0),IF(C391="call","Unlimited",MAX(2*E391-D391+J391,J391,0)))</f>
        <v>0.94999999999999929</v>
      </c>
      <c r="N391" s="7">
        <f t="shared" ref="N391:N454" si="46">IF(B391="Butterfly",IF(AND(J391&gt;0,J391&lt;K391),D391+J391,"n.a."),IF(C391="call",IF(AND(J391&gt;0,J391&lt;K391),D391+J391,"n.a."),IF(AND(K391&gt;J391,2*E391-D391+J391&gt;=0),2*E391-D391+J391,"n.a.")))</f>
        <v>5000.95</v>
      </c>
      <c r="O391" s="7">
        <f t="shared" ref="O391:O454" si="47">IF(B391="Butterfly",IF(AND(J391&gt;0,J391&lt;K391),F391-J391,"n.a."),IF(C391="call",IF(K391&gt;J391,2*E391-D391-J391,"n.a."),IF(AND(J391&gt;0,J391&lt;K391),D391-J391,"n.a.")))</f>
        <v>5399.05</v>
      </c>
      <c r="P391" s="15">
        <f t="shared" ref="P391:P454" si="48">IF(AND(B391="Butterfly",J391&gt;0,J391&lt;K391),L391/J391,"n.a.")</f>
        <v>209.52631578947384</v>
      </c>
      <c r="Q391" s="7">
        <f>J391*'Model inputs'!$B$8</f>
        <v>94.999999999999929</v>
      </c>
      <c r="R391" s="1" t="s">
        <v>162</v>
      </c>
      <c r="S391" s="1">
        <v>572</v>
      </c>
      <c r="T391" s="1">
        <v>591</v>
      </c>
    </row>
    <row r="392" spans="1:20" ht="21" customHeight="1">
      <c r="A392" s="8">
        <v>46275</v>
      </c>
      <c r="B392" s="1" t="s">
        <v>34</v>
      </c>
      <c r="C392" s="1" t="s">
        <v>87</v>
      </c>
      <c r="D392" s="7">
        <v>8900</v>
      </c>
      <c r="E392" s="7">
        <v>9200</v>
      </c>
      <c r="F392" s="7">
        <v>9500</v>
      </c>
      <c r="G392" s="7">
        <f>'Option source'!B425</f>
        <v>31.79</v>
      </c>
      <c r="H392" s="7">
        <f>'Option source'!B444</f>
        <v>18.48</v>
      </c>
      <c r="I392" s="7">
        <f>'Option source'!B463</f>
        <v>10.5</v>
      </c>
      <c r="J392" s="7">
        <f t="shared" si="42"/>
        <v>5.3299999999999983</v>
      </c>
      <c r="K392" s="7">
        <f t="shared" si="43"/>
        <v>300</v>
      </c>
      <c r="L392" s="7">
        <f t="shared" si="44"/>
        <v>294.67</v>
      </c>
      <c r="M392" s="7">
        <f t="shared" si="45"/>
        <v>5.3299999999999983</v>
      </c>
      <c r="N392" s="7">
        <f t="shared" si="46"/>
        <v>8905.33</v>
      </c>
      <c r="O392" s="7">
        <f t="shared" si="47"/>
        <v>9494.67</v>
      </c>
      <c r="P392" s="15">
        <f t="shared" si="48"/>
        <v>55.285178236397769</v>
      </c>
      <c r="Q392" s="7">
        <f>J392*'Model inputs'!$B$8</f>
        <v>532.99999999999977</v>
      </c>
      <c r="R392" s="1" t="s">
        <v>162</v>
      </c>
      <c r="S392" s="1">
        <v>420</v>
      </c>
      <c r="T392" s="1">
        <v>439</v>
      </c>
    </row>
    <row r="393" spans="1:20" ht="21" customHeight="1">
      <c r="A393" s="8">
        <v>46275</v>
      </c>
      <c r="B393" s="1" t="s">
        <v>34</v>
      </c>
      <c r="C393" s="1" t="s">
        <v>90</v>
      </c>
      <c r="D393" s="7">
        <v>4800</v>
      </c>
      <c r="E393" s="7">
        <v>5000</v>
      </c>
      <c r="F393" s="7">
        <v>5200</v>
      </c>
      <c r="G393" s="7">
        <f>'Option source'!B558</f>
        <v>1.29</v>
      </c>
      <c r="H393" s="7">
        <f>'Option source'!B577</f>
        <v>1.75</v>
      </c>
      <c r="I393" s="7">
        <f>'Option source'!B596</f>
        <v>2.66</v>
      </c>
      <c r="J393" s="7">
        <f t="shared" si="42"/>
        <v>0.45000000000000018</v>
      </c>
      <c r="K393" s="7">
        <f t="shared" si="43"/>
        <v>200</v>
      </c>
      <c r="L393" s="7">
        <f t="shared" si="44"/>
        <v>199.55</v>
      </c>
      <c r="M393" s="7">
        <f t="shared" si="45"/>
        <v>0.45000000000000018</v>
      </c>
      <c r="N393" s="7">
        <f t="shared" si="46"/>
        <v>4800.45</v>
      </c>
      <c r="O393" s="7">
        <f t="shared" si="47"/>
        <v>5199.55</v>
      </c>
      <c r="P393" s="15">
        <f t="shared" si="48"/>
        <v>443.44444444444429</v>
      </c>
      <c r="Q393" s="7">
        <f>J393*'Model inputs'!$B$8</f>
        <v>45.000000000000014</v>
      </c>
      <c r="R393" s="1" t="s">
        <v>162</v>
      </c>
      <c r="S393" s="1">
        <v>553</v>
      </c>
      <c r="T393" s="1">
        <v>572</v>
      </c>
    </row>
    <row r="394" spans="1:20" ht="21" customHeight="1">
      <c r="A394" s="8">
        <v>46275</v>
      </c>
      <c r="B394" s="1" t="s">
        <v>34</v>
      </c>
      <c r="C394" s="1" t="s">
        <v>90</v>
      </c>
      <c r="D394" s="7">
        <v>4600</v>
      </c>
      <c r="E394" s="7">
        <v>4800</v>
      </c>
      <c r="F394" s="7">
        <v>5000</v>
      </c>
      <c r="G394" s="7">
        <f>'Option source'!B539</f>
        <v>1.0900000000000001</v>
      </c>
      <c r="H394" s="7">
        <f>'Option source'!B558</f>
        <v>1.29</v>
      </c>
      <c r="I394" s="7">
        <f>'Option source'!B577</f>
        <v>1.75</v>
      </c>
      <c r="J394" s="7">
        <f t="shared" si="42"/>
        <v>0.26</v>
      </c>
      <c r="K394" s="7">
        <f t="shared" si="43"/>
        <v>200</v>
      </c>
      <c r="L394" s="7">
        <f t="shared" si="44"/>
        <v>199.74</v>
      </c>
      <c r="M394" s="7">
        <f t="shared" si="45"/>
        <v>0.26</v>
      </c>
      <c r="N394" s="7">
        <f t="shared" si="46"/>
        <v>4600.26</v>
      </c>
      <c r="O394" s="7">
        <f t="shared" si="47"/>
        <v>4999.74</v>
      </c>
      <c r="P394" s="15">
        <f t="shared" si="48"/>
        <v>768.23076923076928</v>
      </c>
      <c r="Q394" s="7">
        <f>J394*'Model inputs'!$B$8</f>
        <v>26</v>
      </c>
      <c r="R394" s="1" t="s">
        <v>162</v>
      </c>
      <c r="S394" s="1">
        <v>534</v>
      </c>
      <c r="T394" s="1">
        <v>553</v>
      </c>
    </row>
    <row r="395" spans="1:20" ht="21" customHeight="1">
      <c r="A395" s="8">
        <v>46275</v>
      </c>
      <c r="B395" s="1" t="s">
        <v>34</v>
      </c>
      <c r="C395" s="1" t="s">
        <v>90</v>
      </c>
      <c r="D395" s="7">
        <v>4400</v>
      </c>
      <c r="E395" s="7">
        <v>4600</v>
      </c>
      <c r="F395" s="7">
        <v>4800</v>
      </c>
      <c r="G395" s="7">
        <f>'Option source'!B520</f>
        <v>1</v>
      </c>
      <c r="H395" s="7">
        <f>'Option source'!B539</f>
        <v>1.0900000000000001</v>
      </c>
      <c r="I395" s="7">
        <f>'Option source'!B558</f>
        <v>1.29</v>
      </c>
      <c r="J395" s="7">
        <f t="shared" si="42"/>
        <v>0.10999999999999988</v>
      </c>
      <c r="K395" s="7">
        <f t="shared" si="43"/>
        <v>200</v>
      </c>
      <c r="L395" s="7">
        <f t="shared" si="44"/>
        <v>199.89</v>
      </c>
      <c r="M395" s="7">
        <f t="shared" si="45"/>
        <v>0.10999999999999988</v>
      </c>
      <c r="N395" s="7">
        <f t="shared" si="46"/>
        <v>4400.1099999999997</v>
      </c>
      <c r="O395" s="7">
        <f t="shared" si="47"/>
        <v>4799.8900000000003</v>
      </c>
      <c r="P395" s="15">
        <f t="shared" si="48"/>
        <v>1817.1818181818201</v>
      </c>
      <c r="Q395" s="7">
        <f>J395*'Model inputs'!$B$8</f>
        <v>10.999999999999988</v>
      </c>
      <c r="R395" s="1" t="s">
        <v>162</v>
      </c>
      <c r="S395" s="1">
        <v>515</v>
      </c>
      <c r="T395" s="1">
        <v>534</v>
      </c>
    </row>
    <row r="396" spans="1:20" ht="21" customHeight="1">
      <c r="A396" s="8">
        <v>46275</v>
      </c>
      <c r="B396" s="1" t="s">
        <v>34</v>
      </c>
      <c r="C396" s="1" t="s">
        <v>87</v>
      </c>
      <c r="D396" s="7">
        <v>6600</v>
      </c>
      <c r="E396" s="7">
        <v>6800</v>
      </c>
      <c r="F396" s="7">
        <v>7000</v>
      </c>
      <c r="G396" s="7">
        <f>'Option source'!B235</f>
        <v>763.51</v>
      </c>
      <c r="H396" s="7">
        <f>'Option source'!B254</f>
        <v>648.79</v>
      </c>
      <c r="I396" s="7">
        <f>'Option source'!B273</f>
        <v>523.63</v>
      </c>
      <c r="J396" s="7">
        <f t="shared" si="42"/>
        <v>-10.439999999999941</v>
      </c>
      <c r="K396" s="7">
        <f t="shared" si="43"/>
        <v>200</v>
      </c>
      <c r="L396" s="7">
        <f t="shared" si="44"/>
        <v>210.43999999999994</v>
      </c>
      <c r="M396" s="7">
        <f t="shared" si="45"/>
        <v>0</v>
      </c>
      <c r="N396" s="7" t="str">
        <f t="shared" si="46"/>
        <v>n.a.</v>
      </c>
      <c r="O396" s="7" t="str">
        <f t="shared" si="47"/>
        <v>n.a.</v>
      </c>
      <c r="P396" s="15" t="str">
        <f t="shared" si="48"/>
        <v>n.a.</v>
      </c>
      <c r="Q396" s="7">
        <f>J396*'Model inputs'!$B$8</f>
        <v>-1043.9999999999941</v>
      </c>
      <c r="R396" s="1" t="s">
        <v>163</v>
      </c>
      <c r="S396" s="1">
        <v>230</v>
      </c>
      <c r="T396" s="1">
        <v>249</v>
      </c>
    </row>
    <row r="397" spans="1:20" ht="21" customHeight="1">
      <c r="A397" s="8">
        <v>46275</v>
      </c>
      <c r="B397" s="1" t="s">
        <v>34</v>
      </c>
      <c r="C397" s="1" t="s">
        <v>90</v>
      </c>
      <c r="D397" s="7">
        <v>7400</v>
      </c>
      <c r="E397" s="7">
        <v>7600</v>
      </c>
      <c r="F397" s="7">
        <v>7800</v>
      </c>
      <c r="G397" s="7">
        <f>'Option source'!B805</f>
        <v>451.44</v>
      </c>
      <c r="H397" s="7">
        <f>'Option source'!B824</f>
        <v>569.29</v>
      </c>
      <c r="I397" s="7">
        <f>'Option source'!B843</f>
        <v>720</v>
      </c>
      <c r="J397" s="7">
        <f t="shared" si="42"/>
        <v>32.860000000000127</v>
      </c>
      <c r="K397" s="7">
        <f t="shared" si="43"/>
        <v>200</v>
      </c>
      <c r="L397" s="7">
        <f t="shared" si="44"/>
        <v>167.13999999999987</v>
      </c>
      <c r="M397" s="7">
        <f t="shared" si="45"/>
        <v>32.860000000000127</v>
      </c>
      <c r="N397" s="7">
        <f t="shared" si="46"/>
        <v>7432.8600000000006</v>
      </c>
      <c r="O397" s="7">
        <f t="shared" si="47"/>
        <v>7767.1399999999994</v>
      </c>
      <c r="P397" s="15">
        <f t="shared" si="48"/>
        <v>5.0864272671941331</v>
      </c>
      <c r="Q397" s="7">
        <f>J397*'Model inputs'!$B$8</f>
        <v>3286.0000000000127</v>
      </c>
      <c r="R397" s="1" t="s">
        <v>164</v>
      </c>
      <c r="S397" s="1">
        <v>800</v>
      </c>
      <c r="T397" s="1">
        <v>819</v>
      </c>
    </row>
    <row r="398" spans="1:20" ht="21" customHeight="1">
      <c r="A398" s="8">
        <v>46275</v>
      </c>
      <c r="B398" s="1" t="s">
        <v>34</v>
      </c>
      <c r="C398" s="1" t="s">
        <v>90</v>
      </c>
      <c r="D398" s="7">
        <v>7600</v>
      </c>
      <c r="E398" s="7">
        <v>7800</v>
      </c>
      <c r="F398" s="7">
        <v>8000</v>
      </c>
      <c r="G398" s="7">
        <f>'Option source'!B824</f>
        <v>569.29</v>
      </c>
      <c r="H398" s="7">
        <f>'Option source'!B843</f>
        <v>720</v>
      </c>
      <c r="I398" s="7">
        <f>'Option source'!B862</f>
        <v>835</v>
      </c>
      <c r="J398" s="7">
        <f t="shared" si="42"/>
        <v>-35.710000000000036</v>
      </c>
      <c r="K398" s="7">
        <f t="shared" si="43"/>
        <v>200</v>
      </c>
      <c r="L398" s="7">
        <f t="shared" si="44"/>
        <v>235.71000000000004</v>
      </c>
      <c r="M398" s="7">
        <f t="shared" si="45"/>
        <v>0</v>
      </c>
      <c r="N398" s="7" t="str">
        <f t="shared" si="46"/>
        <v>n.a.</v>
      </c>
      <c r="O398" s="7" t="str">
        <f t="shared" si="47"/>
        <v>n.a.</v>
      </c>
      <c r="P398" s="15" t="str">
        <f t="shared" si="48"/>
        <v>n.a.</v>
      </c>
      <c r="Q398" s="7">
        <f>J398*'Model inputs'!$B$8</f>
        <v>-3571.0000000000036</v>
      </c>
      <c r="R398" s="1" t="s">
        <v>163</v>
      </c>
      <c r="S398" s="1">
        <v>819</v>
      </c>
      <c r="T398" s="1">
        <v>838</v>
      </c>
    </row>
    <row r="399" spans="1:20" ht="21" customHeight="1">
      <c r="A399" s="8">
        <v>46275</v>
      </c>
      <c r="B399" s="1" t="s">
        <v>34</v>
      </c>
      <c r="C399" s="1" t="s">
        <v>87</v>
      </c>
      <c r="D399" s="7">
        <v>6200</v>
      </c>
      <c r="E399" s="7">
        <v>6400</v>
      </c>
      <c r="F399" s="7">
        <v>6600</v>
      </c>
      <c r="G399" s="7">
        <f>'Option source'!B197</f>
        <v>1112.5</v>
      </c>
      <c r="H399" s="7">
        <f>'Option source'!B216</f>
        <v>945</v>
      </c>
      <c r="I399" s="7">
        <f>'Option source'!B235</f>
        <v>763.51</v>
      </c>
      <c r="J399" s="7">
        <f t="shared" si="42"/>
        <v>-13.990000000000009</v>
      </c>
      <c r="K399" s="7">
        <f t="shared" si="43"/>
        <v>200</v>
      </c>
      <c r="L399" s="7">
        <f t="shared" si="44"/>
        <v>213.99</v>
      </c>
      <c r="M399" s="7">
        <f t="shared" si="45"/>
        <v>0</v>
      </c>
      <c r="N399" s="7" t="str">
        <f t="shared" si="46"/>
        <v>n.a.</v>
      </c>
      <c r="O399" s="7" t="str">
        <f t="shared" si="47"/>
        <v>n.a.</v>
      </c>
      <c r="P399" s="15" t="str">
        <f t="shared" si="48"/>
        <v>n.a.</v>
      </c>
      <c r="Q399" s="7">
        <f>J399*'Model inputs'!$B$8</f>
        <v>-1399.0000000000009</v>
      </c>
      <c r="R399" s="1" t="s">
        <v>163</v>
      </c>
      <c r="S399" s="1">
        <v>192</v>
      </c>
      <c r="T399" s="1">
        <v>211</v>
      </c>
    </row>
    <row r="400" spans="1:20" ht="21" customHeight="1">
      <c r="A400" s="8">
        <v>46275</v>
      </c>
      <c r="B400" s="1" t="s">
        <v>34</v>
      </c>
      <c r="C400" s="1" t="s">
        <v>87</v>
      </c>
      <c r="D400" s="7">
        <v>6000</v>
      </c>
      <c r="E400" s="7">
        <v>6200</v>
      </c>
      <c r="F400" s="7">
        <v>6400</v>
      </c>
      <c r="G400" s="7">
        <f>'Option source'!B178</f>
        <v>1269.8</v>
      </c>
      <c r="H400" s="7">
        <f>'Option source'!B197</f>
        <v>1112.5</v>
      </c>
      <c r="I400" s="7">
        <f>'Option source'!B216</f>
        <v>945</v>
      </c>
      <c r="J400" s="7">
        <f t="shared" si="42"/>
        <v>-10.200000000000045</v>
      </c>
      <c r="K400" s="7">
        <f t="shared" si="43"/>
        <v>200</v>
      </c>
      <c r="L400" s="7">
        <f t="shared" si="44"/>
        <v>210.20000000000005</v>
      </c>
      <c r="M400" s="7">
        <f t="shared" si="45"/>
        <v>0</v>
      </c>
      <c r="N400" s="7" t="str">
        <f t="shared" si="46"/>
        <v>n.a.</v>
      </c>
      <c r="O400" s="7" t="str">
        <f t="shared" si="47"/>
        <v>n.a.</v>
      </c>
      <c r="P400" s="15" t="str">
        <f t="shared" si="48"/>
        <v>n.a.</v>
      </c>
      <c r="Q400" s="7">
        <f>J400*'Model inputs'!$B$8</f>
        <v>-1020.0000000000045</v>
      </c>
      <c r="R400" s="1" t="s">
        <v>163</v>
      </c>
      <c r="S400" s="1">
        <v>173</v>
      </c>
      <c r="T400" s="1">
        <v>192</v>
      </c>
    </row>
    <row r="401" spans="1:20" ht="21" customHeight="1">
      <c r="A401" s="8">
        <v>46275</v>
      </c>
      <c r="B401" s="1" t="s">
        <v>34</v>
      </c>
      <c r="C401" s="1" t="s">
        <v>87</v>
      </c>
      <c r="D401" s="7">
        <v>5800</v>
      </c>
      <c r="E401" s="7">
        <v>6000</v>
      </c>
      <c r="F401" s="7">
        <v>6200</v>
      </c>
      <c r="G401" s="7">
        <f>'Option source'!B159</f>
        <v>1483.43</v>
      </c>
      <c r="H401" s="7">
        <f>'Option source'!B178</f>
        <v>1269.8</v>
      </c>
      <c r="I401" s="7">
        <f>'Option source'!B197</f>
        <v>1112.5</v>
      </c>
      <c r="J401" s="7">
        <f t="shared" si="42"/>
        <v>56.330000000000155</v>
      </c>
      <c r="K401" s="7">
        <f t="shared" si="43"/>
        <v>200</v>
      </c>
      <c r="L401" s="7">
        <f t="shared" si="44"/>
        <v>143.66999999999985</v>
      </c>
      <c r="M401" s="7">
        <f t="shared" si="45"/>
        <v>56.330000000000155</v>
      </c>
      <c r="N401" s="7">
        <f t="shared" si="46"/>
        <v>5856.33</v>
      </c>
      <c r="O401" s="7">
        <f t="shared" si="47"/>
        <v>6143.67</v>
      </c>
      <c r="P401" s="15">
        <f t="shared" si="48"/>
        <v>2.5505059470974518</v>
      </c>
      <c r="Q401" s="7">
        <f>J401*'Model inputs'!$B$8</f>
        <v>5633.0000000000155</v>
      </c>
      <c r="R401" s="1" t="s">
        <v>164</v>
      </c>
      <c r="S401" s="1">
        <v>154</v>
      </c>
      <c r="T401" s="1">
        <v>173</v>
      </c>
    </row>
    <row r="402" spans="1:20" ht="21" customHeight="1">
      <c r="A402" s="8">
        <v>46275</v>
      </c>
      <c r="B402" s="1" t="s">
        <v>34</v>
      </c>
      <c r="C402" s="1" t="s">
        <v>90</v>
      </c>
      <c r="D402" s="7">
        <v>8000</v>
      </c>
      <c r="E402" s="7">
        <v>8300</v>
      </c>
      <c r="F402" s="7">
        <v>8600</v>
      </c>
      <c r="G402" s="7">
        <f>'Option source'!B862</f>
        <v>835</v>
      </c>
      <c r="H402" s="7">
        <f>'Option source'!B881</f>
        <v>1160</v>
      </c>
      <c r="I402" s="7">
        <f>'Option source'!B900</f>
        <v>1483.75</v>
      </c>
      <c r="J402" s="7">
        <f t="shared" si="42"/>
        <v>-1.25</v>
      </c>
      <c r="K402" s="7">
        <f t="shared" si="43"/>
        <v>300</v>
      </c>
      <c r="L402" s="7">
        <f t="shared" si="44"/>
        <v>301.25</v>
      </c>
      <c r="M402" s="7">
        <f t="shared" si="45"/>
        <v>0</v>
      </c>
      <c r="N402" s="7" t="str">
        <f t="shared" si="46"/>
        <v>n.a.</v>
      </c>
      <c r="O402" s="7" t="str">
        <f t="shared" si="47"/>
        <v>n.a.</v>
      </c>
      <c r="P402" s="15" t="str">
        <f t="shared" si="48"/>
        <v>n.a.</v>
      </c>
      <c r="Q402" s="7">
        <f>J402*'Model inputs'!$B$8</f>
        <v>-125</v>
      </c>
      <c r="R402" s="1" t="s">
        <v>163</v>
      </c>
      <c r="S402" s="1">
        <v>857</v>
      </c>
      <c r="T402" s="1">
        <v>876</v>
      </c>
    </row>
    <row r="403" spans="1:20" ht="21" customHeight="1">
      <c r="A403" s="8">
        <v>46275</v>
      </c>
      <c r="B403" s="1" t="s">
        <v>34</v>
      </c>
      <c r="C403" s="1" t="s">
        <v>87</v>
      </c>
      <c r="D403" s="7">
        <v>5600</v>
      </c>
      <c r="E403" s="7">
        <v>5800</v>
      </c>
      <c r="F403" s="7">
        <v>6000</v>
      </c>
      <c r="G403" s="7">
        <f>'Option source'!B149</f>
        <v>1600</v>
      </c>
      <c r="H403" s="7">
        <f>'Option source'!B159</f>
        <v>1483.43</v>
      </c>
      <c r="I403" s="7">
        <f>'Option source'!B178</f>
        <v>1269.8</v>
      </c>
      <c r="J403" s="7">
        <f t="shared" si="42"/>
        <v>-97.060000000000173</v>
      </c>
      <c r="K403" s="7">
        <f t="shared" si="43"/>
        <v>200</v>
      </c>
      <c r="L403" s="7">
        <f t="shared" si="44"/>
        <v>297.06000000000017</v>
      </c>
      <c r="M403" s="7">
        <f t="shared" si="45"/>
        <v>0</v>
      </c>
      <c r="N403" s="7" t="str">
        <f t="shared" si="46"/>
        <v>n.a.</v>
      </c>
      <c r="O403" s="7" t="str">
        <f t="shared" si="47"/>
        <v>n.a.</v>
      </c>
      <c r="P403" s="15" t="str">
        <f t="shared" si="48"/>
        <v>n.a.</v>
      </c>
      <c r="Q403" s="7">
        <f>J403*'Model inputs'!$B$8</f>
        <v>-9706.0000000000182</v>
      </c>
      <c r="R403" s="1" t="s">
        <v>163</v>
      </c>
      <c r="S403" s="1">
        <v>144</v>
      </c>
      <c r="T403" s="1">
        <v>154</v>
      </c>
    </row>
    <row r="404" spans="1:20" ht="21" customHeight="1">
      <c r="A404" s="8">
        <v>46275</v>
      </c>
      <c r="B404" s="1" t="s">
        <v>34</v>
      </c>
      <c r="C404" s="1" t="s">
        <v>90</v>
      </c>
      <c r="D404" s="7">
        <v>8300</v>
      </c>
      <c r="E404" s="7">
        <v>8600</v>
      </c>
      <c r="F404" s="7">
        <v>8900</v>
      </c>
      <c r="G404" s="7">
        <f>'Option source'!B881</f>
        <v>1160</v>
      </c>
      <c r="H404" s="7">
        <f>'Option source'!B900</f>
        <v>1483.75</v>
      </c>
      <c r="I404" s="7">
        <f>'Option source'!B915</f>
        <v>2022.5</v>
      </c>
      <c r="J404" s="7">
        <f t="shared" si="42"/>
        <v>215</v>
      </c>
      <c r="K404" s="7">
        <f t="shared" si="43"/>
        <v>300</v>
      </c>
      <c r="L404" s="7">
        <f t="shared" si="44"/>
        <v>85</v>
      </c>
      <c r="M404" s="7">
        <f t="shared" si="45"/>
        <v>215</v>
      </c>
      <c r="N404" s="7">
        <f t="shared" si="46"/>
        <v>8515</v>
      </c>
      <c r="O404" s="7">
        <f t="shared" si="47"/>
        <v>8685</v>
      </c>
      <c r="P404" s="15">
        <f t="shared" si="48"/>
        <v>0.39534883720930231</v>
      </c>
      <c r="Q404" s="7">
        <f>J404*'Model inputs'!$B$8</f>
        <v>21500</v>
      </c>
      <c r="R404" s="1" t="s">
        <v>164</v>
      </c>
      <c r="S404" s="1">
        <v>876</v>
      </c>
      <c r="T404" s="1">
        <v>895</v>
      </c>
    </row>
    <row r="405" spans="1:20" ht="21" customHeight="1">
      <c r="A405" s="8">
        <v>46275</v>
      </c>
      <c r="B405" s="1" t="s">
        <v>34</v>
      </c>
      <c r="C405" s="1" t="s">
        <v>87</v>
      </c>
      <c r="D405" s="7">
        <v>5400</v>
      </c>
      <c r="E405" s="7">
        <v>5600</v>
      </c>
      <c r="F405" s="7">
        <v>5800</v>
      </c>
      <c r="G405" s="7">
        <f>'Option source'!B131</f>
        <v>1846.26</v>
      </c>
      <c r="H405" s="7">
        <f>'Option source'!B149</f>
        <v>1600</v>
      </c>
      <c r="I405" s="7">
        <f>'Option source'!B159</f>
        <v>1483.43</v>
      </c>
      <c r="J405" s="7">
        <f t="shared" si="42"/>
        <v>129.69000000000005</v>
      </c>
      <c r="K405" s="7">
        <f t="shared" si="43"/>
        <v>200</v>
      </c>
      <c r="L405" s="7">
        <f t="shared" si="44"/>
        <v>70.309999999999945</v>
      </c>
      <c r="M405" s="7">
        <f t="shared" si="45"/>
        <v>129.69000000000005</v>
      </c>
      <c r="N405" s="7">
        <f t="shared" si="46"/>
        <v>5529.6900000000005</v>
      </c>
      <c r="O405" s="7">
        <f t="shared" si="47"/>
        <v>5670.3099999999995</v>
      </c>
      <c r="P405" s="15">
        <f t="shared" si="48"/>
        <v>0.54213894671909879</v>
      </c>
      <c r="Q405" s="7">
        <f>J405*'Model inputs'!$B$8</f>
        <v>12969.000000000005</v>
      </c>
      <c r="R405" s="1" t="s">
        <v>164</v>
      </c>
      <c r="S405" s="1">
        <v>126</v>
      </c>
      <c r="T405" s="1">
        <v>144</v>
      </c>
    </row>
    <row r="406" spans="1:20" ht="21" customHeight="1">
      <c r="A406" s="8">
        <v>46275</v>
      </c>
      <c r="B406" s="1" t="s">
        <v>34</v>
      </c>
      <c r="C406" s="1" t="s">
        <v>87</v>
      </c>
      <c r="D406" s="7">
        <v>5200</v>
      </c>
      <c r="E406" s="7">
        <v>5400</v>
      </c>
      <c r="F406" s="7">
        <v>5600</v>
      </c>
      <c r="G406" s="7">
        <f>'Option source'!B112</f>
        <v>1992.7</v>
      </c>
      <c r="H406" s="7">
        <f>'Option source'!B131</f>
        <v>1846.26</v>
      </c>
      <c r="I406" s="7">
        <f>'Option source'!B149</f>
        <v>1600</v>
      </c>
      <c r="J406" s="7">
        <f t="shared" si="42"/>
        <v>-99.819999999999936</v>
      </c>
      <c r="K406" s="7">
        <f t="shared" si="43"/>
        <v>200</v>
      </c>
      <c r="L406" s="7">
        <f t="shared" si="44"/>
        <v>299.81999999999994</v>
      </c>
      <c r="M406" s="7">
        <f t="shared" si="45"/>
        <v>0</v>
      </c>
      <c r="N406" s="7" t="str">
        <f t="shared" si="46"/>
        <v>n.a.</v>
      </c>
      <c r="O406" s="7" t="str">
        <f t="shared" si="47"/>
        <v>n.a.</v>
      </c>
      <c r="P406" s="15" t="str">
        <f t="shared" si="48"/>
        <v>n.a.</v>
      </c>
      <c r="Q406" s="7">
        <f>J406*'Model inputs'!$B$8</f>
        <v>-9981.9999999999927</v>
      </c>
      <c r="R406" s="1" t="s">
        <v>163</v>
      </c>
      <c r="S406" s="1">
        <v>107</v>
      </c>
      <c r="T406" s="1">
        <v>126</v>
      </c>
    </row>
    <row r="407" spans="1:20" ht="21" customHeight="1">
      <c r="A407" s="8">
        <v>46275</v>
      </c>
      <c r="B407" s="1" t="s">
        <v>34</v>
      </c>
      <c r="C407" s="1" t="s">
        <v>90</v>
      </c>
      <c r="D407" s="7">
        <v>8600</v>
      </c>
      <c r="E407" s="7">
        <v>8900</v>
      </c>
      <c r="F407" s="7">
        <v>9200</v>
      </c>
      <c r="G407" s="7">
        <f>'Option source'!B900</f>
        <v>1483.75</v>
      </c>
      <c r="H407" s="7">
        <f>'Option source'!B915</f>
        <v>2022.5</v>
      </c>
      <c r="I407" s="7">
        <f>'Option source'!B922</f>
        <v>2000</v>
      </c>
      <c r="J407" s="7">
        <f t="shared" si="42"/>
        <v>-561.25</v>
      </c>
      <c r="K407" s="7">
        <f t="shared" si="43"/>
        <v>300</v>
      </c>
      <c r="L407" s="7">
        <f t="shared" si="44"/>
        <v>861.25</v>
      </c>
      <c r="M407" s="7">
        <f t="shared" si="45"/>
        <v>0</v>
      </c>
      <c r="N407" s="7" t="str">
        <f t="shared" si="46"/>
        <v>n.a.</v>
      </c>
      <c r="O407" s="7" t="str">
        <f t="shared" si="47"/>
        <v>n.a.</v>
      </c>
      <c r="P407" s="15" t="str">
        <f t="shared" si="48"/>
        <v>n.a.</v>
      </c>
      <c r="Q407" s="7">
        <f>J407*'Model inputs'!$B$8</f>
        <v>-56125</v>
      </c>
      <c r="R407" s="1" t="s">
        <v>163</v>
      </c>
      <c r="S407" s="1">
        <v>895</v>
      </c>
      <c r="T407" s="1">
        <v>910</v>
      </c>
    </row>
    <row r="408" spans="1:20" ht="21" customHeight="1">
      <c r="A408" s="8">
        <v>46275</v>
      </c>
      <c r="B408" s="1" t="s">
        <v>34</v>
      </c>
      <c r="C408" s="1" t="s">
        <v>87</v>
      </c>
      <c r="D408" s="7">
        <v>5000</v>
      </c>
      <c r="E408" s="7">
        <v>5200</v>
      </c>
      <c r="F408" s="7">
        <v>5400</v>
      </c>
      <c r="G408" s="7">
        <f>'Option source'!B93</f>
        <v>2248.1999999999998</v>
      </c>
      <c r="H408" s="7">
        <f>'Option source'!B112</f>
        <v>1992.7</v>
      </c>
      <c r="I408" s="7">
        <f>'Option source'!B131</f>
        <v>1846.26</v>
      </c>
      <c r="J408" s="7">
        <f t="shared" si="42"/>
        <v>109.05999999999972</v>
      </c>
      <c r="K408" s="7">
        <f t="shared" si="43"/>
        <v>200</v>
      </c>
      <c r="L408" s="7">
        <f t="shared" si="44"/>
        <v>90.940000000000282</v>
      </c>
      <c r="M408" s="7">
        <f t="shared" si="45"/>
        <v>109.05999999999972</v>
      </c>
      <c r="N408" s="7">
        <f t="shared" si="46"/>
        <v>5109.0599999999995</v>
      </c>
      <c r="O408" s="7">
        <f t="shared" si="47"/>
        <v>5290.9400000000005</v>
      </c>
      <c r="P408" s="15">
        <f t="shared" si="48"/>
        <v>0.83385292499542008</v>
      </c>
      <c r="Q408" s="7">
        <f>J408*'Model inputs'!$B$8</f>
        <v>10905.999999999971</v>
      </c>
      <c r="R408" s="1" t="s">
        <v>164</v>
      </c>
      <c r="S408" s="1">
        <v>88</v>
      </c>
      <c r="T408" s="1">
        <v>107</v>
      </c>
    </row>
    <row r="409" spans="1:20" ht="21" customHeight="1">
      <c r="A409" s="8">
        <v>46275</v>
      </c>
      <c r="B409" s="1" t="s">
        <v>34</v>
      </c>
      <c r="C409" s="1" t="s">
        <v>87</v>
      </c>
      <c r="D409" s="7">
        <v>4800</v>
      </c>
      <c r="E409" s="7">
        <v>5000</v>
      </c>
      <c r="F409" s="7">
        <v>5200</v>
      </c>
      <c r="G409" s="7">
        <f>'Option source'!B76</f>
        <v>2425.7399999999998</v>
      </c>
      <c r="H409" s="7">
        <f>'Option source'!B93</f>
        <v>2248.1999999999998</v>
      </c>
      <c r="I409" s="7">
        <f>'Option source'!B112</f>
        <v>1992.7</v>
      </c>
      <c r="J409" s="7">
        <f t="shared" si="42"/>
        <v>-77.959999999999809</v>
      </c>
      <c r="K409" s="7">
        <f t="shared" si="43"/>
        <v>200</v>
      </c>
      <c r="L409" s="7">
        <f t="shared" si="44"/>
        <v>277.95999999999981</v>
      </c>
      <c r="M409" s="7">
        <f t="shared" si="45"/>
        <v>0</v>
      </c>
      <c r="N409" s="7" t="str">
        <f t="shared" si="46"/>
        <v>n.a.</v>
      </c>
      <c r="O409" s="7" t="str">
        <f t="shared" si="47"/>
        <v>n.a.</v>
      </c>
      <c r="P409" s="15" t="str">
        <f t="shared" si="48"/>
        <v>n.a.</v>
      </c>
      <c r="Q409" s="7">
        <f>J409*'Model inputs'!$B$8</f>
        <v>-7795.9999999999809</v>
      </c>
      <c r="R409" s="1" t="s">
        <v>163</v>
      </c>
      <c r="S409" s="1">
        <v>71</v>
      </c>
      <c r="T409" s="1">
        <v>88</v>
      </c>
    </row>
    <row r="410" spans="1:20" ht="21" customHeight="1">
      <c r="A410" s="8">
        <v>46275</v>
      </c>
      <c r="B410" s="1" t="s">
        <v>34</v>
      </c>
      <c r="C410" s="1" t="s">
        <v>87</v>
      </c>
      <c r="D410" s="7">
        <v>4600</v>
      </c>
      <c r="E410" s="7">
        <v>4800</v>
      </c>
      <c r="F410" s="7">
        <v>5000</v>
      </c>
      <c r="G410" s="7">
        <f>'Option source'!B59</f>
        <v>2650</v>
      </c>
      <c r="H410" s="7">
        <f>'Option source'!B76</f>
        <v>2425.7399999999998</v>
      </c>
      <c r="I410" s="7">
        <f>'Option source'!B93</f>
        <v>2248.1999999999998</v>
      </c>
      <c r="J410" s="7">
        <f t="shared" si="42"/>
        <v>46.720000000000255</v>
      </c>
      <c r="K410" s="7">
        <f t="shared" si="43"/>
        <v>200</v>
      </c>
      <c r="L410" s="7">
        <f t="shared" si="44"/>
        <v>153.27999999999975</v>
      </c>
      <c r="M410" s="7">
        <f t="shared" si="45"/>
        <v>46.720000000000255</v>
      </c>
      <c r="N410" s="7">
        <f t="shared" si="46"/>
        <v>4646.72</v>
      </c>
      <c r="O410" s="7">
        <f t="shared" si="47"/>
        <v>4953.28</v>
      </c>
      <c r="P410" s="15">
        <f t="shared" si="48"/>
        <v>3.2808219178081957</v>
      </c>
      <c r="Q410" s="7">
        <f>J410*'Model inputs'!$B$8</f>
        <v>4672.0000000000255</v>
      </c>
      <c r="R410" s="1" t="s">
        <v>164</v>
      </c>
      <c r="S410" s="1">
        <v>54</v>
      </c>
      <c r="T410" s="1">
        <v>71</v>
      </c>
    </row>
    <row r="411" spans="1:20" ht="21" customHeight="1">
      <c r="A411" s="8">
        <v>46275</v>
      </c>
      <c r="B411" s="1" t="s">
        <v>34</v>
      </c>
      <c r="C411" s="1" t="s">
        <v>87</v>
      </c>
      <c r="D411" s="7">
        <v>4400</v>
      </c>
      <c r="E411" s="7">
        <v>4600</v>
      </c>
      <c r="F411" s="7">
        <v>4800</v>
      </c>
      <c r="G411" s="7">
        <f>'Option source'!B40</f>
        <v>2828.59</v>
      </c>
      <c r="H411" s="7">
        <f>'Option source'!B59</f>
        <v>2650</v>
      </c>
      <c r="I411" s="7">
        <f>'Option source'!B76</f>
        <v>2425.7399999999998</v>
      </c>
      <c r="J411" s="7">
        <f t="shared" si="42"/>
        <v>-45.670000000000073</v>
      </c>
      <c r="K411" s="7">
        <f t="shared" si="43"/>
        <v>200</v>
      </c>
      <c r="L411" s="7">
        <f t="shared" si="44"/>
        <v>245.67000000000007</v>
      </c>
      <c r="M411" s="7">
        <f t="shared" si="45"/>
        <v>0</v>
      </c>
      <c r="N411" s="7" t="str">
        <f t="shared" si="46"/>
        <v>n.a.</v>
      </c>
      <c r="O411" s="7" t="str">
        <f t="shared" si="47"/>
        <v>n.a.</v>
      </c>
      <c r="P411" s="15" t="str">
        <f t="shared" si="48"/>
        <v>n.a.</v>
      </c>
      <c r="Q411" s="7">
        <f>J411*'Model inputs'!$B$8</f>
        <v>-4567.0000000000073</v>
      </c>
      <c r="R411" s="1" t="s">
        <v>163</v>
      </c>
      <c r="S411" s="1">
        <v>35</v>
      </c>
      <c r="T411" s="1">
        <v>54</v>
      </c>
    </row>
    <row r="412" spans="1:20" ht="21" customHeight="1">
      <c r="A412" s="8">
        <v>46275</v>
      </c>
      <c r="B412" s="1" t="s">
        <v>34</v>
      </c>
      <c r="C412" s="1" t="s">
        <v>87</v>
      </c>
      <c r="D412" s="7">
        <v>4200</v>
      </c>
      <c r="E412" s="7">
        <v>4400</v>
      </c>
      <c r="F412" s="7">
        <v>4600</v>
      </c>
      <c r="G412" s="7">
        <f>'Option source'!B21</f>
        <v>3000</v>
      </c>
      <c r="H412" s="7">
        <f>'Option source'!B40</f>
        <v>2828.59</v>
      </c>
      <c r="I412" s="7">
        <f>'Option source'!B59</f>
        <v>2650</v>
      </c>
      <c r="J412" s="7">
        <f t="shared" si="42"/>
        <v>-7.180000000000291</v>
      </c>
      <c r="K412" s="7">
        <f t="shared" si="43"/>
        <v>200</v>
      </c>
      <c r="L412" s="7">
        <f t="shared" si="44"/>
        <v>207.18000000000029</v>
      </c>
      <c r="M412" s="7">
        <f t="shared" si="45"/>
        <v>0</v>
      </c>
      <c r="N412" s="7" t="str">
        <f t="shared" si="46"/>
        <v>n.a.</v>
      </c>
      <c r="O412" s="7" t="str">
        <f t="shared" si="47"/>
        <v>n.a.</v>
      </c>
      <c r="P412" s="15" t="str">
        <f t="shared" si="48"/>
        <v>n.a.</v>
      </c>
      <c r="Q412" s="7">
        <f>J412*'Model inputs'!$B$8</f>
        <v>-718.0000000000291</v>
      </c>
      <c r="R412" s="1" t="s">
        <v>163</v>
      </c>
      <c r="S412" s="1">
        <v>16</v>
      </c>
      <c r="T412" s="1">
        <v>35</v>
      </c>
    </row>
    <row r="413" spans="1:20" ht="21" customHeight="1">
      <c r="A413" s="8">
        <v>46275</v>
      </c>
      <c r="B413" s="1" t="s">
        <v>34</v>
      </c>
      <c r="C413" s="1" t="s">
        <v>90</v>
      </c>
      <c r="D413" s="7">
        <v>4200</v>
      </c>
      <c r="E413" s="7">
        <v>4400</v>
      </c>
      <c r="F413" s="7">
        <v>4600</v>
      </c>
      <c r="G413" s="7">
        <f>'Option source'!B501</f>
        <v>0.76</v>
      </c>
      <c r="H413" s="7">
        <f>'Option source'!B520</f>
        <v>1</v>
      </c>
      <c r="I413" s="7">
        <f>'Option source'!B539</f>
        <v>1.0900000000000001</v>
      </c>
      <c r="J413" s="7">
        <f t="shared" si="42"/>
        <v>-0.14999999999999991</v>
      </c>
      <c r="K413" s="7">
        <f t="shared" si="43"/>
        <v>200</v>
      </c>
      <c r="L413" s="7">
        <f t="shared" si="44"/>
        <v>200.15</v>
      </c>
      <c r="M413" s="7">
        <f t="shared" si="45"/>
        <v>0</v>
      </c>
      <c r="N413" s="7" t="str">
        <f t="shared" si="46"/>
        <v>n.a.</v>
      </c>
      <c r="O413" s="7" t="str">
        <f t="shared" si="47"/>
        <v>n.a.</v>
      </c>
      <c r="P413" s="15" t="str">
        <f t="shared" si="48"/>
        <v>n.a.</v>
      </c>
      <c r="Q413" s="7">
        <f>J413*'Model inputs'!$B$8</f>
        <v>-14.999999999999991</v>
      </c>
      <c r="R413" s="1" t="s">
        <v>163</v>
      </c>
      <c r="S413" s="1">
        <v>496</v>
      </c>
      <c r="T413" s="1">
        <v>515</v>
      </c>
    </row>
    <row r="414" spans="1:20" ht="21" customHeight="1">
      <c r="A414" s="8">
        <v>46275</v>
      </c>
      <c r="B414" s="1" t="s">
        <v>36</v>
      </c>
      <c r="C414" s="1" t="s">
        <v>87</v>
      </c>
      <c r="D414" s="7">
        <v>7000</v>
      </c>
      <c r="E414" s="7">
        <v>7200</v>
      </c>
      <c r="F414" s="7"/>
      <c r="G414" s="7">
        <f>'Option source'!B273</f>
        <v>523.63</v>
      </c>
      <c r="H414" s="7">
        <f>'Option source'!B292</f>
        <v>423.4</v>
      </c>
      <c r="I414" s="7"/>
      <c r="J414" s="7">
        <f t="shared" si="42"/>
        <v>-323.16999999999996</v>
      </c>
      <c r="K414" s="7">
        <f t="shared" si="43"/>
        <v>200</v>
      </c>
      <c r="L414" s="7">
        <f t="shared" si="44"/>
        <v>523.16999999999996</v>
      </c>
      <c r="M414" s="7" t="str">
        <f t="shared" si="45"/>
        <v>Unlimited</v>
      </c>
      <c r="N414" s="7" t="str">
        <f t="shared" si="46"/>
        <v>n.a.</v>
      </c>
      <c r="O414" s="7">
        <f t="shared" si="47"/>
        <v>7723.17</v>
      </c>
      <c r="P414" s="15" t="str">
        <f t="shared" si="48"/>
        <v>n.a.</v>
      </c>
      <c r="Q414" s="7">
        <f>J414*'Model inputs'!$B$8</f>
        <v>-32316.999999999996</v>
      </c>
      <c r="R414" s="1" t="s">
        <v>162</v>
      </c>
      <c r="S414" s="1">
        <v>268</v>
      </c>
      <c r="T414" s="1">
        <v>287</v>
      </c>
    </row>
    <row r="415" spans="1:20" ht="21" customHeight="1">
      <c r="A415" s="8">
        <v>46275</v>
      </c>
      <c r="B415" s="1" t="s">
        <v>36</v>
      </c>
      <c r="C415" s="1" t="s">
        <v>90</v>
      </c>
      <c r="D415" s="7">
        <v>7400</v>
      </c>
      <c r="E415" s="7">
        <v>7200</v>
      </c>
      <c r="F415" s="7"/>
      <c r="G415" s="7">
        <f>'Option source'!B805</f>
        <v>451.44</v>
      </c>
      <c r="H415" s="7">
        <f>'Option source'!B786</f>
        <v>344.11</v>
      </c>
      <c r="I415" s="7"/>
      <c r="J415" s="7">
        <f t="shared" si="42"/>
        <v>-236.78000000000003</v>
      </c>
      <c r="K415" s="7">
        <f t="shared" si="43"/>
        <v>200</v>
      </c>
      <c r="L415" s="7">
        <f t="shared" si="44"/>
        <v>436.78000000000003</v>
      </c>
      <c r="M415" s="7">
        <f t="shared" si="45"/>
        <v>6763.22</v>
      </c>
      <c r="N415" s="7">
        <f t="shared" si="46"/>
        <v>6763.22</v>
      </c>
      <c r="O415" s="7" t="str">
        <f t="shared" si="47"/>
        <v>n.a.</v>
      </c>
      <c r="P415" s="15" t="str">
        <f t="shared" si="48"/>
        <v>n.a.</v>
      </c>
      <c r="Q415" s="7">
        <f>J415*'Model inputs'!$B$8</f>
        <v>-23678.000000000004</v>
      </c>
      <c r="R415" s="1" t="s">
        <v>162</v>
      </c>
      <c r="S415" s="1">
        <v>800</v>
      </c>
      <c r="T415" s="1">
        <v>781</v>
      </c>
    </row>
    <row r="416" spans="1:20" ht="21" customHeight="1">
      <c r="A416" s="8">
        <v>46275</v>
      </c>
      <c r="B416" s="1" t="s">
        <v>36</v>
      </c>
      <c r="C416" s="1" t="s">
        <v>87</v>
      </c>
      <c r="D416" s="7">
        <v>6800</v>
      </c>
      <c r="E416" s="7">
        <v>7000</v>
      </c>
      <c r="F416" s="7"/>
      <c r="G416" s="7">
        <f>'Option source'!B254</f>
        <v>648.79</v>
      </c>
      <c r="H416" s="7">
        <f>'Option source'!B273</f>
        <v>523.63</v>
      </c>
      <c r="I416" s="7"/>
      <c r="J416" s="7">
        <f t="shared" si="42"/>
        <v>-398.47</v>
      </c>
      <c r="K416" s="7">
        <f t="shared" si="43"/>
        <v>200</v>
      </c>
      <c r="L416" s="7">
        <f t="shared" si="44"/>
        <v>598.47</v>
      </c>
      <c r="M416" s="7" t="str">
        <f t="shared" si="45"/>
        <v>Unlimited</v>
      </c>
      <c r="N416" s="7" t="str">
        <f t="shared" si="46"/>
        <v>n.a.</v>
      </c>
      <c r="O416" s="7">
        <f t="shared" si="47"/>
        <v>7598.47</v>
      </c>
      <c r="P416" s="15" t="str">
        <f t="shared" si="48"/>
        <v>n.a.</v>
      </c>
      <c r="Q416" s="7">
        <f>J416*'Model inputs'!$B$8</f>
        <v>-39847</v>
      </c>
      <c r="R416" s="1" t="s">
        <v>162</v>
      </c>
      <c r="S416" s="1">
        <v>249</v>
      </c>
      <c r="T416" s="1">
        <v>268</v>
      </c>
    </row>
    <row r="417" spans="1:20" ht="21" customHeight="1">
      <c r="A417" s="8">
        <v>46275</v>
      </c>
      <c r="B417" s="1" t="s">
        <v>36</v>
      </c>
      <c r="C417" s="1" t="s">
        <v>90</v>
      </c>
      <c r="D417" s="7">
        <v>7200</v>
      </c>
      <c r="E417" s="7">
        <v>7000</v>
      </c>
      <c r="F417" s="7"/>
      <c r="G417" s="7">
        <f>'Option source'!B786</f>
        <v>344.11</v>
      </c>
      <c r="H417" s="7">
        <f>'Option source'!B767</f>
        <v>250.22</v>
      </c>
      <c r="I417" s="7"/>
      <c r="J417" s="7">
        <f t="shared" si="42"/>
        <v>-156.32999999999998</v>
      </c>
      <c r="K417" s="7">
        <f t="shared" si="43"/>
        <v>200</v>
      </c>
      <c r="L417" s="7">
        <f t="shared" si="44"/>
        <v>356.33</v>
      </c>
      <c r="M417" s="7">
        <f t="shared" si="45"/>
        <v>6643.67</v>
      </c>
      <c r="N417" s="7">
        <f t="shared" si="46"/>
        <v>6643.67</v>
      </c>
      <c r="O417" s="7" t="str">
        <f t="shared" si="47"/>
        <v>n.a.</v>
      </c>
      <c r="P417" s="15" t="str">
        <f t="shared" si="48"/>
        <v>n.a.</v>
      </c>
      <c r="Q417" s="7">
        <f>J417*'Model inputs'!$B$8</f>
        <v>-15632.999999999998</v>
      </c>
      <c r="R417" s="1" t="s">
        <v>162</v>
      </c>
      <c r="S417" s="1">
        <v>781</v>
      </c>
      <c r="T417" s="1">
        <v>762</v>
      </c>
    </row>
    <row r="418" spans="1:20" ht="21" customHeight="1">
      <c r="A418" s="8">
        <v>46275</v>
      </c>
      <c r="B418" s="1" t="s">
        <v>36</v>
      </c>
      <c r="C418" s="1" t="s">
        <v>87</v>
      </c>
      <c r="D418" s="7">
        <v>7200</v>
      </c>
      <c r="E418" s="7">
        <v>7400</v>
      </c>
      <c r="F418" s="7"/>
      <c r="G418" s="7">
        <f>'Option source'!B292</f>
        <v>423.4</v>
      </c>
      <c r="H418" s="7">
        <f>'Option source'!B311</f>
        <v>328.35</v>
      </c>
      <c r="I418" s="7"/>
      <c r="J418" s="7">
        <f t="shared" si="42"/>
        <v>-233.30000000000007</v>
      </c>
      <c r="K418" s="7">
        <f t="shared" si="43"/>
        <v>200</v>
      </c>
      <c r="L418" s="7">
        <f t="shared" si="44"/>
        <v>433.30000000000007</v>
      </c>
      <c r="M418" s="7" t="str">
        <f t="shared" si="45"/>
        <v>Unlimited</v>
      </c>
      <c r="N418" s="7" t="str">
        <f t="shared" si="46"/>
        <v>n.a.</v>
      </c>
      <c r="O418" s="7">
        <f t="shared" si="47"/>
        <v>7833.3</v>
      </c>
      <c r="P418" s="15" t="str">
        <f t="shared" si="48"/>
        <v>n.a.</v>
      </c>
      <c r="Q418" s="7">
        <f>J418*'Model inputs'!$B$8</f>
        <v>-23330.000000000007</v>
      </c>
      <c r="R418" s="1" t="s">
        <v>162</v>
      </c>
      <c r="S418" s="1">
        <v>287</v>
      </c>
      <c r="T418" s="1">
        <v>306</v>
      </c>
    </row>
    <row r="419" spans="1:20" ht="21" customHeight="1">
      <c r="A419" s="8">
        <v>46275</v>
      </c>
      <c r="B419" s="1" t="s">
        <v>36</v>
      </c>
      <c r="C419" s="1" t="s">
        <v>90</v>
      </c>
      <c r="D419" s="7">
        <v>7600</v>
      </c>
      <c r="E419" s="7">
        <v>7400</v>
      </c>
      <c r="F419" s="7"/>
      <c r="G419" s="7">
        <f>'Option source'!B824</f>
        <v>569.29</v>
      </c>
      <c r="H419" s="7">
        <f>'Option source'!B805</f>
        <v>451.44</v>
      </c>
      <c r="I419" s="7"/>
      <c r="J419" s="7">
        <f t="shared" si="42"/>
        <v>-333.59000000000003</v>
      </c>
      <c r="K419" s="7">
        <f t="shared" si="43"/>
        <v>200</v>
      </c>
      <c r="L419" s="7">
        <f t="shared" si="44"/>
        <v>533.59</v>
      </c>
      <c r="M419" s="7">
        <f t="shared" si="45"/>
        <v>6866.41</v>
      </c>
      <c r="N419" s="7">
        <f t="shared" si="46"/>
        <v>6866.41</v>
      </c>
      <c r="O419" s="7" t="str">
        <f t="shared" si="47"/>
        <v>n.a.</v>
      </c>
      <c r="P419" s="15" t="str">
        <f t="shared" si="48"/>
        <v>n.a.</v>
      </c>
      <c r="Q419" s="7">
        <f>J419*'Model inputs'!$B$8</f>
        <v>-33359</v>
      </c>
      <c r="R419" s="1" t="s">
        <v>162</v>
      </c>
      <c r="S419" s="1">
        <v>819</v>
      </c>
      <c r="T419" s="1">
        <v>800</v>
      </c>
    </row>
    <row r="420" spans="1:20" ht="21" customHeight="1">
      <c r="A420" s="8">
        <v>46275</v>
      </c>
      <c r="B420" s="1" t="s">
        <v>36</v>
      </c>
      <c r="C420" s="1" t="s">
        <v>87</v>
      </c>
      <c r="D420" s="7">
        <v>6600</v>
      </c>
      <c r="E420" s="7">
        <v>6800</v>
      </c>
      <c r="F420" s="7"/>
      <c r="G420" s="7">
        <f>'Option source'!B235</f>
        <v>763.51</v>
      </c>
      <c r="H420" s="7">
        <f>'Option source'!B254</f>
        <v>648.79</v>
      </c>
      <c r="I420" s="7"/>
      <c r="J420" s="7">
        <f t="shared" si="42"/>
        <v>-534.06999999999994</v>
      </c>
      <c r="K420" s="7">
        <f t="shared" si="43"/>
        <v>200</v>
      </c>
      <c r="L420" s="7">
        <f t="shared" si="44"/>
        <v>734.06999999999994</v>
      </c>
      <c r="M420" s="7" t="str">
        <f t="shared" si="45"/>
        <v>Unlimited</v>
      </c>
      <c r="N420" s="7" t="str">
        <f t="shared" si="46"/>
        <v>n.a.</v>
      </c>
      <c r="O420" s="7">
        <f t="shared" si="47"/>
        <v>7534.07</v>
      </c>
      <c r="P420" s="15" t="str">
        <f t="shared" si="48"/>
        <v>n.a.</v>
      </c>
      <c r="Q420" s="7">
        <f>J420*'Model inputs'!$B$8</f>
        <v>-53406.999999999993</v>
      </c>
      <c r="R420" s="1" t="s">
        <v>162</v>
      </c>
      <c r="S420" s="1">
        <v>230</v>
      </c>
      <c r="T420" s="1">
        <v>249</v>
      </c>
    </row>
    <row r="421" spans="1:20" ht="21" customHeight="1">
      <c r="A421" s="8">
        <v>46275</v>
      </c>
      <c r="B421" s="1" t="s">
        <v>36</v>
      </c>
      <c r="C421" s="1" t="s">
        <v>90</v>
      </c>
      <c r="D421" s="7">
        <v>7000</v>
      </c>
      <c r="E421" s="7">
        <v>6800</v>
      </c>
      <c r="F421" s="7"/>
      <c r="G421" s="7">
        <f>'Option source'!B767</f>
        <v>250.22</v>
      </c>
      <c r="H421" s="7">
        <f>'Option source'!B748</f>
        <v>180.26</v>
      </c>
      <c r="I421" s="7"/>
      <c r="J421" s="7">
        <f t="shared" si="42"/>
        <v>-110.29999999999998</v>
      </c>
      <c r="K421" s="7">
        <f t="shared" si="43"/>
        <v>200</v>
      </c>
      <c r="L421" s="7">
        <f t="shared" si="44"/>
        <v>310.29999999999995</v>
      </c>
      <c r="M421" s="7">
        <f t="shared" si="45"/>
        <v>6489.7</v>
      </c>
      <c r="N421" s="7">
        <f t="shared" si="46"/>
        <v>6489.7</v>
      </c>
      <c r="O421" s="7" t="str">
        <f t="shared" si="47"/>
        <v>n.a.</v>
      </c>
      <c r="P421" s="15" t="str">
        <f t="shared" si="48"/>
        <v>n.a.</v>
      </c>
      <c r="Q421" s="7">
        <f>J421*'Model inputs'!$B$8</f>
        <v>-11029.999999999998</v>
      </c>
      <c r="R421" s="1" t="s">
        <v>162</v>
      </c>
      <c r="S421" s="1">
        <v>762</v>
      </c>
      <c r="T421" s="1">
        <v>743</v>
      </c>
    </row>
    <row r="422" spans="1:20" ht="21" customHeight="1">
      <c r="A422" s="8">
        <v>46275</v>
      </c>
      <c r="B422" s="1" t="s">
        <v>36</v>
      </c>
      <c r="C422" s="1" t="s">
        <v>87</v>
      </c>
      <c r="D422" s="7">
        <v>7400</v>
      </c>
      <c r="E422" s="7">
        <v>7600</v>
      </c>
      <c r="F422" s="7"/>
      <c r="G422" s="7">
        <f>'Option source'!B311</f>
        <v>328.35</v>
      </c>
      <c r="H422" s="7">
        <f>'Option source'!B330</f>
        <v>254.8</v>
      </c>
      <c r="I422" s="7"/>
      <c r="J422" s="7">
        <f t="shared" si="42"/>
        <v>-181.25</v>
      </c>
      <c r="K422" s="7">
        <f t="shared" si="43"/>
        <v>200</v>
      </c>
      <c r="L422" s="7">
        <f t="shared" si="44"/>
        <v>381.25</v>
      </c>
      <c r="M422" s="7" t="str">
        <f t="shared" si="45"/>
        <v>Unlimited</v>
      </c>
      <c r="N422" s="7" t="str">
        <f t="shared" si="46"/>
        <v>n.a.</v>
      </c>
      <c r="O422" s="7">
        <f t="shared" si="47"/>
        <v>7981.25</v>
      </c>
      <c r="P422" s="15" t="str">
        <f t="shared" si="48"/>
        <v>n.a.</v>
      </c>
      <c r="Q422" s="7">
        <f>J422*'Model inputs'!$B$8</f>
        <v>-18125</v>
      </c>
      <c r="R422" s="1" t="s">
        <v>162</v>
      </c>
      <c r="S422" s="1">
        <v>306</v>
      </c>
      <c r="T422" s="1">
        <v>325</v>
      </c>
    </row>
    <row r="423" spans="1:20" ht="21" customHeight="1">
      <c r="A423" s="8">
        <v>46275</v>
      </c>
      <c r="B423" s="1" t="s">
        <v>36</v>
      </c>
      <c r="C423" s="1" t="s">
        <v>87</v>
      </c>
      <c r="D423" s="7">
        <v>6400</v>
      </c>
      <c r="E423" s="7">
        <v>6600</v>
      </c>
      <c r="F423" s="7"/>
      <c r="G423" s="7">
        <f>'Option source'!B216</f>
        <v>945</v>
      </c>
      <c r="H423" s="7">
        <f>'Option source'!B235</f>
        <v>763.51</v>
      </c>
      <c r="I423" s="7"/>
      <c r="J423" s="7">
        <f t="shared" si="42"/>
        <v>-582.02</v>
      </c>
      <c r="K423" s="7">
        <f t="shared" si="43"/>
        <v>200</v>
      </c>
      <c r="L423" s="7">
        <f t="shared" si="44"/>
        <v>782.02</v>
      </c>
      <c r="M423" s="7" t="str">
        <f t="shared" si="45"/>
        <v>Unlimited</v>
      </c>
      <c r="N423" s="7" t="str">
        <f t="shared" si="46"/>
        <v>n.a.</v>
      </c>
      <c r="O423" s="7">
        <f t="shared" si="47"/>
        <v>7382.02</v>
      </c>
      <c r="P423" s="15" t="str">
        <f t="shared" si="48"/>
        <v>n.a.</v>
      </c>
      <c r="Q423" s="7">
        <f>J423*'Model inputs'!$B$8</f>
        <v>-58202</v>
      </c>
      <c r="R423" s="1" t="s">
        <v>162</v>
      </c>
      <c r="S423" s="1">
        <v>211</v>
      </c>
      <c r="T423" s="1">
        <v>230</v>
      </c>
    </row>
    <row r="424" spans="1:20" ht="21" customHeight="1">
      <c r="A424" s="8">
        <v>46275</v>
      </c>
      <c r="B424" s="1" t="s">
        <v>36</v>
      </c>
      <c r="C424" s="1" t="s">
        <v>90</v>
      </c>
      <c r="D424" s="7">
        <v>6800</v>
      </c>
      <c r="E424" s="7">
        <v>6600</v>
      </c>
      <c r="F424" s="7"/>
      <c r="G424" s="7">
        <f>'Option source'!B748</f>
        <v>180.26</v>
      </c>
      <c r="H424" s="7">
        <f>'Option source'!B729</f>
        <v>119.26</v>
      </c>
      <c r="I424" s="7"/>
      <c r="J424" s="7">
        <f t="shared" si="42"/>
        <v>-58.260000000000019</v>
      </c>
      <c r="K424" s="7">
        <f t="shared" si="43"/>
        <v>200</v>
      </c>
      <c r="L424" s="7">
        <f t="shared" si="44"/>
        <v>258.26</v>
      </c>
      <c r="M424" s="7">
        <f t="shared" si="45"/>
        <v>6341.74</v>
      </c>
      <c r="N424" s="7">
        <f t="shared" si="46"/>
        <v>6341.74</v>
      </c>
      <c r="O424" s="7" t="str">
        <f t="shared" si="47"/>
        <v>n.a.</v>
      </c>
      <c r="P424" s="15" t="str">
        <f t="shared" si="48"/>
        <v>n.a.</v>
      </c>
      <c r="Q424" s="7">
        <f>J424*'Model inputs'!$B$8</f>
        <v>-5826.0000000000018</v>
      </c>
      <c r="R424" s="1" t="s">
        <v>162</v>
      </c>
      <c r="S424" s="1">
        <v>743</v>
      </c>
      <c r="T424" s="1">
        <v>724</v>
      </c>
    </row>
    <row r="425" spans="1:20" ht="21" customHeight="1">
      <c r="A425" s="8">
        <v>46275</v>
      </c>
      <c r="B425" s="1" t="s">
        <v>36</v>
      </c>
      <c r="C425" s="1" t="s">
        <v>87</v>
      </c>
      <c r="D425" s="7">
        <v>7600</v>
      </c>
      <c r="E425" s="7">
        <v>7800</v>
      </c>
      <c r="F425" s="7"/>
      <c r="G425" s="7">
        <f>'Option source'!B330</f>
        <v>254.8</v>
      </c>
      <c r="H425" s="7">
        <f>'Option source'!B349</f>
        <v>197.85</v>
      </c>
      <c r="I425" s="7"/>
      <c r="J425" s="7">
        <f t="shared" si="42"/>
        <v>-140.89999999999998</v>
      </c>
      <c r="K425" s="7">
        <f t="shared" si="43"/>
        <v>200</v>
      </c>
      <c r="L425" s="7">
        <f t="shared" si="44"/>
        <v>340.9</v>
      </c>
      <c r="M425" s="7" t="str">
        <f t="shared" si="45"/>
        <v>Unlimited</v>
      </c>
      <c r="N425" s="7" t="str">
        <f t="shared" si="46"/>
        <v>n.a.</v>
      </c>
      <c r="O425" s="7">
        <f t="shared" si="47"/>
        <v>8140.9</v>
      </c>
      <c r="P425" s="15" t="str">
        <f t="shared" si="48"/>
        <v>n.a.</v>
      </c>
      <c r="Q425" s="7">
        <f>J425*'Model inputs'!$B$8</f>
        <v>-14089.999999999998</v>
      </c>
      <c r="R425" s="1" t="s">
        <v>162</v>
      </c>
      <c r="S425" s="1">
        <v>325</v>
      </c>
      <c r="T425" s="1">
        <v>344</v>
      </c>
    </row>
    <row r="426" spans="1:20" ht="21" customHeight="1">
      <c r="A426" s="8">
        <v>46275</v>
      </c>
      <c r="B426" s="1" t="s">
        <v>36</v>
      </c>
      <c r="C426" s="1" t="s">
        <v>90</v>
      </c>
      <c r="D426" s="7">
        <v>6600</v>
      </c>
      <c r="E426" s="7">
        <v>6400</v>
      </c>
      <c r="F426" s="7"/>
      <c r="G426" s="7">
        <f>'Option source'!B729</f>
        <v>119.26</v>
      </c>
      <c r="H426" s="7">
        <f>'Option source'!B710</f>
        <v>79.55</v>
      </c>
      <c r="I426" s="7"/>
      <c r="J426" s="7">
        <f t="shared" si="42"/>
        <v>-39.839999999999989</v>
      </c>
      <c r="K426" s="7">
        <f t="shared" si="43"/>
        <v>200</v>
      </c>
      <c r="L426" s="7">
        <f t="shared" si="44"/>
        <v>239.83999999999997</v>
      </c>
      <c r="M426" s="7">
        <f t="shared" si="45"/>
        <v>6160.16</v>
      </c>
      <c r="N426" s="7">
        <f t="shared" si="46"/>
        <v>6160.16</v>
      </c>
      <c r="O426" s="7" t="str">
        <f t="shared" si="47"/>
        <v>n.a.</v>
      </c>
      <c r="P426" s="15" t="str">
        <f t="shared" si="48"/>
        <v>n.a.</v>
      </c>
      <c r="Q426" s="7">
        <f>J426*'Model inputs'!$B$8</f>
        <v>-3983.9999999999991</v>
      </c>
      <c r="R426" s="1" t="s">
        <v>162</v>
      </c>
      <c r="S426" s="1">
        <v>724</v>
      </c>
      <c r="T426" s="1">
        <v>705</v>
      </c>
    </row>
    <row r="427" spans="1:20" ht="21" customHeight="1">
      <c r="A427" s="8">
        <v>46275</v>
      </c>
      <c r="B427" s="1" t="s">
        <v>36</v>
      </c>
      <c r="C427" s="1" t="s">
        <v>87</v>
      </c>
      <c r="D427" s="7">
        <v>7800</v>
      </c>
      <c r="E427" s="7">
        <v>8000</v>
      </c>
      <c r="F427" s="7"/>
      <c r="G427" s="7">
        <f>'Option source'!B349</f>
        <v>197.85</v>
      </c>
      <c r="H427" s="7">
        <f>'Option source'!B368</f>
        <v>146.4</v>
      </c>
      <c r="I427" s="7"/>
      <c r="J427" s="7">
        <f t="shared" si="42"/>
        <v>-94.950000000000017</v>
      </c>
      <c r="K427" s="7">
        <f t="shared" si="43"/>
        <v>200</v>
      </c>
      <c r="L427" s="7">
        <f t="shared" si="44"/>
        <v>294.95000000000005</v>
      </c>
      <c r="M427" s="7" t="str">
        <f t="shared" si="45"/>
        <v>Unlimited</v>
      </c>
      <c r="N427" s="7" t="str">
        <f t="shared" si="46"/>
        <v>n.a.</v>
      </c>
      <c r="O427" s="7">
        <f t="shared" si="47"/>
        <v>8294.9500000000007</v>
      </c>
      <c r="P427" s="15" t="str">
        <f t="shared" si="48"/>
        <v>n.a.</v>
      </c>
      <c r="Q427" s="7">
        <f>J427*'Model inputs'!$B$8</f>
        <v>-9495.0000000000018</v>
      </c>
      <c r="R427" s="1" t="s">
        <v>162</v>
      </c>
      <c r="S427" s="1">
        <v>344</v>
      </c>
      <c r="T427" s="1">
        <v>363</v>
      </c>
    </row>
    <row r="428" spans="1:20" ht="21" customHeight="1">
      <c r="A428" s="8">
        <v>46275</v>
      </c>
      <c r="B428" s="1" t="s">
        <v>36</v>
      </c>
      <c r="C428" s="1" t="s">
        <v>90</v>
      </c>
      <c r="D428" s="7">
        <v>6400</v>
      </c>
      <c r="E428" s="7">
        <v>6200</v>
      </c>
      <c r="F428" s="7"/>
      <c r="G428" s="7">
        <f>'Option source'!B710</f>
        <v>79.55</v>
      </c>
      <c r="H428" s="7">
        <f>'Option source'!B691</f>
        <v>50.26</v>
      </c>
      <c r="I428" s="7"/>
      <c r="J428" s="7">
        <f t="shared" si="42"/>
        <v>-20.97</v>
      </c>
      <c r="K428" s="7">
        <f t="shared" si="43"/>
        <v>200</v>
      </c>
      <c r="L428" s="7">
        <f t="shared" si="44"/>
        <v>220.97</v>
      </c>
      <c r="M428" s="7">
        <f t="shared" si="45"/>
        <v>5979.03</v>
      </c>
      <c r="N428" s="7">
        <f t="shared" si="46"/>
        <v>5979.03</v>
      </c>
      <c r="O428" s="7" t="str">
        <f t="shared" si="47"/>
        <v>n.a.</v>
      </c>
      <c r="P428" s="15" t="str">
        <f t="shared" si="48"/>
        <v>n.a.</v>
      </c>
      <c r="Q428" s="7">
        <f>J428*'Model inputs'!$B$8</f>
        <v>-2097</v>
      </c>
      <c r="R428" s="1" t="s">
        <v>162</v>
      </c>
      <c r="S428" s="1">
        <v>705</v>
      </c>
      <c r="T428" s="1">
        <v>686</v>
      </c>
    </row>
    <row r="429" spans="1:20" ht="21" customHeight="1">
      <c r="A429" s="8">
        <v>46275</v>
      </c>
      <c r="B429" s="1" t="s">
        <v>36</v>
      </c>
      <c r="C429" s="1" t="s">
        <v>90</v>
      </c>
      <c r="D429" s="7">
        <v>6200</v>
      </c>
      <c r="E429" s="7">
        <v>6000</v>
      </c>
      <c r="F429" s="7"/>
      <c r="G429" s="7">
        <f>'Option source'!B691</f>
        <v>50.26</v>
      </c>
      <c r="H429" s="7">
        <f>'Option source'!B672</f>
        <v>29.33</v>
      </c>
      <c r="I429" s="7"/>
      <c r="J429" s="7">
        <f t="shared" si="42"/>
        <v>-8.3999999999999986</v>
      </c>
      <c r="K429" s="7">
        <f t="shared" si="43"/>
        <v>200</v>
      </c>
      <c r="L429" s="7">
        <f t="shared" si="44"/>
        <v>208.4</v>
      </c>
      <c r="M429" s="7">
        <f t="shared" si="45"/>
        <v>5791.6</v>
      </c>
      <c r="N429" s="7">
        <f t="shared" si="46"/>
        <v>5791.6</v>
      </c>
      <c r="O429" s="7" t="str">
        <f t="shared" si="47"/>
        <v>n.a.</v>
      </c>
      <c r="P429" s="15" t="str">
        <f t="shared" si="48"/>
        <v>n.a.</v>
      </c>
      <c r="Q429" s="7">
        <f>J429*'Model inputs'!$B$8</f>
        <v>-839.99999999999989</v>
      </c>
      <c r="R429" s="1" t="s">
        <v>162</v>
      </c>
      <c r="S429" s="1">
        <v>686</v>
      </c>
      <c r="T429" s="1">
        <v>667</v>
      </c>
    </row>
    <row r="430" spans="1:20" ht="21" customHeight="1">
      <c r="A430" s="8">
        <v>46275</v>
      </c>
      <c r="B430" s="1" t="s">
        <v>36</v>
      </c>
      <c r="C430" s="1" t="s">
        <v>87</v>
      </c>
      <c r="D430" s="7">
        <v>8000</v>
      </c>
      <c r="E430" s="7">
        <v>8300</v>
      </c>
      <c r="F430" s="7"/>
      <c r="G430" s="7">
        <f>'Option source'!B368</f>
        <v>146.4</v>
      </c>
      <c r="H430" s="7">
        <f>'Option source'!B387</f>
        <v>92.56</v>
      </c>
      <c r="I430" s="7"/>
      <c r="J430" s="7">
        <f t="shared" si="42"/>
        <v>-38.72</v>
      </c>
      <c r="K430" s="7">
        <f t="shared" si="43"/>
        <v>300</v>
      </c>
      <c r="L430" s="7">
        <f t="shared" si="44"/>
        <v>338.72</v>
      </c>
      <c r="M430" s="7" t="str">
        <f t="shared" si="45"/>
        <v>Unlimited</v>
      </c>
      <c r="N430" s="7" t="str">
        <f t="shared" si="46"/>
        <v>n.a.</v>
      </c>
      <c r="O430" s="7">
        <f t="shared" si="47"/>
        <v>8638.7199999999993</v>
      </c>
      <c r="P430" s="15" t="str">
        <f t="shared" si="48"/>
        <v>n.a.</v>
      </c>
      <c r="Q430" s="7">
        <f>J430*'Model inputs'!$B$8</f>
        <v>-3872</v>
      </c>
      <c r="R430" s="1" t="s">
        <v>162</v>
      </c>
      <c r="S430" s="1">
        <v>363</v>
      </c>
      <c r="T430" s="1">
        <v>382</v>
      </c>
    </row>
    <row r="431" spans="1:20" ht="21" customHeight="1">
      <c r="A431" s="8">
        <v>46275</v>
      </c>
      <c r="B431" s="1" t="s">
        <v>36</v>
      </c>
      <c r="C431" s="1" t="s">
        <v>90</v>
      </c>
      <c r="D431" s="7">
        <v>8600</v>
      </c>
      <c r="E431" s="7">
        <v>8300</v>
      </c>
      <c r="F431" s="7"/>
      <c r="G431" s="7">
        <f>'Option source'!B900</f>
        <v>1483.75</v>
      </c>
      <c r="H431" s="7">
        <f>'Option source'!B881</f>
        <v>1160</v>
      </c>
      <c r="I431" s="7"/>
      <c r="J431" s="7">
        <f t="shared" si="42"/>
        <v>-836.25</v>
      </c>
      <c r="K431" s="7">
        <f t="shared" si="43"/>
        <v>300</v>
      </c>
      <c r="L431" s="7">
        <f t="shared" si="44"/>
        <v>1136.25</v>
      </c>
      <c r="M431" s="7">
        <f t="shared" si="45"/>
        <v>7163.75</v>
      </c>
      <c r="N431" s="7">
        <f t="shared" si="46"/>
        <v>7163.75</v>
      </c>
      <c r="O431" s="7" t="str">
        <f t="shared" si="47"/>
        <v>n.a.</v>
      </c>
      <c r="P431" s="15" t="str">
        <f t="shared" si="48"/>
        <v>n.a.</v>
      </c>
      <c r="Q431" s="7">
        <f>J431*'Model inputs'!$B$8</f>
        <v>-83625</v>
      </c>
      <c r="R431" s="1" t="s">
        <v>162</v>
      </c>
      <c r="S431" s="1">
        <v>895</v>
      </c>
      <c r="T431" s="1">
        <v>876</v>
      </c>
    </row>
    <row r="432" spans="1:20" ht="21" customHeight="1">
      <c r="A432" s="8">
        <v>46275</v>
      </c>
      <c r="B432" s="1" t="s">
        <v>36</v>
      </c>
      <c r="C432" s="1" t="s">
        <v>90</v>
      </c>
      <c r="D432" s="7">
        <v>6000</v>
      </c>
      <c r="E432" s="7">
        <v>5800</v>
      </c>
      <c r="F432" s="7"/>
      <c r="G432" s="7">
        <f>'Option source'!B672</f>
        <v>29.33</v>
      </c>
      <c r="H432" s="7">
        <f>'Option source'!B653</f>
        <v>15.97</v>
      </c>
      <c r="I432" s="7"/>
      <c r="J432" s="7">
        <f t="shared" si="42"/>
        <v>-2.610000000000003</v>
      </c>
      <c r="K432" s="7">
        <f t="shared" si="43"/>
        <v>200</v>
      </c>
      <c r="L432" s="7">
        <f t="shared" si="44"/>
        <v>202.61</v>
      </c>
      <c r="M432" s="7">
        <f t="shared" si="45"/>
        <v>5597.39</v>
      </c>
      <c r="N432" s="7">
        <f t="shared" si="46"/>
        <v>5597.39</v>
      </c>
      <c r="O432" s="7" t="str">
        <f t="shared" si="47"/>
        <v>n.a.</v>
      </c>
      <c r="P432" s="15" t="str">
        <f t="shared" si="48"/>
        <v>n.a.</v>
      </c>
      <c r="Q432" s="7">
        <f>J432*'Model inputs'!$B$8</f>
        <v>-261.00000000000028</v>
      </c>
      <c r="R432" s="1" t="s">
        <v>162</v>
      </c>
      <c r="S432" s="1">
        <v>667</v>
      </c>
      <c r="T432" s="1">
        <v>648</v>
      </c>
    </row>
    <row r="433" spans="1:20" ht="21" customHeight="1">
      <c r="A433" s="8">
        <v>46275</v>
      </c>
      <c r="B433" s="1" t="s">
        <v>36</v>
      </c>
      <c r="C433" s="1" t="s">
        <v>87</v>
      </c>
      <c r="D433" s="7">
        <v>8300</v>
      </c>
      <c r="E433" s="7">
        <v>8600</v>
      </c>
      <c r="F433" s="7"/>
      <c r="G433" s="7">
        <f>'Option source'!B387</f>
        <v>92.56</v>
      </c>
      <c r="H433" s="7">
        <f>'Option source'!B406</f>
        <v>53.67</v>
      </c>
      <c r="I433" s="7"/>
      <c r="J433" s="7">
        <f t="shared" si="42"/>
        <v>-14.780000000000001</v>
      </c>
      <c r="K433" s="7">
        <f t="shared" si="43"/>
        <v>300</v>
      </c>
      <c r="L433" s="7">
        <f t="shared" si="44"/>
        <v>314.77999999999997</v>
      </c>
      <c r="M433" s="7" t="str">
        <f t="shared" si="45"/>
        <v>Unlimited</v>
      </c>
      <c r="N433" s="7" t="str">
        <f t="shared" si="46"/>
        <v>n.a.</v>
      </c>
      <c r="O433" s="7">
        <f t="shared" si="47"/>
        <v>8914.7800000000007</v>
      </c>
      <c r="P433" s="15" t="str">
        <f t="shared" si="48"/>
        <v>n.a.</v>
      </c>
      <c r="Q433" s="7">
        <f>J433*'Model inputs'!$B$8</f>
        <v>-1478</v>
      </c>
      <c r="R433" s="1" t="s">
        <v>162</v>
      </c>
      <c r="S433" s="1">
        <v>382</v>
      </c>
      <c r="T433" s="1">
        <v>401</v>
      </c>
    </row>
    <row r="434" spans="1:20" ht="21" customHeight="1">
      <c r="A434" s="8">
        <v>46275</v>
      </c>
      <c r="B434" s="1" t="s">
        <v>36</v>
      </c>
      <c r="C434" s="1" t="s">
        <v>90</v>
      </c>
      <c r="D434" s="7">
        <v>5800</v>
      </c>
      <c r="E434" s="7">
        <v>5600</v>
      </c>
      <c r="F434" s="7"/>
      <c r="G434" s="7">
        <f>'Option source'!B653</f>
        <v>15.97</v>
      </c>
      <c r="H434" s="7">
        <f>'Option source'!B634</f>
        <v>8.4499999999999993</v>
      </c>
      <c r="I434" s="7"/>
      <c r="J434" s="7">
        <f t="shared" si="42"/>
        <v>-0.92999999999999794</v>
      </c>
      <c r="K434" s="7">
        <f t="shared" si="43"/>
        <v>200</v>
      </c>
      <c r="L434" s="7">
        <f t="shared" si="44"/>
        <v>200.93</v>
      </c>
      <c r="M434" s="7">
        <f t="shared" si="45"/>
        <v>5399.07</v>
      </c>
      <c r="N434" s="7">
        <f t="shared" si="46"/>
        <v>5399.07</v>
      </c>
      <c r="O434" s="7" t="str">
        <f t="shared" si="47"/>
        <v>n.a.</v>
      </c>
      <c r="P434" s="15" t="str">
        <f t="shared" si="48"/>
        <v>n.a.</v>
      </c>
      <c r="Q434" s="7">
        <f>J434*'Model inputs'!$B$8</f>
        <v>-92.999999999999801</v>
      </c>
      <c r="R434" s="1" t="s">
        <v>162</v>
      </c>
      <c r="S434" s="1">
        <v>648</v>
      </c>
      <c r="T434" s="1">
        <v>629</v>
      </c>
    </row>
    <row r="435" spans="1:20" ht="21" customHeight="1">
      <c r="A435" s="8">
        <v>46275</v>
      </c>
      <c r="B435" s="1" t="s">
        <v>36</v>
      </c>
      <c r="C435" s="1" t="s">
        <v>90</v>
      </c>
      <c r="D435" s="7">
        <v>5600</v>
      </c>
      <c r="E435" s="7">
        <v>5400</v>
      </c>
      <c r="F435" s="7"/>
      <c r="G435" s="7">
        <f>'Option source'!B634</f>
        <v>8.4499999999999993</v>
      </c>
      <c r="H435" s="7">
        <f>'Option source'!B615</f>
        <v>4.5199999999999996</v>
      </c>
      <c r="I435" s="7"/>
      <c r="J435" s="7">
        <f t="shared" si="42"/>
        <v>-0.58999999999999986</v>
      </c>
      <c r="K435" s="7">
        <f t="shared" si="43"/>
        <v>200</v>
      </c>
      <c r="L435" s="7">
        <f t="shared" si="44"/>
        <v>200.59</v>
      </c>
      <c r="M435" s="7">
        <f t="shared" si="45"/>
        <v>5199.41</v>
      </c>
      <c r="N435" s="7">
        <f t="shared" si="46"/>
        <v>5199.41</v>
      </c>
      <c r="O435" s="7" t="str">
        <f t="shared" si="47"/>
        <v>n.a.</v>
      </c>
      <c r="P435" s="15" t="str">
        <f t="shared" si="48"/>
        <v>n.a.</v>
      </c>
      <c r="Q435" s="7">
        <f>J435*'Model inputs'!$B$8</f>
        <v>-58.999999999999986</v>
      </c>
      <c r="R435" s="1" t="s">
        <v>162</v>
      </c>
      <c r="S435" s="1">
        <v>629</v>
      </c>
      <c r="T435" s="1">
        <v>610</v>
      </c>
    </row>
    <row r="436" spans="1:20" ht="21" customHeight="1">
      <c r="A436" s="8">
        <v>46275</v>
      </c>
      <c r="B436" s="1" t="s">
        <v>36</v>
      </c>
      <c r="C436" s="1" t="s">
        <v>87</v>
      </c>
      <c r="D436" s="7">
        <v>8600</v>
      </c>
      <c r="E436" s="7">
        <v>8900</v>
      </c>
      <c r="F436" s="7"/>
      <c r="G436" s="7">
        <f>'Option source'!B406</f>
        <v>53.67</v>
      </c>
      <c r="H436" s="7">
        <f>'Option source'!B425</f>
        <v>31.79</v>
      </c>
      <c r="I436" s="7"/>
      <c r="J436" s="7">
        <f t="shared" si="42"/>
        <v>-9.9099999999999966</v>
      </c>
      <c r="K436" s="7">
        <f t="shared" si="43"/>
        <v>300</v>
      </c>
      <c r="L436" s="7">
        <f t="shared" si="44"/>
        <v>309.90999999999997</v>
      </c>
      <c r="M436" s="7" t="str">
        <f t="shared" si="45"/>
        <v>Unlimited</v>
      </c>
      <c r="N436" s="7" t="str">
        <f t="shared" si="46"/>
        <v>n.a.</v>
      </c>
      <c r="O436" s="7">
        <f t="shared" si="47"/>
        <v>9209.91</v>
      </c>
      <c r="P436" s="15" t="str">
        <f t="shared" si="48"/>
        <v>n.a.</v>
      </c>
      <c r="Q436" s="7">
        <f>J436*'Model inputs'!$B$8</f>
        <v>-990.99999999999966</v>
      </c>
      <c r="R436" s="1" t="s">
        <v>162</v>
      </c>
      <c r="S436" s="1">
        <v>401</v>
      </c>
      <c r="T436" s="1">
        <v>420</v>
      </c>
    </row>
    <row r="437" spans="1:20" ht="21" customHeight="1">
      <c r="A437" s="8">
        <v>46275</v>
      </c>
      <c r="B437" s="1" t="s">
        <v>36</v>
      </c>
      <c r="C437" s="1" t="s">
        <v>90</v>
      </c>
      <c r="D437" s="7">
        <v>5400</v>
      </c>
      <c r="E437" s="7">
        <v>5200</v>
      </c>
      <c r="F437" s="7"/>
      <c r="G437" s="7">
        <f>'Option source'!B615</f>
        <v>4.5199999999999996</v>
      </c>
      <c r="H437" s="7">
        <f>'Option source'!B596</f>
        <v>2.66</v>
      </c>
      <c r="I437" s="7"/>
      <c r="J437" s="7">
        <f t="shared" si="42"/>
        <v>-0.80000000000000071</v>
      </c>
      <c r="K437" s="7">
        <f t="shared" si="43"/>
        <v>200</v>
      </c>
      <c r="L437" s="7">
        <f t="shared" si="44"/>
        <v>200.8</v>
      </c>
      <c r="M437" s="7">
        <f t="shared" si="45"/>
        <v>4999.2</v>
      </c>
      <c r="N437" s="7">
        <f t="shared" si="46"/>
        <v>4999.2</v>
      </c>
      <c r="O437" s="7" t="str">
        <f t="shared" si="47"/>
        <v>n.a.</v>
      </c>
      <c r="P437" s="15" t="str">
        <f t="shared" si="48"/>
        <v>n.a.</v>
      </c>
      <c r="Q437" s="7">
        <f>J437*'Model inputs'!$B$8</f>
        <v>-80.000000000000071</v>
      </c>
      <c r="R437" s="1" t="s">
        <v>162</v>
      </c>
      <c r="S437" s="1">
        <v>610</v>
      </c>
      <c r="T437" s="1">
        <v>591</v>
      </c>
    </row>
    <row r="438" spans="1:20" ht="21" customHeight="1">
      <c r="A438" s="8">
        <v>46275</v>
      </c>
      <c r="B438" s="1" t="s">
        <v>36</v>
      </c>
      <c r="C438" s="1" t="s">
        <v>87</v>
      </c>
      <c r="D438" s="7">
        <v>8900</v>
      </c>
      <c r="E438" s="7">
        <v>9200</v>
      </c>
      <c r="F438" s="7"/>
      <c r="G438" s="7">
        <f>'Option source'!B425</f>
        <v>31.79</v>
      </c>
      <c r="H438" s="7">
        <f>'Option source'!B444</f>
        <v>18.48</v>
      </c>
      <c r="I438" s="7"/>
      <c r="J438" s="7">
        <f t="shared" si="42"/>
        <v>-5.1700000000000017</v>
      </c>
      <c r="K438" s="7">
        <f t="shared" si="43"/>
        <v>300</v>
      </c>
      <c r="L438" s="7">
        <f t="shared" si="44"/>
        <v>305.17</v>
      </c>
      <c r="M438" s="7" t="str">
        <f t="shared" si="45"/>
        <v>Unlimited</v>
      </c>
      <c r="N438" s="7" t="str">
        <f t="shared" si="46"/>
        <v>n.a.</v>
      </c>
      <c r="O438" s="7">
        <f t="shared" si="47"/>
        <v>9505.17</v>
      </c>
      <c r="P438" s="15" t="str">
        <f t="shared" si="48"/>
        <v>n.a.</v>
      </c>
      <c r="Q438" s="7">
        <f>J438*'Model inputs'!$B$8</f>
        <v>-517.00000000000023</v>
      </c>
      <c r="R438" s="1" t="s">
        <v>162</v>
      </c>
      <c r="S438" s="1">
        <v>420</v>
      </c>
      <c r="T438" s="1">
        <v>439</v>
      </c>
    </row>
    <row r="439" spans="1:20" ht="21" customHeight="1">
      <c r="A439" s="8">
        <v>46275</v>
      </c>
      <c r="B439" s="1" t="s">
        <v>36</v>
      </c>
      <c r="C439" s="1" t="s">
        <v>90</v>
      </c>
      <c r="D439" s="7">
        <v>5200</v>
      </c>
      <c r="E439" s="7">
        <v>5000</v>
      </c>
      <c r="F439" s="7"/>
      <c r="G439" s="7">
        <f>'Option source'!B596</f>
        <v>2.66</v>
      </c>
      <c r="H439" s="7">
        <f>'Option source'!B577</f>
        <v>1.75</v>
      </c>
      <c r="I439" s="7"/>
      <c r="J439" s="7">
        <f t="shared" si="42"/>
        <v>-0.83999999999999986</v>
      </c>
      <c r="K439" s="7">
        <f t="shared" si="43"/>
        <v>200</v>
      </c>
      <c r="L439" s="7">
        <f t="shared" si="44"/>
        <v>200.84</v>
      </c>
      <c r="M439" s="7">
        <f t="shared" si="45"/>
        <v>4799.16</v>
      </c>
      <c r="N439" s="7">
        <f t="shared" si="46"/>
        <v>4799.16</v>
      </c>
      <c r="O439" s="7" t="str">
        <f t="shared" si="47"/>
        <v>n.a.</v>
      </c>
      <c r="P439" s="15" t="str">
        <f t="shared" si="48"/>
        <v>n.a.</v>
      </c>
      <c r="Q439" s="7">
        <f>J439*'Model inputs'!$B$8</f>
        <v>-83.999999999999986</v>
      </c>
      <c r="R439" s="1" t="s">
        <v>162</v>
      </c>
      <c r="S439" s="1">
        <v>591</v>
      </c>
      <c r="T439" s="1">
        <v>572</v>
      </c>
    </row>
    <row r="440" spans="1:20" ht="21" customHeight="1">
      <c r="A440" s="8">
        <v>46275</v>
      </c>
      <c r="B440" s="1" t="s">
        <v>36</v>
      </c>
      <c r="C440" s="1" t="s">
        <v>90</v>
      </c>
      <c r="D440" s="7">
        <v>5000</v>
      </c>
      <c r="E440" s="7">
        <v>4800</v>
      </c>
      <c r="F440" s="7"/>
      <c r="G440" s="7">
        <f>'Option source'!B577</f>
        <v>1.75</v>
      </c>
      <c r="H440" s="7">
        <f>'Option source'!B558</f>
        <v>1.29</v>
      </c>
      <c r="I440" s="7"/>
      <c r="J440" s="7">
        <f t="shared" si="42"/>
        <v>-0.83000000000000007</v>
      </c>
      <c r="K440" s="7">
        <f t="shared" si="43"/>
        <v>200</v>
      </c>
      <c r="L440" s="7">
        <f t="shared" si="44"/>
        <v>200.83</v>
      </c>
      <c r="M440" s="7">
        <f t="shared" si="45"/>
        <v>4599.17</v>
      </c>
      <c r="N440" s="7">
        <f t="shared" si="46"/>
        <v>4599.17</v>
      </c>
      <c r="O440" s="7" t="str">
        <f t="shared" si="47"/>
        <v>n.a.</v>
      </c>
      <c r="P440" s="15" t="str">
        <f t="shared" si="48"/>
        <v>n.a.</v>
      </c>
      <c r="Q440" s="7">
        <f>J440*'Model inputs'!$B$8</f>
        <v>-83</v>
      </c>
      <c r="R440" s="1" t="s">
        <v>162</v>
      </c>
      <c r="S440" s="1">
        <v>572</v>
      </c>
      <c r="T440" s="1">
        <v>553</v>
      </c>
    </row>
    <row r="441" spans="1:20" ht="21" customHeight="1">
      <c r="A441" s="8">
        <v>46275</v>
      </c>
      <c r="B441" s="1" t="s">
        <v>36</v>
      </c>
      <c r="C441" s="1" t="s">
        <v>87</v>
      </c>
      <c r="D441" s="7">
        <v>9200</v>
      </c>
      <c r="E441" s="7">
        <v>9500</v>
      </c>
      <c r="F441" s="7"/>
      <c r="G441" s="7">
        <f>'Option source'!B444</f>
        <v>18.48</v>
      </c>
      <c r="H441" s="7">
        <f>'Option source'!B463</f>
        <v>10.5</v>
      </c>
      <c r="I441" s="7"/>
      <c r="J441" s="7">
        <f t="shared" si="42"/>
        <v>-2.5199999999999996</v>
      </c>
      <c r="K441" s="7">
        <f t="shared" si="43"/>
        <v>300</v>
      </c>
      <c r="L441" s="7">
        <f t="shared" si="44"/>
        <v>302.52</v>
      </c>
      <c r="M441" s="7" t="str">
        <f t="shared" si="45"/>
        <v>Unlimited</v>
      </c>
      <c r="N441" s="7" t="str">
        <f t="shared" si="46"/>
        <v>n.a.</v>
      </c>
      <c r="O441" s="7">
        <f t="shared" si="47"/>
        <v>9802.52</v>
      </c>
      <c r="P441" s="15" t="str">
        <f t="shared" si="48"/>
        <v>n.a.</v>
      </c>
      <c r="Q441" s="7">
        <f>J441*'Model inputs'!$B$8</f>
        <v>-251.99999999999994</v>
      </c>
      <c r="R441" s="1" t="s">
        <v>162</v>
      </c>
      <c r="S441" s="1">
        <v>439</v>
      </c>
      <c r="T441" s="1">
        <v>458</v>
      </c>
    </row>
    <row r="442" spans="1:20" ht="21" customHeight="1">
      <c r="A442" s="8">
        <v>46275</v>
      </c>
      <c r="B442" s="1" t="s">
        <v>36</v>
      </c>
      <c r="C442" s="1" t="s">
        <v>90</v>
      </c>
      <c r="D442" s="7">
        <v>4800</v>
      </c>
      <c r="E442" s="7">
        <v>4600</v>
      </c>
      <c r="F442" s="7"/>
      <c r="G442" s="7">
        <f>'Option source'!B558</f>
        <v>1.29</v>
      </c>
      <c r="H442" s="7">
        <f>'Option source'!B539</f>
        <v>1.0900000000000001</v>
      </c>
      <c r="I442" s="7"/>
      <c r="J442" s="7">
        <f t="shared" si="42"/>
        <v>-0.89000000000000012</v>
      </c>
      <c r="K442" s="7">
        <f t="shared" si="43"/>
        <v>200</v>
      </c>
      <c r="L442" s="7">
        <f t="shared" si="44"/>
        <v>200.89</v>
      </c>
      <c r="M442" s="7">
        <f t="shared" si="45"/>
        <v>4399.1099999999997</v>
      </c>
      <c r="N442" s="7">
        <f t="shared" si="46"/>
        <v>4399.1099999999997</v>
      </c>
      <c r="O442" s="7" t="str">
        <f t="shared" si="47"/>
        <v>n.a.</v>
      </c>
      <c r="P442" s="15" t="str">
        <f t="shared" si="48"/>
        <v>n.a.</v>
      </c>
      <c r="Q442" s="7">
        <f>J442*'Model inputs'!$B$8</f>
        <v>-89.000000000000014</v>
      </c>
      <c r="R442" s="1" t="s">
        <v>162</v>
      </c>
      <c r="S442" s="1">
        <v>553</v>
      </c>
      <c r="T442" s="1">
        <v>534</v>
      </c>
    </row>
    <row r="443" spans="1:20" ht="21" customHeight="1">
      <c r="A443" s="8">
        <v>46275</v>
      </c>
      <c r="B443" s="1" t="s">
        <v>36</v>
      </c>
      <c r="C443" s="1" t="s">
        <v>90</v>
      </c>
      <c r="D443" s="7">
        <v>4600</v>
      </c>
      <c r="E443" s="7">
        <v>4400</v>
      </c>
      <c r="F443" s="7"/>
      <c r="G443" s="7">
        <f>'Option source'!B539</f>
        <v>1.0900000000000001</v>
      </c>
      <c r="H443" s="7">
        <f>'Option source'!B520</f>
        <v>1</v>
      </c>
      <c r="I443" s="7"/>
      <c r="J443" s="7">
        <f t="shared" si="42"/>
        <v>-0.90999999999999992</v>
      </c>
      <c r="K443" s="7">
        <f t="shared" si="43"/>
        <v>200</v>
      </c>
      <c r="L443" s="7">
        <f t="shared" si="44"/>
        <v>200.91</v>
      </c>
      <c r="M443" s="7">
        <f t="shared" si="45"/>
        <v>4199.09</v>
      </c>
      <c r="N443" s="7">
        <f t="shared" si="46"/>
        <v>4199.09</v>
      </c>
      <c r="O443" s="7" t="str">
        <f t="shared" si="47"/>
        <v>n.a.</v>
      </c>
      <c r="P443" s="15" t="str">
        <f t="shared" si="48"/>
        <v>n.a.</v>
      </c>
      <c r="Q443" s="7">
        <f>J443*'Model inputs'!$B$8</f>
        <v>-90.999999999999986</v>
      </c>
      <c r="R443" s="1" t="s">
        <v>162</v>
      </c>
      <c r="S443" s="1">
        <v>534</v>
      </c>
      <c r="T443" s="1">
        <v>515</v>
      </c>
    </row>
    <row r="444" spans="1:20" ht="21" customHeight="1">
      <c r="A444" s="8">
        <v>46275</v>
      </c>
      <c r="B444" s="1" t="s">
        <v>36</v>
      </c>
      <c r="C444" s="1" t="s">
        <v>87</v>
      </c>
      <c r="D444" s="7">
        <v>9500</v>
      </c>
      <c r="E444" s="7">
        <v>9900</v>
      </c>
      <c r="F444" s="7"/>
      <c r="G444" s="7">
        <f>'Option source'!B463</f>
        <v>10.5</v>
      </c>
      <c r="H444" s="7">
        <f>'Option source'!B482</f>
        <v>6.25</v>
      </c>
      <c r="I444" s="7"/>
      <c r="J444" s="7">
        <f t="shared" si="42"/>
        <v>-2</v>
      </c>
      <c r="K444" s="7">
        <f t="shared" si="43"/>
        <v>400</v>
      </c>
      <c r="L444" s="7">
        <f t="shared" si="44"/>
        <v>402</v>
      </c>
      <c r="M444" s="7" t="str">
        <f t="shared" si="45"/>
        <v>Unlimited</v>
      </c>
      <c r="N444" s="7" t="str">
        <f t="shared" si="46"/>
        <v>n.a.</v>
      </c>
      <c r="O444" s="7">
        <f t="shared" si="47"/>
        <v>10302</v>
      </c>
      <c r="P444" s="15" t="str">
        <f t="shared" si="48"/>
        <v>n.a.</v>
      </c>
      <c r="Q444" s="7">
        <f>J444*'Model inputs'!$B$8</f>
        <v>-200</v>
      </c>
      <c r="R444" s="1" t="s">
        <v>162</v>
      </c>
      <c r="S444" s="1">
        <v>458</v>
      </c>
      <c r="T444" s="1">
        <v>477</v>
      </c>
    </row>
    <row r="445" spans="1:20" ht="21" customHeight="1">
      <c r="A445" s="8">
        <v>46275</v>
      </c>
      <c r="B445" s="1" t="s">
        <v>36</v>
      </c>
      <c r="C445" s="1" t="s">
        <v>90</v>
      </c>
      <c r="D445" s="7">
        <v>4400</v>
      </c>
      <c r="E445" s="7">
        <v>4200</v>
      </c>
      <c r="F445" s="7"/>
      <c r="G445" s="7">
        <f>'Option source'!B520</f>
        <v>1</v>
      </c>
      <c r="H445" s="7">
        <f>'Option source'!B501</f>
        <v>0.76</v>
      </c>
      <c r="I445" s="7"/>
      <c r="J445" s="7">
        <f t="shared" si="42"/>
        <v>-0.52</v>
      </c>
      <c r="K445" s="7">
        <f t="shared" si="43"/>
        <v>200</v>
      </c>
      <c r="L445" s="7">
        <f t="shared" si="44"/>
        <v>200.52</v>
      </c>
      <c r="M445" s="7">
        <f t="shared" si="45"/>
        <v>3999.48</v>
      </c>
      <c r="N445" s="7">
        <f t="shared" si="46"/>
        <v>3999.48</v>
      </c>
      <c r="O445" s="7" t="str">
        <f t="shared" si="47"/>
        <v>n.a.</v>
      </c>
      <c r="P445" s="15" t="str">
        <f t="shared" si="48"/>
        <v>n.a.</v>
      </c>
      <c r="Q445" s="7">
        <f>J445*'Model inputs'!$B$8</f>
        <v>-52</v>
      </c>
      <c r="R445" s="1" t="s">
        <v>162</v>
      </c>
      <c r="S445" s="1">
        <v>515</v>
      </c>
      <c r="T445" s="1">
        <v>496</v>
      </c>
    </row>
    <row r="446" spans="1:20" ht="21" customHeight="1">
      <c r="A446" s="8">
        <v>46275</v>
      </c>
      <c r="B446" s="1" t="s">
        <v>36</v>
      </c>
      <c r="C446" s="1" t="s">
        <v>90</v>
      </c>
      <c r="D446" s="7">
        <v>7800</v>
      </c>
      <c r="E446" s="7">
        <v>7600</v>
      </c>
      <c r="F446" s="7"/>
      <c r="G446" s="7">
        <f>'Option source'!B843</f>
        <v>720</v>
      </c>
      <c r="H446" s="7">
        <f>'Option source'!B824</f>
        <v>569.29</v>
      </c>
      <c r="I446" s="7"/>
      <c r="J446" s="7">
        <f t="shared" si="42"/>
        <v>-418.57999999999993</v>
      </c>
      <c r="K446" s="7">
        <f t="shared" si="43"/>
        <v>200</v>
      </c>
      <c r="L446" s="7">
        <f t="shared" si="44"/>
        <v>618.57999999999993</v>
      </c>
      <c r="M446" s="7">
        <f t="shared" si="45"/>
        <v>6981.42</v>
      </c>
      <c r="N446" s="7">
        <f t="shared" si="46"/>
        <v>6981.42</v>
      </c>
      <c r="O446" s="7" t="str">
        <f t="shared" si="47"/>
        <v>n.a.</v>
      </c>
      <c r="P446" s="15" t="str">
        <f t="shared" si="48"/>
        <v>n.a.</v>
      </c>
      <c r="Q446" s="7">
        <f>J446*'Model inputs'!$B$8</f>
        <v>-41857.999999999993</v>
      </c>
      <c r="R446" s="1" t="s">
        <v>164</v>
      </c>
      <c r="S446" s="1">
        <v>838</v>
      </c>
      <c r="T446" s="1">
        <v>819</v>
      </c>
    </row>
    <row r="447" spans="1:20" ht="21" customHeight="1">
      <c r="A447" s="8">
        <v>46275</v>
      </c>
      <c r="B447" s="1" t="s">
        <v>36</v>
      </c>
      <c r="C447" s="1" t="s">
        <v>90</v>
      </c>
      <c r="D447" s="7">
        <v>8000</v>
      </c>
      <c r="E447" s="7">
        <v>7800</v>
      </c>
      <c r="F447" s="7"/>
      <c r="G447" s="7">
        <f>'Option source'!B862</f>
        <v>835</v>
      </c>
      <c r="H447" s="7">
        <f>'Option source'!B843</f>
        <v>720</v>
      </c>
      <c r="I447" s="7"/>
      <c r="J447" s="7">
        <f t="shared" si="42"/>
        <v>-605</v>
      </c>
      <c r="K447" s="7">
        <f t="shared" si="43"/>
        <v>200</v>
      </c>
      <c r="L447" s="7">
        <f t="shared" si="44"/>
        <v>805</v>
      </c>
      <c r="M447" s="7">
        <f t="shared" si="45"/>
        <v>6995</v>
      </c>
      <c r="N447" s="7">
        <f t="shared" si="46"/>
        <v>6995</v>
      </c>
      <c r="O447" s="7" t="str">
        <f t="shared" si="47"/>
        <v>n.a.</v>
      </c>
      <c r="P447" s="15" t="str">
        <f t="shared" si="48"/>
        <v>n.a.</v>
      </c>
      <c r="Q447" s="7">
        <f>J447*'Model inputs'!$B$8</f>
        <v>-60500</v>
      </c>
      <c r="R447" s="1" t="s">
        <v>164</v>
      </c>
      <c r="S447" s="1">
        <v>857</v>
      </c>
      <c r="T447" s="1">
        <v>838</v>
      </c>
    </row>
    <row r="448" spans="1:20" ht="21" customHeight="1">
      <c r="A448" s="8">
        <v>46275</v>
      </c>
      <c r="B448" s="1" t="s">
        <v>36</v>
      </c>
      <c r="C448" s="1" t="s">
        <v>87</v>
      </c>
      <c r="D448" s="7">
        <v>6200</v>
      </c>
      <c r="E448" s="7">
        <v>6400</v>
      </c>
      <c r="F448" s="7"/>
      <c r="G448" s="7">
        <f>'Option source'!B197</f>
        <v>1112.5</v>
      </c>
      <c r="H448" s="7">
        <f>'Option source'!B216</f>
        <v>945</v>
      </c>
      <c r="I448" s="7"/>
      <c r="J448" s="7">
        <f t="shared" si="42"/>
        <v>-777.5</v>
      </c>
      <c r="K448" s="7">
        <f t="shared" si="43"/>
        <v>200</v>
      </c>
      <c r="L448" s="7">
        <f t="shared" si="44"/>
        <v>977.5</v>
      </c>
      <c r="M448" s="7" t="str">
        <f t="shared" si="45"/>
        <v>Unlimited</v>
      </c>
      <c r="N448" s="7" t="str">
        <f t="shared" si="46"/>
        <v>n.a.</v>
      </c>
      <c r="O448" s="7">
        <f t="shared" si="47"/>
        <v>7377.5</v>
      </c>
      <c r="P448" s="15" t="str">
        <f t="shared" si="48"/>
        <v>n.a.</v>
      </c>
      <c r="Q448" s="7">
        <f>J448*'Model inputs'!$B$8</f>
        <v>-77750</v>
      </c>
      <c r="R448" s="1" t="s">
        <v>164</v>
      </c>
      <c r="S448" s="1">
        <v>192</v>
      </c>
      <c r="T448" s="1">
        <v>211</v>
      </c>
    </row>
    <row r="449" spans="1:20" ht="21" customHeight="1">
      <c r="A449" s="8">
        <v>46275</v>
      </c>
      <c r="B449" s="1" t="s">
        <v>36</v>
      </c>
      <c r="C449" s="1" t="s">
        <v>90</v>
      </c>
      <c r="D449" s="7">
        <v>8300</v>
      </c>
      <c r="E449" s="7">
        <v>8000</v>
      </c>
      <c r="F449" s="7"/>
      <c r="G449" s="7">
        <f>'Option source'!B881</f>
        <v>1160</v>
      </c>
      <c r="H449" s="7">
        <f>'Option source'!B862</f>
        <v>835</v>
      </c>
      <c r="I449" s="7"/>
      <c r="J449" s="7">
        <f t="shared" si="42"/>
        <v>-510</v>
      </c>
      <c r="K449" s="7">
        <f t="shared" si="43"/>
        <v>300</v>
      </c>
      <c r="L449" s="7">
        <f t="shared" si="44"/>
        <v>810</v>
      </c>
      <c r="M449" s="7">
        <f t="shared" si="45"/>
        <v>7190</v>
      </c>
      <c r="N449" s="7">
        <f t="shared" si="46"/>
        <v>7190</v>
      </c>
      <c r="O449" s="7" t="str">
        <f t="shared" si="47"/>
        <v>n.a.</v>
      </c>
      <c r="P449" s="15" t="str">
        <f t="shared" si="48"/>
        <v>n.a.</v>
      </c>
      <c r="Q449" s="7">
        <f>J449*'Model inputs'!$B$8</f>
        <v>-51000</v>
      </c>
      <c r="R449" s="1" t="s">
        <v>164</v>
      </c>
      <c r="S449" s="1">
        <v>876</v>
      </c>
      <c r="T449" s="1">
        <v>857</v>
      </c>
    </row>
    <row r="450" spans="1:20" ht="21" customHeight="1">
      <c r="A450" s="8">
        <v>46275</v>
      </c>
      <c r="B450" s="1" t="s">
        <v>36</v>
      </c>
      <c r="C450" s="1" t="s">
        <v>87</v>
      </c>
      <c r="D450" s="7">
        <v>6000</v>
      </c>
      <c r="E450" s="7">
        <v>6200</v>
      </c>
      <c r="F450" s="7"/>
      <c r="G450" s="7">
        <f>'Option source'!B178</f>
        <v>1269.8</v>
      </c>
      <c r="H450" s="7">
        <f>'Option source'!B197</f>
        <v>1112.5</v>
      </c>
      <c r="I450" s="7"/>
      <c r="J450" s="7">
        <f t="shared" si="42"/>
        <v>-955.2</v>
      </c>
      <c r="K450" s="7">
        <f t="shared" si="43"/>
        <v>200</v>
      </c>
      <c r="L450" s="7">
        <f t="shared" si="44"/>
        <v>1155.2</v>
      </c>
      <c r="M450" s="7" t="str">
        <f t="shared" si="45"/>
        <v>Unlimited</v>
      </c>
      <c r="N450" s="7" t="str">
        <f t="shared" si="46"/>
        <v>n.a.</v>
      </c>
      <c r="O450" s="7">
        <f t="shared" si="47"/>
        <v>7355.2</v>
      </c>
      <c r="P450" s="15" t="str">
        <f t="shared" si="48"/>
        <v>n.a.</v>
      </c>
      <c r="Q450" s="7">
        <f>J450*'Model inputs'!$B$8</f>
        <v>-95520</v>
      </c>
      <c r="R450" s="1" t="s">
        <v>164</v>
      </c>
      <c r="S450" s="1">
        <v>173</v>
      </c>
      <c r="T450" s="1">
        <v>192</v>
      </c>
    </row>
    <row r="451" spans="1:20" ht="21" customHeight="1">
      <c r="A451" s="8">
        <v>46275</v>
      </c>
      <c r="B451" s="1" t="s">
        <v>36</v>
      </c>
      <c r="C451" s="1" t="s">
        <v>87</v>
      </c>
      <c r="D451" s="7">
        <v>5800</v>
      </c>
      <c r="E451" s="7">
        <v>6000</v>
      </c>
      <c r="F451" s="7"/>
      <c r="G451" s="7">
        <f>'Option source'!B159</f>
        <v>1483.43</v>
      </c>
      <c r="H451" s="7">
        <f>'Option source'!B178</f>
        <v>1269.8</v>
      </c>
      <c r="I451" s="7"/>
      <c r="J451" s="7">
        <f t="shared" si="42"/>
        <v>-1056.1699999999998</v>
      </c>
      <c r="K451" s="7">
        <f t="shared" si="43"/>
        <v>200</v>
      </c>
      <c r="L451" s="7">
        <f t="shared" si="44"/>
        <v>1256.1699999999998</v>
      </c>
      <c r="M451" s="7" t="str">
        <f t="shared" si="45"/>
        <v>Unlimited</v>
      </c>
      <c r="N451" s="7" t="str">
        <f t="shared" si="46"/>
        <v>n.a.</v>
      </c>
      <c r="O451" s="7">
        <f t="shared" si="47"/>
        <v>7256.17</v>
      </c>
      <c r="P451" s="15" t="str">
        <f t="shared" si="48"/>
        <v>n.a.</v>
      </c>
      <c r="Q451" s="7">
        <f>J451*'Model inputs'!$B$8</f>
        <v>-105616.99999999999</v>
      </c>
      <c r="R451" s="1" t="s">
        <v>164</v>
      </c>
      <c r="S451" s="1">
        <v>154</v>
      </c>
      <c r="T451" s="1">
        <v>173</v>
      </c>
    </row>
    <row r="452" spans="1:20" ht="21" customHeight="1">
      <c r="A452" s="8">
        <v>46275</v>
      </c>
      <c r="B452" s="1" t="s">
        <v>36</v>
      </c>
      <c r="C452" s="1" t="s">
        <v>87</v>
      </c>
      <c r="D452" s="7">
        <v>5600</v>
      </c>
      <c r="E452" s="7">
        <v>5800</v>
      </c>
      <c r="F452" s="7"/>
      <c r="G452" s="7">
        <f>'Option source'!B149</f>
        <v>1600</v>
      </c>
      <c r="H452" s="7">
        <f>'Option source'!B159</f>
        <v>1483.43</v>
      </c>
      <c r="I452" s="7"/>
      <c r="J452" s="7">
        <f t="shared" si="42"/>
        <v>-1366.8600000000001</v>
      </c>
      <c r="K452" s="7">
        <f t="shared" si="43"/>
        <v>200</v>
      </c>
      <c r="L452" s="7">
        <f t="shared" si="44"/>
        <v>1566.8600000000001</v>
      </c>
      <c r="M452" s="7" t="str">
        <f t="shared" si="45"/>
        <v>Unlimited</v>
      </c>
      <c r="N452" s="7" t="str">
        <f t="shared" si="46"/>
        <v>n.a.</v>
      </c>
      <c r="O452" s="7">
        <f t="shared" si="47"/>
        <v>7366.8600000000006</v>
      </c>
      <c r="P452" s="15" t="str">
        <f t="shared" si="48"/>
        <v>n.a.</v>
      </c>
      <c r="Q452" s="7">
        <f>J452*'Model inputs'!$B$8</f>
        <v>-136686</v>
      </c>
      <c r="R452" s="1" t="s">
        <v>164</v>
      </c>
      <c r="S452" s="1">
        <v>144</v>
      </c>
      <c r="T452" s="1">
        <v>154</v>
      </c>
    </row>
    <row r="453" spans="1:20" ht="21" customHeight="1">
      <c r="A453" s="8">
        <v>46275</v>
      </c>
      <c r="B453" s="1" t="s">
        <v>36</v>
      </c>
      <c r="C453" s="1" t="s">
        <v>90</v>
      </c>
      <c r="D453" s="7">
        <v>8900</v>
      </c>
      <c r="E453" s="7">
        <v>8600</v>
      </c>
      <c r="F453" s="7"/>
      <c r="G453" s="7">
        <f>'Option source'!B915</f>
        <v>2022.5</v>
      </c>
      <c r="H453" s="7">
        <f>'Option source'!B900</f>
        <v>1483.75</v>
      </c>
      <c r="I453" s="7"/>
      <c r="J453" s="7">
        <f t="shared" si="42"/>
        <v>-945</v>
      </c>
      <c r="K453" s="7">
        <f t="shared" si="43"/>
        <v>300</v>
      </c>
      <c r="L453" s="7">
        <f t="shared" si="44"/>
        <v>1245</v>
      </c>
      <c r="M453" s="7">
        <f t="shared" si="45"/>
        <v>7355</v>
      </c>
      <c r="N453" s="7">
        <f t="shared" si="46"/>
        <v>7355</v>
      </c>
      <c r="O453" s="7" t="str">
        <f t="shared" si="47"/>
        <v>n.a.</v>
      </c>
      <c r="P453" s="15" t="str">
        <f t="shared" si="48"/>
        <v>n.a.</v>
      </c>
      <c r="Q453" s="7">
        <f>J453*'Model inputs'!$B$8</f>
        <v>-94500</v>
      </c>
      <c r="R453" s="1" t="s">
        <v>164</v>
      </c>
      <c r="S453" s="1">
        <v>910</v>
      </c>
      <c r="T453" s="1">
        <v>895</v>
      </c>
    </row>
    <row r="454" spans="1:20" ht="21" customHeight="1">
      <c r="A454" s="8">
        <v>46275</v>
      </c>
      <c r="B454" s="1" t="s">
        <v>36</v>
      </c>
      <c r="C454" s="1" t="s">
        <v>87</v>
      </c>
      <c r="D454" s="7">
        <v>5400</v>
      </c>
      <c r="E454" s="7">
        <v>5600</v>
      </c>
      <c r="F454" s="7"/>
      <c r="G454" s="7">
        <f>'Option source'!B131</f>
        <v>1846.26</v>
      </c>
      <c r="H454" s="7">
        <f>'Option source'!B149</f>
        <v>1600</v>
      </c>
      <c r="I454" s="7"/>
      <c r="J454" s="7">
        <f t="shared" si="42"/>
        <v>-1353.74</v>
      </c>
      <c r="K454" s="7">
        <f t="shared" si="43"/>
        <v>200</v>
      </c>
      <c r="L454" s="7">
        <f t="shared" si="44"/>
        <v>1553.74</v>
      </c>
      <c r="M454" s="7" t="str">
        <f t="shared" si="45"/>
        <v>Unlimited</v>
      </c>
      <c r="N454" s="7" t="str">
        <f t="shared" si="46"/>
        <v>n.a.</v>
      </c>
      <c r="O454" s="7">
        <f t="shared" si="47"/>
        <v>7153.74</v>
      </c>
      <c r="P454" s="15" t="str">
        <f t="shared" si="48"/>
        <v>n.a.</v>
      </c>
      <c r="Q454" s="7">
        <f>J454*'Model inputs'!$B$8</f>
        <v>-135374</v>
      </c>
      <c r="R454" s="1" t="s">
        <v>164</v>
      </c>
      <c r="S454" s="1">
        <v>126</v>
      </c>
      <c r="T454" s="1">
        <v>144</v>
      </c>
    </row>
    <row r="455" spans="1:20" ht="21" customHeight="1">
      <c r="A455" s="8">
        <v>46275</v>
      </c>
      <c r="B455" s="1" t="s">
        <v>36</v>
      </c>
      <c r="C455" s="1" t="s">
        <v>87</v>
      </c>
      <c r="D455" s="7">
        <v>5200</v>
      </c>
      <c r="E455" s="7">
        <v>5400</v>
      </c>
      <c r="F455" s="7"/>
      <c r="G455" s="7">
        <f>'Option source'!B112</f>
        <v>1992.7</v>
      </c>
      <c r="H455" s="7">
        <f>'Option source'!B131</f>
        <v>1846.26</v>
      </c>
      <c r="I455" s="7"/>
      <c r="J455" s="7">
        <f t="shared" ref="J455:J518" si="49">G455-2*H455+IF(B455="Butterfly",I455,0)</f>
        <v>-1699.82</v>
      </c>
      <c r="K455" s="7">
        <f t="shared" ref="K455:K518" si="50">ABS(E455-D455)</f>
        <v>200</v>
      </c>
      <c r="L455" s="7">
        <f t="shared" ref="L455:L518" si="51">K455-J455</f>
        <v>1899.82</v>
      </c>
      <c r="M455" s="7" t="str">
        <f t="shared" ref="M455:M518" si="52">IF(B455="Butterfly",MAX(J455,0),IF(C455="call","Unlimited",MAX(2*E455-D455+J455,J455,0)))</f>
        <v>Unlimited</v>
      </c>
      <c r="N455" s="7" t="str">
        <f t="shared" ref="N455:N518" si="53">IF(B455="Butterfly",IF(AND(J455&gt;0,J455&lt;K455),D455+J455,"n.a."),IF(C455="call",IF(AND(J455&gt;0,J455&lt;K455),D455+J455,"n.a."),IF(AND(K455&gt;J455,2*E455-D455+J455&gt;=0),2*E455-D455+J455,"n.a.")))</f>
        <v>n.a.</v>
      </c>
      <c r="O455" s="7">
        <f t="shared" ref="O455:O518" si="54">IF(B455="Butterfly",IF(AND(J455&gt;0,J455&lt;K455),F455-J455,"n.a."),IF(C455="call",IF(K455&gt;J455,2*E455-D455-J455,"n.a."),IF(AND(J455&gt;0,J455&lt;K455),D455-J455,"n.a.")))</f>
        <v>7299.82</v>
      </c>
      <c r="P455" s="15" t="str">
        <f t="shared" ref="P455:P518" si="55">IF(AND(B455="Butterfly",J455&gt;0,J455&lt;K455),L455/J455,"n.a.")</f>
        <v>n.a.</v>
      </c>
      <c r="Q455" s="7">
        <f>J455*'Model inputs'!$B$8</f>
        <v>-169982</v>
      </c>
      <c r="R455" s="1" t="s">
        <v>164</v>
      </c>
      <c r="S455" s="1">
        <v>107</v>
      </c>
      <c r="T455" s="1">
        <v>126</v>
      </c>
    </row>
    <row r="456" spans="1:20" ht="21" customHeight="1">
      <c r="A456" s="8">
        <v>46275</v>
      </c>
      <c r="B456" s="1" t="s">
        <v>36</v>
      </c>
      <c r="C456" s="1" t="s">
        <v>90</v>
      </c>
      <c r="D456" s="7">
        <v>9200</v>
      </c>
      <c r="E456" s="7">
        <v>8900</v>
      </c>
      <c r="F456" s="7"/>
      <c r="G456" s="7">
        <f>'Option source'!B922</f>
        <v>2000</v>
      </c>
      <c r="H456" s="7">
        <f>'Option source'!B915</f>
        <v>2022.5</v>
      </c>
      <c r="I456" s="7"/>
      <c r="J456" s="7">
        <f t="shared" si="49"/>
        <v>-2045</v>
      </c>
      <c r="K456" s="7">
        <f t="shared" si="50"/>
        <v>300</v>
      </c>
      <c r="L456" s="7">
        <f t="shared" si="51"/>
        <v>2345</v>
      </c>
      <c r="M456" s="7">
        <f t="shared" si="52"/>
        <v>6555</v>
      </c>
      <c r="N456" s="7">
        <f t="shared" si="53"/>
        <v>6555</v>
      </c>
      <c r="O456" s="7" t="str">
        <f t="shared" si="54"/>
        <v>n.a.</v>
      </c>
      <c r="P456" s="15" t="str">
        <f t="shared" si="55"/>
        <v>n.a.</v>
      </c>
      <c r="Q456" s="7">
        <f>J456*'Model inputs'!$B$8</f>
        <v>-204500</v>
      </c>
      <c r="R456" s="1" t="s">
        <v>164</v>
      </c>
      <c r="S456" s="1">
        <v>917</v>
      </c>
      <c r="T456" s="1">
        <v>910</v>
      </c>
    </row>
    <row r="457" spans="1:20" ht="21" customHeight="1">
      <c r="A457" s="8">
        <v>46275</v>
      </c>
      <c r="B457" s="1" t="s">
        <v>36</v>
      </c>
      <c r="C457" s="1" t="s">
        <v>87</v>
      </c>
      <c r="D457" s="7">
        <v>5000</v>
      </c>
      <c r="E457" s="7">
        <v>5200</v>
      </c>
      <c r="F457" s="7"/>
      <c r="G457" s="7">
        <f>'Option source'!B93</f>
        <v>2248.1999999999998</v>
      </c>
      <c r="H457" s="7">
        <f>'Option source'!B112</f>
        <v>1992.7</v>
      </c>
      <c r="I457" s="7"/>
      <c r="J457" s="7">
        <f t="shared" si="49"/>
        <v>-1737.2000000000003</v>
      </c>
      <c r="K457" s="7">
        <f t="shared" si="50"/>
        <v>200</v>
      </c>
      <c r="L457" s="7">
        <f t="shared" si="51"/>
        <v>1937.2000000000003</v>
      </c>
      <c r="M457" s="7" t="str">
        <f t="shared" si="52"/>
        <v>Unlimited</v>
      </c>
      <c r="N457" s="7" t="str">
        <f t="shared" si="53"/>
        <v>n.a.</v>
      </c>
      <c r="O457" s="7">
        <f t="shared" si="54"/>
        <v>7137.2000000000007</v>
      </c>
      <c r="P457" s="15" t="str">
        <f t="shared" si="55"/>
        <v>n.a.</v>
      </c>
      <c r="Q457" s="7">
        <f>J457*'Model inputs'!$B$8</f>
        <v>-173720.00000000003</v>
      </c>
      <c r="R457" s="1" t="s">
        <v>164</v>
      </c>
      <c r="S457" s="1">
        <v>88</v>
      </c>
      <c r="T457" s="1">
        <v>107</v>
      </c>
    </row>
    <row r="458" spans="1:20" ht="21" customHeight="1">
      <c r="A458" s="8">
        <v>46275</v>
      </c>
      <c r="B458" s="1" t="s">
        <v>36</v>
      </c>
      <c r="C458" s="1" t="s">
        <v>87</v>
      </c>
      <c r="D458" s="7">
        <v>4800</v>
      </c>
      <c r="E458" s="7">
        <v>5000</v>
      </c>
      <c r="F458" s="7"/>
      <c r="G458" s="7">
        <f>'Option source'!B76</f>
        <v>2425.7399999999998</v>
      </c>
      <c r="H458" s="7">
        <f>'Option source'!B93</f>
        <v>2248.1999999999998</v>
      </c>
      <c r="I458" s="7"/>
      <c r="J458" s="7">
        <f t="shared" si="49"/>
        <v>-2070.66</v>
      </c>
      <c r="K458" s="7">
        <f t="shared" si="50"/>
        <v>200</v>
      </c>
      <c r="L458" s="7">
        <f t="shared" si="51"/>
        <v>2270.66</v>
      </c>
      <c r="M458" s="7" t="str">
        <f t="shared" si="52"/>
        <v>Unlimited</v>
      </c>
      <c r="N458" s="7" t="str">
        <f t="shared" si="53"/>
        <v>n.a.</v>
      </c>
      <c r="O458" s="7">
        <f t="shared" si="54"/>
        <v>7270.66</v>
      </c>
      <c r="P458" s="15" t="str">
        <f t="shared" si="55"/>
        <v>n.a.</v>
      </c>
      <c r="Q458" s="7">
        <f>J458*'Model inputs'!$B$8</f>
        <v>-207066</v>
      </c>
      <c r="R458" s="1" t="s">
        <v>164</v>
      </c>
      <c r="S458" s="1">
        <v>71</v>
      </c>
      <c r="T458" s="1">
        <v>88</v>
      </c>
    </row>
    <row r="459" spans="1:20" ht="21" customHeight="1">
      <c r="A459" s="8">
        <v>46275</v>
      </c>
      <c r="B459" s="1" t="s">
        <v>36</v>
      </c>
      <c r="C459" s="1" t="s">
        <v>87</v>
      </c>
      <c r="D459" s="7">
        <v>4600</v>
      </c>
      <c r="E459" s="7">
        <v>4800</v>
      </c>
      <c r="F459" s="7"/>
      <c r="G459" s="7">
        <f>'Option source'!B59</f>
        <v>2650</v>
      </c>
      <c r="H459" s="7">
        <f>'Option source'!B76</f>
        <v>2425.7399999999998</v>
      </c>
      <c r="I459" s="7"/>
      <c r="J459" s="7">
        <f t="shared" si="49"/>
        <v>-2201.4799999999996</v>
      </c>
      <c r="K459" s="7">
        <f t="shared" si="50"/>
        <v>200</v>
      </c>
      <c r="L459" s="7">
        <f t="shared" si="51"/>
        <v>2401.4799999999996</v>
      </c>
      <c r="M459" s="7" t="str">
        <f t="shared" si="52"/>
        <v>Unlimited</v>
      </c>
      <c r="N459" s="7" t="str">
        <f t="shared" si="53"/>
        <v>n.a.</v>
      </c>
      <c r="O459" s="7">
        <f t="shared" si="54"/>
        <v>7201.48</v>
      </c>
      <c r="P459" s="15" t="str">
        <f t="shared" si="55"/>
        <v>n.a.</v>
      </c>
      <c r="Q459" s="7">
        <f>J459*'Model inputs'!$B$8</f>
        <v>-220147.99999999994</v>
      </c>
      <c r="R459" s="1" t="s">
        <v>164</v>
      </c>
      <c r="S459" s="1">
        <v>54</v>
      </c>
      <c r="T459" s="1">
        <v>71</v>
      </c>
    </row>
    <row r="460" spans="1:20" ht="21" customHeight="1">
      <c r="A460" s="8">
        <v>46275</v>
      </c>
      <c r="B460" s="1" t="s">
        <v>36</v>
      </c>
      <c r="C460" s="1" t="s">
        <v>87</v>
      </c>
      <c r="D460" s="7">
        <v>4400</v>
      </c>
      <c r="E460" s="7">
        <v>4600</v>
      </c>
      <c r="F460" s="7"/>
      <c r="G460" s="7">
        <f>'Option source'!B40</f>
        <v>2828.59</v>
      </c>
      <c r="H460" s="7">
        <f>'Option source'!B59</f>
        <v>2650</v>
      </c>
      <c r="I460" s="7"/>
      <c r="J460" s="7">
        <f t="shared" si="49"/>
        <v>-2471.41</v>
      </c>
      <c r="K460" s="7">
        <f t="shared" si="50"/>
        <v>200</v>
      </c>
      <c r="L460" s="7">
        <f t="shared" si="51"/>
        <v>2671.41</v>
      </c>
      <c r="M460" s="7" t="str">
        <f t="shared" si="52"/>
        <v>Unlimited</v>
      </c>
      <c r="N460" s="7" t="str">
        <f t="shared" si="53"/>
        <v>n.a.</v>
      </c>
      <c r="O460" s="7">
        <f t="shared" si="54"/>
        <v>7271.41</v>
      </c>
      <c r="P460" s="15" t="str">
        <f t="shared" si="55"/>
        <v>n.a.</v>
      </c>
      <c r="Q460" s="7">
        <f>J460*'Model inputs'!$B$8</f>
        <v>-247141</v>
      </c>
      <c r="R460" s="1" t="s">
        <v>164</v>
      </c>
      <c r="S460" s="1">
        <v>35</v>
      </c>
      <c r="T460" s="1">
        <v>54</v>
      </c>
    </row>
    <row r="461" spans="1:20" ht="21" customHeight="1">
      <c r="A461" s="8">
        <v>46275</v>
      </c>
      <c r="B461" s="1" t="s">
        <v>36</v>
      </c>
      <c r="C461" s="1" t="s">
        <v>87</v>
      </c>
      <c r="D461" s="7">
        <v>4200</v>
      </c>
      <c r="E461" s="7">
        <v>4400</v>
      </c>
      <c r="F461" s="7"/>
      <c r="G461" s="7">
        <f>'Option source'!B21</f>
        <v>3000</v>
      </c>
      <c r="H461" s="7">
        <f>'Option source'!B40</f>
        <v>2828.59</v>
      </c>
      <c r="I461" s="7"/>
      <c r="J461" s="7">
        <f t="shared" si="49"/>
        <v>-2657.1800000000003</v>
      </c>
      <c r="K461" s="7">
        <f t="shared" si="50"/>
        <v>200</v>
      </c>
      <c r="L461" s="7">
        <f t="shared" si="51"/>
        <v>2857.1800000000003</v>
      </c>
      <c r="M461" s="7" t="str">
        <f t="shared" si="52"/>
        <v>Unlimited</v>
      </c>
      <c r="N461" s="7" t="str">
        <f t="shared" si="53"/>
        <v>n.a.</v>
      </c>
      <c r="O461" s="7">
        <f t="shared" si="54"/>
        <v>7257.18</v>
      </c>
      <c r="P461" s="15" t="str">
        <f t="shared" si="55"/>
        <v>n.a.</v>
      </c>
      <c r="Q461" s="7">
        <f>J461*'Model inputs'!$B$8</f>
        <v>-265718</v>
      </c>
      <c r="R461" s="1" t="s">
        <v>164</v>
      </c>
      <c r="S461" s="1">
        <v>16</v>
      </c>
      <c r="T461" s="1">
        <v>35</v>
      </c>
    </row>
    <row r="462" spans="1:20" ht="21" customHeight="1">
      <c r="A462" s="8">
        <v>46274</v>
      </c>
      <c r="B462" s="1" t="s">
        <v>34</v>
      </c>
      <c r="C462" s="1" t="s">
        <v>87</v>
      </c>
      <c r="D462" s="7">
        <v>6800</v>
      </c>
      <c r="E462" s="7">
        <v>7000</v>
      </c>
      <c r="F462" s="7">
        <v>7200</v>
      </c>
      <c r="G462" s="7">
        <f>'Option source'!B253</f>
        <v>630.86</v>
      </c>
      <c r="H462" s="7">
        <f>'Option source'!B272</f>
        <v>521.42999999999995</v>
      </c>
      <c r="I462" s="7">
        <f>'Option source'!B291</f>
        <v>418.29</v>
      </c>
      <c r="J462" s="7">
        <f t="shared" si="49"/>
        <v>6.2900000000001342</v>
      </c>
      <c r="K462" s="7">
        <f t="shared" si="50"/>
        <v>200</v>
      </c>
      <c r="L462" s="7">
        <f t="shared" si="51"/>
        <v>193.70999999999987</v>
      </c>
      <c r="M462" s="7">
        <f t="shared" si="52"/>
        <v>6.2900000000001342</v>
      </c>
      <c r="N462" s="7">
        <f t="shared" si="53"/>
        <v>6806.29</v>
      </c>
      <c r="O462" s="7">
        <f t="shared" si="54"/>
        <v>7193.71</v>
      </c>
      <c r="P462" s="15">
        <f t="shared" si="55"/>
        <v>30.796502384737</v>
      </c>
      <c r="Q462" s="7">
        <f>J462*'Model inputs'!$B$8</f>
        <v>629.00000000001342</v>
      </c>
      <c r="R462" s="1" t="s">
        <v>162</v>
      </c>
      <c r="S462" s="1">
        <v>248</v>
      </c>
      <c r="T462" s="1">
        <v>267</v>
      </c>
    </row>
    <row r="463" spans="1:20" ht="21" customHeight="1">
      <c r="A463" s="8">
        <v>46274</v>
      </c>
      <c r="B463" s="1" t="s">
        <v>34</v>
      </c>
      <c r="C463" s="1" t="s">
        <v>90</v>
      </c>
      <c r="D463" s="7">
        <v>6800</v>
      </c>
      <c r="E463" s="7">
        <v>7000</v>
      </c>
      <c r="F463" s="7">
        <v>7200</v>
      </c>
      <c r="G463" s="7">
        <f>'Option source'!B747</f>
        <v>195.89</v>
      </c>
      <c r="H463" s="7">
        <f>'Option source'!B766</f>
        <v>279.23</v>
      </c>
      <c r="I463" s="7">
        <f>'Option source'!B785</f>
        <v>369.17</v>
      </c>
      <c r="J463" s="7">
        <f t="shared" si="49"/>
        <v>6.5999999999999659</v>
      </c>
      <c r="K463" s="7">
        <f t="shared" si="50"/>
        <v>200</v>
      </c>
      <c r="L463" s="7">
        <f t="shared" si="51"/>
        <v>193.40000000000003</v>
      </c>
      <c r="M463" s="7">
        <f t="shared" si="52"/>
        <v>6.5999999999999659</v>
      </c>
      <c r="N463" s="7">
        <f t="shared" si="53"/>
        <v>6806.6</v>
      </c>
      <c r="O463" s="7">
        <f t="shared" si="54"/>
        <v>7193.4</v>
      </c>
      <c r="P463" s="15">
        <f t="shared" si="55"/>
        <v>29.303030303030461</v>
      </c>
      <c r="Q463" s="7">
        <f>J463*'Model inputs'!$B$8</f>
        <v>659.99999999999659</v>
      </c>
      <c r="R463" s="1" t="s">
        <v>162</v>
      </c>
      <c r="S463" s="1">
        <v>742</v>
      </c>
      <c r="T463" s="1">
        <v>761</v>
      </c>
    </row>
    <row r="464" spans="1:20" ht="21" customHeight="1">
      <c r="A464" s="8">
        <v>46274</v>
      </c>
      <c r="B464" s="1" t="s">
        <v>34</v>
      </c>
      <c r="C464" s="1" t="s">
        <v>87</v>
      </c>
      <c r="D464" s="7">
        <v>7000</v>
      </c>
      <c r="E464" s="7">
        <v>7200</v>
      </c>
      <c r="F464" s="7">
        <v>7400</v>
      </c>
      <c r="G464" s="7">
        <f>'Option source'!B272</f>
        <v>521.42999999999995</v>
      </c>
      <c r="H464" s="7">
        <f>'Option source'!B291</f>
        <v>418.29</v>
      </c>
      <c r="I464" s="7">
        <f>'Option source'!B310</f>
        <v>324.41000000000003</v>
      </c>
      <c r="J464" s="7">
        <f t="shared" si="49"/>
        <v>9.2599999999999341</v>
      </c>
      <c r="K464" s="7">
        <f t="shared" si="50"/>
        <v>200</v>
      </c>
      <c r="L464" s="7">
        <f t="shared" si="51"/>
        <v>190.74000000000007</v>
      </c>
      <c r="M464" s="7">
        <f t="shared" si="52"/>
        <v>9.2599999999999341</v>
      </c>
      <c r="N464" s="7">
        <f t="shared" si="53"/>
        <v>7009.26</v>
      </c>
      <c r="O464" s="7">
        <f t="shared" si="54"/>
        <v>7390.74</v>
      </c>
      <c r="P464" s="15">
        <f t="shared" si="55"/>
        <v>20.598272138229095</v>
      </c>
      <c r="Q464" s="7">
        <f>J464*'Model inputs'!$B$8</f>
        <v>925.99999999999341</v>
      </c>
      <c r="R464" s="1" t="s">
        <v>162</v>
      </c>
      <c r="S464" s="1">
        <v>267</v>
      </c>
      <c r="T464" s="1">
        <v>286</v>
      </c>
    </row>
    <row r="465" spans="1:20" ht="21" customHeight="1">
      <c r="A465" s="8">
        <v>46274</v>
      </c>
      <c r="B465" s="1" t="s">
        <v>34</v>
      </c>
      <c r="C465" s="1" t="s">
        <v>90</v>
      </c>
      <c r="D465" s="7">
        <v>7000</v>
      </c>
      <c r="E465" s="7">
        <v>7200</v>
      </c>
      <c r="F465" s="7">
        <v>7400</v>
      </c>
      <c r="G465" s="7">
        <f>'Option source'!B766</f>
        <v>279.23</v>
      </c>
      <c r="H465" s="7">
        <f>'Option source'!B785</f>
        <v>369.17</v>
      </c>
      <c r="I465" s="7">
        <f>'Option source'!B804</f>
        <v>480.11</v>
      </c>
      <c r="J465" s="7">
        <f t="shared" si="49"/>
        <v>21</v>
      </c>
      <c r="K465" s="7">
        <f t="shared" si="50"/>
        <v>200</v>
      </c>
      <c r="L465" s="7">
        <f t="shared" si="51"/>
        <v>179</v>
      </c>
      <c r="M465" s="7">
        <f t="shared" si="52"/>
        <v>21</v>
      </c>
      <c r="N465" s="7">
        <f t="shared" si="53"/>
        <v>7021</v>
      </c>
      <c r="O465" s="7">
        <f t="shared" si="54"/>
        <v>7379</v>
      </c>
      <c r="P465" s="15">
        <f t="shared" si="55"/>
        <v>8.5238095238095237</v>
      </c>
      <c r="Q465" s="7">
        <f>J465*'Model inputs'!$B$8</f>
        <v>2100</v>
      </c>
      <c r="R465" s="1" t="s">
        <v>162</v>
      </c>
      <c r="S465" s="1">
        <v>761</v>
      </c>
      <c r="T465" s="1">
        <v>780</v>
      </c>
    </row>
    <row r="466" spans="1:20" ht="21" customHeight="1">
      <c r="A466" s="8">
        <v>46274</v>
      </c>
      <c r="B466" s="1" t="s">
        <v>34</v>
      </c>
      <c r="C466" s="1" t="s">
        <v>87</v>
      </c>
      <c r="D466" s="7">
        <v>6600</v>
      </c>
      <c r="E466" s="7">
        <v>6800</v>
      </c>
      <c r="F466" s="7">
        <v>7000</v>
      </c>
      <c r="G466" s="7">
        <f>'Option source'!B234</f>
        <v>773.75</v>
      </c>
      <c r="H466" s="7">
        <f>'Option source'!B253</f>
        <v>630.86</v>
      </c>
      <c r="I466" s="7">
        <f>'Option source'!B272</f>
        <v>521.42999999999995</v>
      </c>
      <c r="J466" s="7">
        <f t="shared" si="49"/>
        <v>33.459999999999923</v>
      </c>
      <c r="K466" s="7">
        <f t="shared" si="50"/>
        <v>200</v>
      </c>
      <c r="L466" s="7">
        <f t="shared" si="51"/>
        <v>166.54000000000008</v>
      </c>
      <c r="M466" s="7">
        <f t="shared" si="52"/>
        <v>33.459999999999923</v>
      </c>
      <c r="N466" s="7">
        <f t="shared" si="53"/>
        <v>6633.46</v>
      </c>
      <c r="O466" s="7">
        <f t="shared" si="54"/>
        <v>6966.54</v>
      </c>
      <c r="P466" s="15">
        <f t="shared" si="55"/>
        <v>4.9772863120143596</v>
      </c>
      <c r="Q466" s="7">
        <f>J466*'Model inputs'!$B$8</f>
        <v>3345.9999999999923</v>
      </c>
      <c r="R466" s="1" t="s">
        <v>162</v>
      </c>
      <c r="S466" s="1">
        <v>229</v>
      </c>
      <c r="T466" s="1">
        <v>248</v>
      </c>
    </row>
    <row r="467" spans="1:20" ht="21" customHeight="1">
      <c r="A467" s="8">
        <v>46274</v>
      </c>
      <c r="B467" s="1" t="s">
        <v>34</v>
      </c>
      <c r="C467" s="1" t="s">
        <v>90</v>
      </c>
      <c r="D467" s="7">
        <v>6600</v>
      </c>
      <c r="E467" s="7">
        <v>6800</v>
      </c>
      <c r="F467" s="7">
        <v>7000</v>
      </c>
      <c r="G467" s="7">
        <f>'Option source'!B728</f>
        <v>133.94999999999999</v>
      </c>
      <c r="H467" s="7">
        <f>'Option source'!B747</f>
        <v>195.89</v>
      </c>
      <c r="I467" s="7">
        <f>'Option source'!B766</f>
        <v>279.23</v>
      </c>
      <c r="J467" s="7">
        <f t="shared" si="49"/>
        <v>21.400000000000034</v>
      </c>
      <c r="K467" s="7">
        <f t="shared" si="50"/>
        <v>200</v>
      </c>
      <c r="L467" s="7">
        <f t="shared" si="51"/>
        <v>178.59999999999997</v>
      </c>
      <c r="M467" s="7">
        <f t="shared" si="52"/>
        <v>21.400000000000034</v>
      </c>
      <c r="N467" s="7">
        <f t="shared" si="53"/>
        <v>6621.4</v>
      </c>
      <c r="O467" s="7">
        <f t="shared" si="54"/>
        <v>6978.6</v>
      </c>
      <c r="P467" s="15">
        <f t="shared" si="55"/>
        <v>8.3457943925233504</v>
      </c>
      <c r="Q467" s="7">
        <f>J467*'Model inputs'!$B$8</f>
        <v>2140.0000000000036</v>
      </c>
      <c r="R467" s="1" t="s">
        <v>162</v>
      </c>
      <c r="S467" s="1">
        <v>723</v>
      </c>
      <c r="T467" s="1">
        <v>742</v>
      </c>
    </row>
    <row r="468" spans="1:20" ht="21" customHeight="1">
      <c r="A468" s="8">
        <v>46274</v>
      </c>
      <c r="B468" s="1" t="s">
        <v>34</v>
      </c>
      <c r="C468" s="1" t="s">
        <v>87</v>
      </c>
      <c r="D468" s="7">
        <v>7200</v>
      </c>
      <c r="E468" s="7">
        <v>7400</v>
      </c>
      <c r="F468" s="7">
        <v>7600</v>
      </c>
      <c r="G468" s="7">
        <f>'Option source'!B291</f>
        <v>418.29</v>
      </c>
      <c r="H468" s="7">
        <f>'Option source'!B310</f>
        <v>324.41000000000003</v>
      </c>
      <c r="I468" s="7">
        <f>'Option source'!B329</f>
        <v>247.27</v>
      </c>
      <c r="J468" s="7">
        <f t="shared" si="49"/>
        <v>16.739999999999981</v>
      </c>
      <c r="K468" s="7">
        <f t="shared" si="50"/>
        <v>200</v>
      </c>
      <c r="L468" s="7">
        <f t="shared" si="51"/>
        <v>183.26000000000002</v>
      </c>
      <c r="M468" s="7">
        <f t="shared" si="52"/>
        <v>16.739999999999981</v>
      </c>
      <c r="N468" s="7">
        <f t="shared" si="53"/>
        <v>7216.74</v>
      </c>
      <c r="O468" s="7">
        <f t="shared" si="54"/>
        <v>7583.26</v>
      </c>
      <c r="P468" s="15">
        <f t="shared" si="55"/>
        <v>10.947431302270026</v>
      </c>
      <c r="Q468" s="7">
        <f>J468*'Model inputs'!$B$8</f>
        <v>1673.9999999999982</v>
      </c>
      <c r="R468" s="1" t="s">
        <v>162</v>
      </c>
      <c r="S468" s="1">
        <v>286</v>
      </c>
      <c r="T468" s="1">
        <v>305</v>
      </c>
    </row>
    <row r="469" spans="1:20" ht="21" customHeight="1">
      <c r="A469" s="8">
        <v>46274</v>
      </c>
      <c r="B469" s="1" t="s">
        <v>34</v>
      </c>
      <c r="C469" s="1" t="s">
        <v>90</v>
      </c>
      <c r="D469" s="7">
        <v>7200</v>
      </c>
      <c r="E469" s="7">
        <v>7400</v>
      </c>
      <c r="F469" s="7">
        <v>7600</v>
      </c>
      <c r="G469" s="7">
        <f>'Option source'!B785</f>
        <v>369.17</v>
      </c>
      <c r="H469" s="7">
        <f>'Option source'!B804</f>
        <v>480.11</v>
      </c>
      <c r="I469" s="7">
        <f>'Option source'!B823</f>
        <v>593.01</v>
      </c>
      <c r="J469" s="7">
        <f t="shared" si="49"/>
        <v>1.9600000000000364</v>
      </c>
      <c r="K469" s="7">
        <f t="shared" si="50"/>
        <v>200</v>
      </c>
      <c r="L469" s="7">
        <f t="shared" si="51"/>
        <v>198.03999999999996</v>
      </c>
      <c r="M469" s="7">
        <f t="shared" si="52"/>
        <v>1.9600000000000364</v>
      </c>
      <c r="N469" s="7">
        <f t="shared" si="53"/>
        <v>7201.96</v>
      </c>
      <c r="O469" s="7">
        <f t="shared" si="54"/>
        <v>7598.04</v>
      </c>
      <c r="P469" s="15">
        <f t="shared" si="55"/>
        <v>101.04081632652871</v>
      </c>
      <c r="Q469" s="7">
        <f>J469*'Model inputs'!$B$8</f>
        <v>196.00000000000364</v>
      </c>
      <c r="R469" s="1" t="s">
        <v>162</v>
      </c>
      <c r="S469" s="1">
        <v>780</v>
      </c>
      <c r="T469" s="1">
        <v>799</v>
      </c>
    </row>
    <row r="470" spans="1:20" ht="21" customHeight="1">
      <c r="A470" s="8">
        <v>46274</v>
      </c>
      <c r="B470" s="1" t="s">
        <v>34</v>
      </c>
      <c r="C470" s="1" t="s">
        <v>90</v>
      </c>
      <c r="D470" s="7">
        <v>6400</v>
      </c>
      <c r="E470" s="7">
        <v>6600</v>
      </c>
      <c r="F470" s="7">
        <v>6800</v>
      </c>
      <c r="G470" s="7">
        <f>'Option source'!B709</f>
        <v>89.43</v>
      </c>
      <c r="H470" s="7">
        <f>'Option source'!B728</f>
        <v>133.94999999999999</v>
      </c>
      <c r="I470" s="7">
        <f>'Option source'!B747</f>
        <v>195.89</v>
      </c>
      <c r="J470" s="7">
        <f t="shared" si="49"/>
        <v>17.420000000000016</v>
      </c>
      <c r="K470" s="7">
        <f t="shared" si="50"/>
        <v>200</v>
      </c>
      <c r="L470" s="7">
        <f t="shared" si="51"/>
        <v>182.57999999999998</v>
      </c>
      <c r="M470" s="7">
        <f t="shared" si="52"/>
        <v>17.420000000000016</v>
      </c>
      <c r="N470" s="7">
        <f t="shared" si="53"/>
        <v>6417.42</v>
      </c>
      <c r="O470" s="7">
        <f t="shared" si="54"/>
        <v>6782.58</v>
      </c>
      <c r="P470" s="15">
        <f t="shared" si="55"/>
        <v>10.48105625717565</v>
      </c>
      <c r="Q470" s="7">
        <f>J470*'Model inputs'!$B$8</f>
        <v>1742.0000000000016</v>
      </c>
      <c r="R470" s="1" t="s">
        <v>162</v>
      </c>
      <c r="S470" s="1">
        <v>704</v>
      </c>
      <c r="T470" s="1">
        <v>723</v>
      </c>
    </row>
    <row r="471" spans="1:20" ht="21" customHeight="1">
      <c r="A471" s="8">
        <v>46274</v>
      </c>
      <c r="B471" s="1" t="s">
        <v>34</v>
      </c>
      <c r="C471" s="1" t="s">
        <v>87</v>
      </c>
      <c r="D471" s="7">
        <v>7400</v>
      </c>
      <c r="E471" s="7">
        <v>7600</v>
      </c>
      <c r="F471" s="7">
        <v>7800</v>
      </c>
      <c r="G471" s="7">
        <f>'Option source'!B310</f>
        <v>324.41000000000003</v>
      </c>
      <c r="H471" s="7">
        <f>'Option source'!B329</f>
        <v>247.27</v>
      </c>
      <c r="I471" s="7">
        <f>'Option source'!B348</f>
        <v>187.56</v>
      </c>
      <c r="J471" s="7">
        <f t="shared" si="49"/>
        <v>17.430000000000007</v>
      </c>
      <c r="K471" s="7">
        <f t="shared" si="50"/>
        <v>200</v>
      </c>
      <c r="L471" s="7">
        <f t="shared" si="51"/>
        <v>182.57</v>
      </c>
      <c r="M471" s="7">
        <f t="shared" si="52"/>
        <v>17.430000000000007</v>
      </c>
      <c r="N471" s="7">
        <f t="shared" si="53"/>
        <v>7417.43</v>
      </c>
      <c r="O471" s="7">
        <f t="shared" si="54"/>
        <v>7782.57</v>
      </c>
      <c r="P471" s="15">
        <f t="shared" si="55"/>
        <v>10.474469305794603</v>
      </c>
      <c r="Q471" s="7">
        <f>J471*'Model inputs'!$B$8</f>
        <v>1743.0000000000007</v>
      </c>
      <c r="R471" s="1" t="s">
        <v>162</v>
      </c>
      <c r="S471" s="1">
        <v>305</v>
      </c>
      <c r="T471" s="1">
        <v>324</v>
      </c>
    </row>
    <row r="472" spans="1:20" ht="21" customHeight="1">
      <c r="A472" s="8">
        <v>46274</v>
      </c>
      <c r="B472" s="1" t="s">
        <v>34</v>
      </c>
      <c r="C472" s="1" t="s">
        <v>90</v>
      </c>
      <c r="D472" s="7">
        <v>6200</v>
      </c>
      <c r="E472" s="7">
        <v>6400</v>
      </c>
      <c r="F472" s="7">
        <v>6600</v>
      </c>
      <c r="G472" s="7">
        <f>'Option source'!B690</f>
        <v>55.42</v>
      </c>
      <c r="H472" s="7">
        <f>'Option source'!B709</f>
        <v>89.43</v>
      </c>
      <c r="I472" s="7">
        <f>'Option source'!B728</f>
        <v>133.94999999999999</v>
      </c>
      <c r="J472" s="7">
        <f t="shared" si="49"/>
        <v>10.509999999999977</v>
      </c>
      <c r="K472" s="7">
        <f t="shared" si="50"/>
        <v>200</v>
      </c>
      <c r="L472" s="7">
        <f t="shared" si="51"/>
        <v>189.49</v>
      </c>
      <c r="M472" s="7">
        <f t="shared" si="52"/>
        <v>10.509999999999977</v>
      </c>
      <c r="N472" s="7">
        <f t="shared" si="53"/>
        <v>6210.51</v>
      </c>
      <c r="O472" s="7">
        <f t="shared" si="54"/>
        <v>6589.49</v>
      </c>
      <c r="P472" s="15">
        <f t="shared" si="55"/>
        <v>18.029495718363503</v>
      </c>
      <c r="Q472" s="7">
        <f>J472*'Model inputs'!$B$8</f>
        <v>1050.9999999999977</v>
      </c>
      <c r="R472" s="1" t="s">
        <v>162</v>
      </c>
      <c r="S472" s="1">
        <v>685</v>
      </c>
      <c r="T472" s="1">
        <v>704</v>
      </c>
    </row>
    <row r="473" spans="1:20" ht="21" customHeight="1">
      <c r="A473" s="8">
        <v>46274</v>
      </c>
      <c r="B473" s="1" t="s">
        <v>34</v>
      </c>
      <c r="C473" s="1" t="s">
        <v>87</v>
      </c>
      <c r="D473" s="7">
        <v>7600</v>
      </c>
      <c r="E473" s="7">
        <v>7800</v>
      </c>
      <c r="F473" s="7">
        <v>8000</v>
      </c>
      <c r="G473" s="7">
        <f>'Option source'!B329</f>
        <v>247.27</v>
      </c>
      <c r="H473" s="7">
        <f>'Option source'!B348</f>
        <v>187.56</v>
      </c>
      <c r="I473" s="7">
        <f>'Option source'!B367</f>
        <v>141.05000000000001</v>
      </c>
      <c r="J473" s="7">
        <f t="shared" si="49"/>
        <v>13.200000000000017</v>
      </c>
      <c r="K473" s="7">
        <f t="shared" si="50"/>
        <v>200</v>
      </c>
      <c r="L473" s="7">
        <f t="shared" si="51"/>
        <v>186.79999999999998</v>
      </c>
      <c r="M473" s="7">
        <f t="shared" si="52"/>
        <v>13.200000000000017</v>
      </c>
      <c r="N473" s="7">
        <f t="shared" si="53"/>
        <v>7613.2</v>
      </c>
      <c r="O473" s="7">
        <f t="shared" si="54"/>
        <v>7986.8</v>
      </c>
      <c r="P473" s="15">
        <f t="shared" si="55"/>
        <v>14.151515151515133</v>
      </c>
      <c r="Q473" s="7">
        <f>J473*'Model inputs'!$B$8</f>
        <v>1320.0000000000018</v>
      </c>
      <c r="R473" s="1" t="s">
        <v>162</v>
      </c>
      <c r="S473" s="1">
        <v>324</v>
      </c>
      <c r="T473" s="1">
        <v>343</v>
      </c>
    </row>
    <row r="474" spans="1:20" ht="21" customHeight="1">
      <c r="A474" s="8">
        <v>46274</v>
      </c>
      <c r="B474" s="1" t="s">
        <v>34</v>
      </c>
      <c r="C474" s="1" t="s">
        <v>90</v>
      </c>
      <c r="D474" s="7">
        <v>6000</v>
      </c>
      <c r="E474" s="7">
        <v>6200</v>
      </c>
      <c r="F474" s="7">
        <v>6400</v>
      </c>
      <c r="G474" s="7">
        <f>'Option source'!B671</f>
        <v>32.380000000000003</v>
      </c>
      <c r="H474" s="7">
        <f>'Option source'!B690</f>
        <v>55.42</v>
      </c>
      <c r="I474" s="7">
        <f>'Option source'!B709</f>
        <v>89.43</v>
      </c>
      <c r="J474" s="7">
        <f t="shared" si="49"/>
        <v>10.969999999999999</v>
      </c>
      <c r="K474" s="7">
        <f t="shared" si="50"/>
        <v>200</v>
      </c>
      <c r="L474" s="7">
        <f t="shared" si="51"/>
        <v>189.03</v>
      </c>
      <c r="M474" s="7">
        <f t="shared" si="52"/>
        <v>10.969999999999999</v>
      </c>
      <c r="N474" s="7">
        <f t="shared" si="53"/>
        <v>6010.97</v>
      </c>
      <c r="O474" s="7">
        <f t="shared" si="54"/>
        <v>6389.03</v>
      </c>
      <c r="P474" s="15">
        <f t="shared" si="55"/>
        <v>17.23154056517776</v>
      </c>
      <c r="Q474" s="7">
        <f>J474*'Model inputs'!$B$8</f>
        <v>1097</v>
      </c>
      <c r="R474" s="1" t="s">
        <v>162</v>
      </c>
      <c r="S474" s="1">
        <v>666</v>
      </c>
      <c r="T474" s="1">
        <v>685</v>
      </c>
    </row>
    <row r="475" spans="1:20" ht="21" customHeight="1">
      <c r="A475" s="8">
        <v>46274</v>
      </c>
      <c r="B475" s="1" t="s">
        <v>34</v>
      </c>
      <c r="C475" s="1" t="s">
        <v>90</v>
      </c>
      <c r="D475" s="7">
        <v>5800</v>
      </c>
      <c r="E475" s="7">
        <v>6000</v>
      </c>
      <c r="F475" s="7">
        <v>6200</v>
      </c>
      <c r="G475" s="7">
        <f>'Option source'!B652</f>
        <v>18.329999999999998</v>
      </c>
      <c r="H475" s="7">
        <f>'Option source'!B671</f>
        <v>32.380000000000003</v>
      </c>
      <c r="I475" s="7">
        <f>'Option source'!B690</f>
        <v>55.42</v>
      </c>
      <c r="J475" s="7">
        <f t="shared" si="49"/>
        <v>8.9899999999999949</v>
      </c>
      <c r="K475" s="7">
        <f t="shared" si="50"/>
        <v>200</v>
      </c>
      <c r="L475" s="7">
        <f t="shared" si="51"/>
        <v>191.01</v>
      </c>
      <c r="M475" s="7">
        <f t="shared" si="52"/>
        <v>8.9899999999999949</v>
      </c>
      <c r="N475" s="7">
        <f t="shared" si="53"/>
        <v>5808.99</v>
      </c>
      <c r="O475" s="7">
        <f t="shared" si="54"/>
        <v>6191.01</v>
      </c>
      <c r="P475" s="15">
        <f t="shared" si="55"/>
        <v>21.246941045606242</v>
      </c>
      <c r="Q475" s="7">
        <f>J475*'Model inputs'!$B$8</f>
        <v>898.99999999999955</v>
      </c>
      <c r="R475" s="1" t="s">
        <v>162</v>
      </c>
      <c r="S475" s="1">
        <v>647</v>
      </c>
      <c r="T475" s="1">
        <v>666</v>
      </c>
    </row>
    <row r="476" spans="1:20" ht="21" customHeight="1">
      <c r="A476" s="8">
        <v>46274</v>
      </c>
      <c r="B476" s="1" t="s">
        <v>34</v>
      </c>
      <c r="C476" s="1" t="s">
        <v>87</v>
      </c>
      <c r="D476" s="7">
        <v>8000</v>
      </c>
      <c r="E476" s="7">
        <v>8300</v>
      </c>
      <c r="F476" s="7">
        <v>8600</v>
      </c>
      <c r="G476" s="7">
        <f>'Option source'!B367</f>
        <v>141.05000000000001</v>
      </c>
      <c r="H476" s="7">
        <f>'Option source'!B386</f>
        <v>88.96</v>
      </c>
      <c r="I476" s="7">
        <f>'Option source'!B405</f>
        <v>53.35</v>
      </c>
      <c r="J476" s="7">
        <f t="shared" si="49"/>
        <v>16.480000000000025</v>
      </c>
      <c r="K476" s="7">
        <f t="shared" si="50"/>
        <v>300</v>
      </c>
      <c r="L476" s="7">
        <f t="shared" si="51"/>
        <v>283.52</v>
      </c>
      <c r="M476" s="7">
        <f t="shared" si="52"/>
        <v>16.480000000000025</v>
      </c>
      <c r="N476" s="7">
        <f t="shared" si="53"/>
        <v>8016.4800000000005</v>
      </c>
      <c r="O476" s="7">
        <f t="shared" si="54"/>
        <v>8583.52</v>
      </c>
      <c r="P476" s="15">
        <f t="shared" si="55"/>
        <v>17.203883495145604</v>
      </c>
      <c r="Q476" s="7">
        <f>J476*'Model inputs'!$B$8</f>
        <v>1648.0000000000025</v>
      </c>
      <c r="R476" s="1" t="s">
        <v>162</v>
      </c>
      <c r="S476" s="1">
        <v>362</v>
      </c>
      <c r="T476" s="1">
        <v>381</v>
      </c>
    </row>
    <row r="477" spans="1:20" ht="21" customHeight="1">
      <c r="A477" s="8">
        <v>46274</v>
      </c>
      <c r="B477" s="1" t="s">
        <v>34</v>
      </c>
      <c r="C477" s="1" t="s">
        <v>90</v>
      </c>
      <c r="D477" s="7">
        <v>5600</v>
      </c>
      <c r="E477" s="7">
        <v>5800</v>
      </c>
      <c r="F477" s="7">
        <v>6000</v>
      </c>
      <c r="G477" s="7">
        <f>'Option source'!B633</f>
        <v>9.5</v>
      </c>
      <c r="H477" s="7">
        <f>'Option source'!B652</f>
        <v>18.329999999999998</v>
      </c>
      <c r="I477" s="7">
        <f>'Option source'!B671</f>
        <v>32.380000000000003</v>
      </c>
      <c r="J477" s="7">
        <f t="shared" si="49"/>
        <v>5.220000000000006</v>
      </c>
      <c r="K477" s="7">
        <f t="shared" si="50"/>
        <v>200</v>
      </c>
      <c r="L477" s="7">
        <f t="shared" si="51"/>
        <v>194.78</v>
      </c>
      <c r="M477" s="7">
        <f t="shared" si="52"/>
        <v>5.220000000000006</v>
      </c>
      <c r="N477" s="7">
        <f t="shared" si="53"/>
        <v>5605.22</v>
      </c>
      <c r="O477" s="7">
        <f t="shared" si="54"/>
        <v>5994.78</v>
      </c>
      <c r="P477" s="15">
        <f t="shared" si="55"/>
        <v>37.314176245210689</v>
      </c>
      <c r="Q477" s="7">
        <f>J477*'Model inputs'!$B$8</f>
        <v>522.00000000000057</v>
      </c>
      <c r="R477" s="1" t="s">
        <v>162</v>
      </c>
      <c r="S477" s="1">
        <v>628</v>
      </c>
      <c r="T477" s="1">
        <v>647</v>
      </c>
    </row>
    <row r="478" spans="1:20" ht="21" customHeight="1">
      <c r="A478" s="8">
        <v>46274</v>
      </c>
      <c r="B478" s="1" t="s">
        <v>34</v>
      </c>
      <c r="C478" s="1" t="s">
        <v>90</v>
      </c>
      <c r="D478" s="7">
        <v>5400</v>
      </c>
      <c r="E478" s="7">
        <v>5600</v>
      </c>
      <c r="F478" s="7">
        <v>5800</v>
      </c>
      <c r="G478" s="7">
        <f>'Option source'!B614</f>
        <v>5.7</v>
      </c>
      <c r="H478" s="7">
        <f>'Option source'!B633</f>
        <v>9.5</v>
      </c>
      <c r="I478" s="7">
        <f>'Option source'!B652</f>
        <v>18.329999999999998</v>
      </c>
      <c r="J478" s="7">
        <f t="shared" si="49"/>
        <v>5.0299999999999976</v>
      </c>
      <c r="K478" s="7">
        <f t="shared" si="50"/>
        <v>200</v>
      </c>
      <c r="L478" s="7">
        <f t="shared" si="51"/>
        <v>194.97</v>
      </c>
      <c r="M478" s="7">
        <f t="shared" si="52"/>
        <v>5.0299999999999976</v>
      </c>
      <c r="N478" s="7">
        <f t="shared" si="53"/>
        <v>5405.03</v>
      </c>
      <c r="O478" s="7">
        <f t="shared" si="54"/>
        <v>5794.97</v>
      </c>
      <c r="P478" s="15">
        <f t="shared" si="55"/>
        <v>38.761431411530836</v>
      </c>
      <c r="Q478" s="7">
        <f>J478*'Model inputs'!$B$8</f>
        <v>502.99999999999977</v>
      </c>
      <c r="R478" s="1" t="s">
        <v>162</v>
      </c>
      <c r="S478" s="1">
        <v>609</v>
      </c>
      <c r="T478" s="1">
        <v>628</v>
      </c>
    </row>
    <row r="479" spans="1:20" ht="21" customHeight="1">
      <c r="A479" s="8">
        <v>46274</v>
      </c>
      <c r="B479" s="1" t="s">
        <v>34</v>
      </c>
      <c r="C479" s="1" t="s">
        <v>87</v>
      </c>
      <c r="D479" s="7">
        <v>8300</v>
      </c>
      <c r="E479" s="7">
        <v>8600</v>
      </c>
      <c r="F479" s="7">
        <v>8900</v>
      </c>
      <c r="G479" s="7">
        <f>'Option source'!B386</f>
        <v>88.96</v>
      </c>
      <c r="H479" s="7">
        <f>'Option source'!B405</f>
        <v>53.35</v>
      </c>
      <c r="I479" s="7">
        <f>'Option source'!B424</f>
        <v>30.7</v>
      </c>
      <c r="J479" s="7">
        <f t="shared" si="49"/>
        <v>12.95999999999999</v>
      </c>
      <c r="K479" s="7">
        <f t="shared" si="50"/>
        <v>300</v>
      </c>
      <c r="L479" s="7">
        <f t="shared" si="51"/>
        <v>287.04000000000002</v>
      </c>
      <c r="M479" s="7">
        <f t="shared" si="52"/>
        <v>12.95999999999999</v>
      </c>
      <c r="N479" s="7">
        <f t="shared" si="53"/>
        <v>8312.9599999999991</v>
      </c>
      <c r="O479" s="7">
        <f t="shared" si="54"/>
        <v>8887.0400000000009</v>
      </c>
      <c r="P479" s="15">
        <f t="shared" si="55"/>
        <v>22.148148148148167</v>
      </c>
      <c r="Q479" s="7">
        <f>J479*'Model inputs'!$B$8</f>
        <v>1295.9999999999991</v>
      </c>
      <c r="R479" s="1" t="s">
        <v>162</v>
      </c>
      <c r="S479" s="1">
        <v>381</v>
      </c>
      <c r="T479" s="1">
        <v>400</v>
      </c>
    </row>
    <row r="480" spans="1:20" ht="21" customHeight="1">
      <c r="A480" s="8">
        <v>46274</v>
      </c>
      <c r="B480" s="1" t="s">
        <v>34</v>
      </c>
      <c r="C480" s="1" t="s">
        <v>90</v>
      </c>
      <c r="D480" s="7">
        <v>5200</v>
      </c>
      <c r="E480" s="7">
        <v>5400</v>
      </c>
      <c r="F480" s="7">
        <v>5600</v>
      </c>
      <c r="G480" s="7">
        <f>'Option source'!B595</f>
        <v>2.85</v>
      </c>
      <c r="H480" s="7">
        <f>'Option source'!B614</f>
        <v>5.7</v>
      </c>
      <c r="I480" s="7">
        <f>'Option source'!B633</f>
        <v>9.5</v>
      </c>
      <c r="J480" s="7">
        <f t="shared" si="49"/>
        <v>0.94999999999999929</v>
      </c>
      <c r="K480" s="7">
        <f t="shared" si="50"/>
        <v>200</v>
      </c>
      <c r="L480" s="7">
        <f t="shared" si="51"/>
        <v>199.05</v>
      </c>
      <c r="M480" s="7">
        <f t="shared" si="52"/>
        <v>0.94999999999999929</v>
      </c>
      <c r="N480" s="7">
        <f t="shared" si="53"/>
        <v>5200.95</v>
      </c>
      <c r="O480" s="7">
        <f t="shared" si="54"/>
        <v>5599.05</v>
      </c>
      <c r="P480" s="15">
        <f t="shared" si="55"/>
        <v>209.52631578947384</v>
      </c>
      <c r="Q480" s="7">
        <f>J480*'Model inputs'!$B$8</f>
        <v>94.999999999999929</v>
      </c>
      <c r="R480" s="1" t="s">
        <v>162</v>
      </c>
      <c r="S480" s="1">
        <v>590</v>
      </c>
      <c r="T480" s="1">
        <v>609</v>
      </c>
    </row>
    <row r="481" spans="1:20" ht="21" customHeight="1">
      <c r="A481" s="8">
        <v>46274</v>
      </c>
      <c r="B481" s="1" t="s">
        <v>34</v>
      </c>
      <c r="C481" s="1" t="s">
        <v>87</v>
      </c>
      <c r="D481" s="7">
        <v>8600</v>
      </c>
      <c r="E481" s="7">
        <v>8900</v>
      </c>
      <c r="F481" s="7">
        <v>9200</v>
      </c>
      <c r="G481" s="7">
        <f>'Option source'!B405</f>
        <v>53.35</v>
      </c>
      <c r="H481" s="7">
        <f>'Option source'!B424</f>
        <v>30.7</v>
      </c>
      <c r="I481" s="7">
        <f>'Option source'!B443</f>
        <v>17.579999999999998</v>
      </c>
      <c r="J481" s="7">
        <f t="shared" si="49"/>
        <v>9.5300000000000011</v>
      </c>
      <c r="K481" s="7">
        <f t="shared" si="50"/>
        <v>300</v>
      </c>
      <c r="L481" s="7">
        <f t="shared" si="51"/>
        <v>290.47000000000003</v>
      </c>
      <c r="M481" s="7">
        <f t="shared" si="52"/>
        <v>9.5300000000000011</v>
      </c>
      <c r="N481" s="7">
        <f t="shared" si="53"/>
        <v>8609.5300000000007</v>
      </c>
      <c r="O481" s="7">
        <f t="shared" si="54"/>
        <v>9190.4699999999993</v>
      </c>
      <c r="P481" s="15">
        <f t="shared" si="55"/>
        <v>30.479538300104931</v>
      </c>
      <c r="Q481" s="7">
        <f>J481*'Model inputs'!$B$8</f>
        <v>953.00000000000011</v>
      </c>
      <c r="R481" s="1" t="s">
        <v>162</v>
      </c>
      <c r="S481" s="1">
        <v>400</v>
      </c>
      <c r="T481" s="1">
        <v>419</v>
      </c>
    </row>
    <row r="482" spans="1:20" ht="21" customHeight="1">
      <c r="A482" s="8">
        <v>46274</v>
      </c>
      <c r="B482" s="1" t="s">
        <v>34</v>
      </c>
      <c r="C482" s="1" t="s">
        <v>90</v>
      </c>
      <c r="D482" s="7">
        <v>5000</v>
      </c>
      <c r="E482" s="7">
        <v>5200</v>
      </c>
      <c r="F482" s="7">
        <v>5400</v>
      </c>
      <c r="G482" s="7">
        <f>'Option source'!B576</f>
        <v>1.66</v>
      </c>
      <c r="H482" s="7">
        <f>'Option source'!B595</f>
        <v>2.85</v>
      </c>
      <c r="I482" s="7">
        <f>'Option source'!B614</f>
        <v>5.7</v>
      </c>
      <c r="J482" s="7">
        <f t="shared" si="49"/>
        <v>1.6600000000000001</v>
      </c>
      <c r="K482" s="7">
        <f t="shared" si="50"/>
        <v>200</v>
      </c>
      <c r="L482" s="7">
        <f t="shared" si="51"/>
        <v>198.34</v>
      </c>
      <c r="M482" s="7">
        <f t="shared" si="52"/>
        <v>1.6600000000000001</v>
      </c>
      <c r="N482" s="7">
        <f t="shared" si="53"/>
        <v>5001.66</v>
      </c>
      <c r="O482" s="7">
        <f t="shared" si="54"/>
        <v>5398.34</v>
      </c>
      <c r="P482" s="15">
        <f t="shared" si="55"/>
        <v>119.48192771084337</v>
      </c>
      <c r="Q482" s="7">
        <f>J482*'Model inputs'!$B$8</f>
        <v>166</v>
      </c>
      <c r="R482" s="1" t="s">
        <v>162</v>
      </c>
      <c r="S482" s="1">
        <v>571</v>
      </c>
      <c r="T482" s="1">
        <v>590</v>
      </c>
    </row>
    <row r="483" spans="1:20" ht="21" customHeight="1">
      <c r="A483" s="8">
        <v>46274</v>
      </c>
      <c r="B483" s="1" t="s">
        <v>34</v>
      </c>
      <c r="C483" s="1" t="s">
        <v>90</v>
      </c>
      <c r="D483" s="7">
        <v>4800</v>
      </c>
      <c r="E483" s="7">
        <v>5000</v>
      </c>
      <c r="F483" s="7">
        <v>5200</v>
      </c>
      <c r="G483" s="7">
        <f>'Option source'!B557</f>
        <v>1.39</v>
      </c>
      <c r="H483" s="7">
        <f>'Option source'!B576</f>
        <v>1.66</v>
      </c>
      <c r="I483" s="7">
        <f>'Option source'!B595</f>
        <v>2.85</v>
      </c>
      <c r="J483" s="7">
        <f t="shared" si="49"/>
        <v>0.92000000000000015</v>
      </c>
      <c r="K483" s="7">
        <f t="shared" si="50"/>
        <v>200</v>
      </c>
      <c r="L483" s="7">
        <f t="shared" si="51"/>
        <v>199.08</v>
      </c>
      <c r="M483" s="7">
        <f t="shared" si="52"/>
        <v>0.92000000000000015</v>
      </c>
      <c r="N483" s="7">
        <f t="shared" si="53"/>
        <v>4800.92</v>
      </c>
      <c r="O483" s="7">
        <f t="shared" si="54"/>
        <v>5199.08</v>
      </c>
      <c r="P483" s="15">
        <f t="shared" si="55"/>
        <v>216.39130434782606</v>
      </c>
      <c r="Q483" s="7">
        <f>J483*'Model inputs'!$B$8</f>
        <v>92.000000000000014</v>
      </c>
      <c r="R483" s="1" t="s">
        <v>162</v>
      </c>
      <c r="S483" s="1">
        <v>552</v>
      </c>
      <c r="T483" s="1">
        <v>571</v>
      </c>
    </row>
    <row r="484" spans="1:20" ht="21" customHeight="1">
      <c r="A484" s="8">
        <v>46274</v>
      </c>
      <c r="B484" s="1" t="s">
        <v>34</v>
      </c>
      <c r="C484" s="1" t="s">
        <v>87</v>
      </c>
      <c r="D484" s="7">
        <v>8900</v>
      </c>
      <c r="E484" s="7">
        <v>9200</v>
      </c>
      <c r="F484" s="7">
        <v>9500</v>
      </c>
      <c r="G484" s="7">
        <f>'Option source'!B424</f>
        <v>30.7</v>
      </c>
      <c r="H484" s="7">
        <f>'Option source'!B443</f>
        <v>17.579999999999998</v>
      </c>
      <c r="I484" s="7">
        <f>'Option source'!B462</f>
        <v>10.59</v>
      </c>
      <c r="J484" s="7">
        <f t="shared" si="49"/>
        <v>6.1300000000000026</v>
      </c>
      <c r="K484" s="7">
        <f t="shared" si="50"/>
        <v>300</v>
      </c>
      <c r="L484" s="7">
        <f t="shared" si="51"/>
        <v>293.87</v>
      </c>
      <c r="M484" s="7">
        <f t="shared" si="52"/>
        <v>6.1300000000000026</v>
      </c>
      <c r="N484" s="7">
        <f t="shared" si="53"/>
        <v>8906.1299999999992</v>
      </c>
      <c r="O484" s="7">
        <f t="shared" si="54"/>
        <v>9493.8700000000008</v>
      </c>
      <c r="P484" s="15">
        <f t="shared" si="55"/>
        <v>47.939641109298513</v>
      </c>
      <c r="Q484" s="7">
        <f>J484*'Model inputs'!$B$8</f>
        <v>613.00000000000023</v>
      </c>
      <c r="R484" s="1" t="s">
        <v>162</v>
      </c>
      <c r="S484" s="1">
        <v>419</v>
      </c>
      <c r="T484" s="1">
        <v>438</v>
      </c>
    </row>
    <row r="485" spans="1:20" ht="21" customHeight="1">
      <c r="A485" s="8">
        <v>46274</v>
      </c>
      <c r="B485" s="1" t="s">
        <v>34</v>
      </c>
      <c r="C485" s="1" t="s">
        <v>90</v>
      </c>
      <c r="D485" s="7">
        <v>4600</v>
      </c>
      <c r="E485" s="7">
        <v>4800</v>
      </c>
      <c r="F485" s="7">
        <v>5000</v>
      </c>
      <c r="G485" s="7">
        <f>'Option source'!B538</f>
        <v>1.22</v>
      </c>
      <c r="H485" s="7">
        <f>'Option source'!B557</f>
        <v>1.39</v>
      </c>
      <c r="I485" s="7">
        <f>'Option source'!B576</f>
        <v>1.66</v>
      </c>
      <c r="J485" s="7">
        <f t="shared" si="49"/>
        <v>0.10000000000000009</v>
      </c>
      <c r="K485" s="7">
        <f t="shared" si="50"/>
        <v>200</v>
      </c>
      <c r="L485" s="7">
        <f t="shared" si="51"/>
        <v>199.9</v>
      </c>
      <c r="M485" s="7">
        <f t="shared" si="52"/>
        <v>0.10000000000000009</v>
      </c>
      <c r="N485" s="7">
        <f t="shared" si="53"/>
        <v>4600.1000000000004</v>
      </c>
      <c r="O485" s="7">
        <f t="shared" si="54"/>
        <v>4999.8999999999996</v>
      </c>
      <c r="P485" s="15">
        <f t="shared" si="55"/>
        <v>1998.9999999999982</v>
      </c>
      <c r="Q485" s="7">
        <f>J485*'Model inputs'!$B$8</f>
        <v>10.000000000000009</v>
      </c>
      <c r="R485" s="1" t="s">
        <v>162</v>
      </c>
      <c r="S485" s="1">
        <v>533</v>
      </c>
      <c r="T485" s="1">
        <v>552</v>
      </c>
    </row>
    <row r="486" spans="1:20" ht="21" customHeight="1">
      <c r="A486" s="8">
        <v>46274</v>
      </c>
      <c r="B486" s="1" t="s">
        <v>34</v>
      </c>
      <c r="C486" s="1" t="s">
        <v>90</v>
      </c>
      <c r="D486" s="7">
        <v>4200</v>
      </c>
      <c r="E486" s="7">
        <v>4400</v>
      </c>
      <c r="F486" s="7">
        <v>4600</v>
      </c>
      <c r="G486" s="7">
        <f>'Option source'!B500</f>
        <v>0.81</v>
      </c>
      <c r="H486" s="7">
        <f>'Option source'!B519</f>
        <v>1</v>
      </c>
      <c r="I486" s="7">
        <f>'Option source'!B538</f>
        <v>1.22</v>
      </c>
      <c r="J486" s="7">
        <f t="shared" si="49"/>
        <v>3.0000000000000027E-2</v>
      </c>
      <c r="K486" s="7">
        <f t="shared" si="50"/>
        <v>200</v>
      </c>
      <c r="L486" s="7">
        <f t="shared" si="51"/>
        <v>199.97</v>
      </c>
      <c r="M486" s="7">
        <f t="shared" si="52"/>
        <v>3.0000000000000027E-2</v>
      </c>
      <c r="N486" s="7">
        <f t="shared" si="53"/>
        <v>4200.03</v>
      </c>
      <c r="O486" s="7">
        <f t="shared" si="54"/>
        <v>4599.97</v>
      </c>
      <c r="P486" s="15">
        <f t="shared" si="55"/>
        <v>6665.6666666666606</v>
      </c>
      <c r="Q486" s="7">
        <f>J486*'Model inputs'!$B$8</f>
        <v>3.0000000000000027</v>
      </c>
      <c r="R486" s="1" t="s">
        <v>162</v>
      </c>
      <c r="S486" s="1">
        <v>495</v>
      </c>
      <c r="T486" s="1">
        <v>514</v>
      </c>
    </row>
    <row r="487" spans="1:20" ht="21" customHeight="1">
      <c r="A487" s="8">
        <v>46274</v>
      </c>
      <c r="B487" s="1" t="s">
        <v>34</v>
      </c>
      <c r="C487" s="1" t="s">
        <v>87</v>
      </c>
      <c r="D487" s="7">
        <v>6400</v>
      </c>
      <c r="E487" s="7">
        <v>6600</v>
      </c>
      <c r="F487" s="7">
        <v>6800</v>
      </c>
      <c r="G487" s="7">
        <f>'Option source'!B215</f>
        <v>875.61</v>
      </c>
      <c r="H487" s="7">
        <f>'Option source'!B234</f>
        <v>773.75</v>
      </c>
      <c r="I487" s="7">
        <f>'Option source'!B253</f>
        <v>630.86</v>
      </c>
      <c r="J487" s="7">
        <f t="shared" si="49"/>
        <v>-41.029999999999973</v>
      </c>
      <c r="K487" s="7">
        <f t="shared" si="50"/>
        <v>200</v>
      </c>
      <c r="L487" s="7">
        <f t="shared" si="51"/>
        <v>241.02999999999997</v>
      </c>
      <c r="M487" s="7">
        <f t="shared" si="52"/>
        <v>0</v>
      </c>
      <c r="N487" s="7" t="str">
        <f t="shared" si="53"/>
        <v>n.a.</v>
      </c>
      <c r="O487" s="7" t="str">
        <f t="shared" si="54"/>
        <v>n.a.</v>
      </c>
      <c r="P487" s="15" t="str">
        <f t="shared" si="55"/>
        <v>n.a.</v>
      </c>
      <c r="Q487" s="7">
        <f>J487*'Model inputs'!$B$8</f>
        <v>-4102.9999999999973</v>
      </c>
      <c r="R487" s="1" t="s">
        <v>163</v>
      </c>
      <c r="S487" s="1">
        <v>210</v>
      </c>
      <c r="T487" s="1">
        <v>229</v>
      </c>
    </row>
    <row r="488" spans="1:20" ht="21" customHeight="1">
      <c r="A488" s="8">
        <v>46274</v>
      </c>
      <c r="B488" s="1" t="s">
        <v>34</v>
      </c>
      <c r="C488" s="1" t="s">
        <v>90</v>
      </c>
      <c r="D488" s="7">
        <v>7400</v>
      </c>
      <c r="E488" s="7">
        <v>7600</v>
      </c>
      <c r="F488" s="7">
        <v>7800</v>
      </c>
      <c r="G488" s="7">
        <f>'Option source'!B804</f>
        <v>480.11</v>
      </c>
      <c r="H488" s="7">
        <f>'Option source'!B823</f>
        <v>593.01</v>
      </c>
      <c r="I488" s="7">
        <f>'Option source'!B842</f>
        <v>780</v>
      </c>
      <c r="J488" s="7">
        <f t="shared" si="49"/>
        <v>74.090000000000032</v>
      </c>
      <c r="K488" s="7">
        <f t="shared" si="50"/>
        <v>200</v>
      </c>
      <c r="L488" s="7">
        <f t="shared" si="51"/>
        <v>125.90999999999997</v>
      </c>
      <c r="M488" s="7">
        <f t="shared" si="52"/>
        <v>74.090000000000032</v>
      </c>
      <c r="N488" s="7">
        <f t="shared" si="53"/>
        <v>7474.09</v>
      </c>
      <c r="O488" s="7">
        <f t="shared" si="54"/>
        <v>7725.91</v>
      </c>
      <c r="P488" s="15">
        <f t="shared" si="55"/>
        <v>1.699419624780671</v>
      </c>
      <c r="Q488" s="7">
        <f>J488*'Model inputs'!$B$8</f>
        <v>7409.0000000000036</v>
      </c>
      <c r="R488" s="1" t="s">
        <v>164</v>
      </c>
      <c r="S488" s="1">
        <v>799</v>
      </c>
      <c r="T488" s="1">
        <v>818</v>
      </c>
    </row>
    <row r="489" spans="1:20" ht="21" customHeight="1">
      <c r="A489" s="8">
        <v>46274</v>
      </c>
      <c r="B489" s="1" t="s">
        <v>34</v>
      </c>
      <c r="C489" s="1" t="s">
        <v>87</v>
      </c>
      <c r="D489" s="7">
        <v>6200</v>
      </c>
      <c r="E489" s="7">
        <v>6400</v>
      </c>
      <c r="F489" s="7">
        <v>6600</v>
      </c>
      <c r="G489" s="7">
        <f>'Option source'!B196</f>
        <v>1070</v>
      </c>
      <c r="H489" s="7">
        <f>'Option source'!B215</f>
        <v>875.61</v>
      </c>
      <c r="I489" s="7">
        <f>'Option source'!B234</f>
        <v>773.75</v>
      </c>
      <c r="J489" s="7">
        <f t="shared" si="49"/>
        <v>92.529999999999973</v>
      </c>
      <c r="K489" s="7">
        <f t="shared" si="50"/>
        <v>200</v>
      </c>
      <c r="L489" s="7">
        <f t="shared" si="51"/>
        <v>107.47000000000003</v>
      </c>
      <c r="M489" s="7">
        <f t="shared" si="52"/>
        <v>92.529999999999973</v>
      </c>
      <c r="N489" s="7">
        <f t="shared" si="53"/>
        <v>6292.53</v>
      </c>
      <c r="O489" s="7">
        <f t="shared" si="54"/>
        <v>6507.47</v>
      </c>
      <c r="P489" s="15">
        <f t="shared" si="55"/>
        <v>1.1614611477358701</v>
      </c>
      <c r="Q489" s="7">
        <f>J489*'Model inputs'!$B$8</f>
        <v>9252.9999999999964</v>
      </c>
      <c r="R489" s="1" t="s">
        <v>164</v>
      </c>
      <c r="S489" s="1">
        <v>191</v>
      </c>
      <c r="T489" s="1">
        <v>210</v>
      </c>
    </row>
    <row r="490" spans="1:20" ht="21" customHeight="1">
      <c r="A490" s="8">
        <v>46274</v>
      </c>
      <c r="B490" s="1" t="s">
        <v>34</v>
      </c>
      <c r="C490" s="1" t="s">
        <v>90</v>
      </c>
      <c r="D490" s="7">
        <v>7600</v>
      </c>
      <c r="E490" s="7">
        <v>7800</v>
      </c>
      <c r="F490" s="7">
        <v>8000</v>
      </c>
      <c r="G490" s="7">
        <f>'Option source'!B823</f>
        <v>593.01</v>
      </c>
      <c r="H490" s="7">
        <f>'Option source'!B842</f>
        <v>780</v>
      </c>
      <c r="I490" s="7">
        <f>'Option source'!B861</f>
        <v>900</v>
      </c>
      <c r="J490" s="7">
        <f t="shared" si="49"/>
        <v>-66.990000000000009</v>
      </c>
      <c r="K490" s="7">
        <f t="shared" si="50"/>
        <v>200</v>
      </c>
      <c r="L490" s="7">
        <f t="shared" si="51"/>
        <v>266.99</v>
      </c>
      <c r="M490" s="7">
        <f t="shared" si="52"/>
        <v>0</v>
      </c>
      <c r="N490" s="7" t="str">
        <f t="shared" si="53"/>
        <v>n.a.</v>
      </c>
      <c r="O490" s="7" t="str">
        <f t="shared" si="54"/>
        <v>n.a.</v>
      </c>
      <c r="P490" s="15" t="str">
        <f t="shared" si="55"/>
        <v>n.a.</v>
      </c>
      <c r="Q490" s="7">
        <f>J490*'Model inputs'!$B$8</f>
        <v>-6699.0000000000009</v>
      </c>
      <c r="R490" s="1" t="s">
        <v>163</v>
      </c>
      <c r="S490" s="1">
        <v>818</v>
      </c>
      <c r="T490" s="1">
        <v>837</v>
      </c>
    </row>
    <row r="491" spans="1:20" ht="21" customHeight="1">
      <c r="A491" s="8">
        <v>46274</v>
      </c>
      <c r="B491" s="1" t="s">
        <v>34</v>
      </c>
      <c r="C491" s="1" t="s">
        <v>87</v>
      </c>
      <c r="D491" s="7">
        <v>6000</v>
      </c>
      <c r="E491" s="7">
        <v>6200</v>
      </c>
      <c r="F491" s="7">
        <v>6400</v>
      </c>
      <c r="G491" s="7">
        <f>'Option source'!B177</f>
        <v>1253.9100000000001</v>
      </c>
      <c r="H491" s="7">
        <f>'Option source'!B196</f>
        <v>1070</v>
      </c>
      <c r="I491" s="7">
        <f>'Option source'!B215</f>
        <v>875.61</v>
      </c>
      <c r="J491" s="7">
        <f t="shared" si="49"/>
        <v>-10.479999999999905</v>
      </c>
      <c r="K491" s="7">
        <f t="shared" si="50"/>
        <v>200</v>
      </c>
      <c r="L491" s="7">
        <f t="shared" si="51"/>
        <v>210.4799999999999</v>
      </c>
      <c r="M491" s="7">
        <f t="shared" si="52"/>
        <v>0</v>
      </c>
      <c r="N491" s="7" t="str">
        <f t="shared" si="53"/>
        <v>n.a.</v>
      </c>
      <c r="O491" s="7" t="str">
        <f t="shared" si="54"/>
        <v>n.a.</v>
      </c>
      <c r="P491" s="15" t="str">
        <f t="shared" si="55"/>
        <v>n.a.</v>
      </c>
      <c r="Q491" s="7">
        <f>J491*'Model inputs'!$B$8</f>
        <v>-1047.9999999999905</v>
      </c>
      <c r="R491" s="1" t="s">
        <v>163</v>
      </c>
      <c r="S491" s="1">
        <v>172</v>
      </c>
      <c r="T491" s="1">
        <v>191</v>
      </c>
    </row>
    <row r="492" spans="1:20" ht="21" customHeight="1">
      <c r="A492" s="8">
        <v>46274</v>
      </c>
      <c r="B492" s="1" t="s">
        <v>34</v>
      </c>
      <c r="C492" s="1" t="s">
        <v>87</v>
      </c>
      <c r="D492" s="7">
        <v>5800</v>
      </c>
      <c r="E492" s="7">
        <v>6000</v>
      </c>
      <c r="F492" s="7">
        <v>6200</v>
      </c>
      <c r="G492" s="7">
        <f>'Option source'!B158</f>
        <v>1403.14</v>
      </c>
      <c r="H492" s="7">
        <f>'Option source'!B177</f>
        <v>1253.9100000000001</v>
      </c>
      <c r="I492" s="7">
        <f>'Option source'!B196</f>
        <v>1070</v>
      </c>
      <c r="J492" s="7">
        <f t="shared" si="49"/>
        <v>-34.680000000000064</v>
      </c>
      <c r="K492" s="7">
        <f t="shared" si="50"/>
        <v>200</v>
      </c>
      <c r="L492" s="7">
        <f t="shared" si="51"/>
        <v>234.68000000000006</v>
      </c>
      <c r="M492" s="7">
        <f t="shared" si="52"/>
        <v>0</v>
      </c>
      <c r="N492" s="7" t="str">
        <f t="shared" si="53"/>
        <v>n.a.</v>
      </c>
      <c r="O492" s="7" t="str">
        <f t="shared" si="54"/>
        <v>n.a.</v>
      </c>
      <c r="P492" s="15" t="str">
        <f t="shared" si="55"/>
        <v>n.a.</v>
      </c>
      <c r="Q492" s="7">
        <f>J492*'Model inputs'!$B$8</f>
        <v>-3468.0000000000064</v>
      </c>
      <c r="R492" s="1" t="s">
        <v>163</v>
      </c>
      <c r="S492" s="1">
        <v>153</v>
      </c>
      <c r="T492" s="1">
        <v>172</v>
      </c>
    </row>
    <row r="493" spans="1:20" ht="21" customHeight="1">
      <c r="A493" s="8">
        <v>46274</v>
      </c>
      <c r="B493" s="1" t="s">
        <v>34</v>
      </c>
      <c r="C493" s="1" t="s">
        <v>90</v>
      </c>
      <c r="D493" s="7">
        <v>8000</v>
      </c>
      <c r="E493" s="7">
        <v>8300</v>
      </c>
      <c r="F493" s="7">
        <v>8600</v>
      </c>
      <c r="G493" s="7">
        <f>'Option source'!B861</f>
        <v>900</v>
      </c>
      <c r="H493" s="7">
        <f>'Option source'!B880</f>
        <v>1234</v>
      </c>
      <c r="I493" s="7">
        <f>'Option source'!B899</f>
        <v>1559.27</v>
      </c>
      <c r="J493" s="7">
        <f t="shared" si="49"/>
        <v>-8.7300000000000182</v>
      </c>
      <c r="K493" s="7">
        <f t="shared" si="50"/>
        <v>300</v>
      </c>
      <c r="L493" s="7">
        <f t="shared" si="51"/>
        <v>308.73</v>
      </c>
      <c r="M493" s="7">
        <f t="shared" si="52"/>
        <v>0</v>
      </c>
      <c r="N493" s="7" t="str">
        <f t="shared" si="53"/>
        <v>n.a.</v>
      </c>
      <c r="O493" s="7" t="str">
        <f t="shared" si="54"/>
        <v>n.a.</v>
      </c>
      <c r="P493" s="15" t="str">
        <f t="shared" si="55"/>
        <v>n.a.</v>
      </c>
      <c r="Q493" s="7">
        <f>J493*'Model inputs'!$B$8</f>
        <v>-873.00000000000182</v>
      </c>
      <c r="R493" s="1" t="s">
        <v>163</v>
      </c>
      <c r="S493" s="1">
        <v>856</v>
      </c>
      <c r="T493" s="1">
        <v>875</v>
      </c>
    </row>
    <row r="494" spans="1:20" ht="21" customHeight="1">
      <c r="A494" s="8">
        <v>46274</v>
      </c>
      <c r="B494" s="1" t="s">
        <v>34</v>
      </c>
      <c r="C494" s="1" t="s">
        <v>87</v>
      </c>
      <c r="D494" s="7">
        <v>5600</v>
      </c>
      <c r="E494" s="7">
        <v>5800</v>
      </c>
      <c r="F494" s="7">
        <v>6000</v>
      </c>
      <c r="G494" s="7">
        <f>'Option source'!B148</f>
        <v>1490</v>
      </c>
      <c r="H494" s="7">
        <f>'Option source'!B158</f>
        <v>1403.14</v>
      </c>
      <c r="I494" s="7">
        <f>'Option source'!B177</f>
        <v>1253.9100000000001</v>
      </c>
      <c r="J494" s="7">
        <f t="shared" si="49"/>
        <v>-62.370000000000118</v>
      </c>
      <c r="K494" s="7">
        <f t="shared" si="50"/>
        <v>200</v>
      </c>
      <c r="L494" s="7">
        <f t="shared" si="51"/>
        <v>262.37000000000012</v>
      </c>
      <c r="M494" s="7">
        <f t="shared" si="52"/>
        <v>0</v>
      </c>
      <c r="N494" s="7" t="str">
        <f t="shared" si="53"/>
        <v>n.a.</v>
      </c>
      <c r="O494" s="7" t="str">
        <f t="shared" si="54"/>
        <v>n.a.</v>
      </c>
      <c r="P494" s="15" t="str">
        <f t="shared" si="55"/>
        <v>n.a.</v>
      </c>
      <c r="Q494" s="7">
        <f>J494*'Model inputs'!$B$8</f>
        <v>-6237.0000000000118</v>
      </c>
      <c r="R494" s="1" t="s">
        <v>163</v>
      </c>
      <c r="S494" s="1">
        <v>143</v>
      </c>
      <c r="T494" s="1">
        <v>153</v>
      </c>
    </row>
    <row r="495" spans="1:20" ht="21" customHeight="1">
      <c r="A495" s="8">
        <v>46274</v>
      </c>
      <c r="B495" s="1" t="s">
        <v>34</v>
      </c>
      <c r="C495" s="1" t="s">
        <v>87</v>
      </c>
      <c r="D495" s="7">
        <v>5400</v>
      </c>
      <c r="E495" s="7">
        <v>5600</v>
      </c>
      <c r="F495" s="7">
        <v>5800</v>
      </c>
      <c r="G495" s="7">
        <f>'Option source'!B130</f>
        <v>1750</v>
      </c>
      <c r="H495" s="7">
        <f>'Option source'!B148</f>
        <v>1490</v>
      </c>
      <c r="I495" s="7">
        <f>'Option source'!B158</f>
        <v>1403.14</v>
      </c>
      <c r="J495" s="7">
        <f t="shared" si="49"/>
        <v>173.1400000000001</v>
      </c>
      <c r="K495" s="7">
        <f t="shared" si="50"/>
        <v>200</v>
      </c>
      <c r="L495" s="7">
        <f t="shared" si="51"/>
        <v>26.8599999999999</v>
      </c>
      <c r="M495" s="7">
        <f t="shared" si="52"/>
        <v>173.1400000000001</v>
      </c>
      <c r="N495" s="7">
        <f t="shared" si="53"/>
        <v>5573.14</v>
      </c>
      <c r="O495" s="7">
        <f t="shared" si="54"/>
        <v>5626.86</v>
      </c>
      <c r="P495" s="15">
        <f t="shared" si="55"/>
        <v>0.15513457317777454</v>
      </c>
      <c r="Q495" s="7">
        <f>J495*'Model inputs'!$B$8</f>
        <v>17314.000000000011</v>
      </c>
      <c r="R495" s="1" t="s">
        <v>164</v>
      </c>
      <c r="S495" s="1">
        <v>125</v>
      </c>
      <c r="T495" s="1">
        <v>143</v>
      </c>
    </row>
    <row r="496" spans="1:20" ht="21" customHeight="1">
      <c r="A496" s="8">
        <v>46274</v>
      </c>
      <c r="B496" s="1" t="s">
        <v>34</v>
      </c>
      <c r="C496" s="1" t="s">
        <v>90</v>
      </c>
      <c r="D496" s="7">
        <v>8300</v>
      </c>
      <c r="E496" s="7">
        <v>8600</v>
      </c>
      <c r="F496" s="7">
        <v>8900</v>
      </c>
      <c r="G496" s="7">
        <f>'Option source'!B880</f>
        <v>1234</v>
      </c>
      <c r="H496" s="7">
        <f>'Option source'!B899</f>
        <v>1559.27</v>
      </c>
      <c r="I496" s="7">
        <f>'Option source'!B914</f>
        <v>2022.5</v>
      </c>
      <c r="J496" s="7">
        <f t="shared" si="49"/>
        <v>137.96000000000004</v>
      </c>
      <c r="K496" s="7">
        <f t="shared" si="50"/>
        <v>300</v>
      </c>
      <c r="L496" s="7">
        <f t="shared" si="51"/>
        <v>162.03999999999996</v>
      </c>
      <c r="M496" s="7">
        <f t="shared" si="52"/>
        <v>137.96000000000004</v>
      </c>
      <c r="N496" s="7">
        <f t="shared" si="53"/>
        <v>8437.9599999999991</v>
      </c>
      <c r="O496" s="7">
        <f t="shared" si="54"/>
        <v>8762.0400000000009</v>
      </c>
      <c r="P496" s="15">
        <f t="shared" si="55"/>
        <v>1.1745433458973611</v>
      </c>
      <c r="Q496" s="7">
        <f>J496*'Model inputs'!$B$8</f>
        <v>13796.000000000004</v>
      </c>
      <c r="R496" s="1" t="s">
        <v>164</v>
      </c>
      <c r="S496" s="1">
        <v>875</v>
      </c>
      <c r="T496" s="1">
        <v>894</v>
      </c>
    </row>
    <row r="497" spans="1:20" ht="21" customHeight="1">
      <c r="A497" s="8">
        <v>46274</v>
      </c>
      <c r="B497" s="1" t="s">
        <v>34</v>
      </c>
      <c r="C497" s="1" t="s">
        <v>87</v>
      </c>
      <c r="D497" s="7">
        <v>5200</v>
      </c>
      <c r="E497" s="7">
        <v>5400</v>
      </c>
      <c r="F497" s="7">
        <v>5600</v>
      </c>
      <c r="G497" s="7">
        <f>'Option source'!B111</f>
        <v>1895.85</v>
      </c>
      <c r="H497" s="7">
        <f>'Option source'!B130</f>
        <v>1750</v>
      </c>
      <c r="I497" s="7">
        <f>'Option source'!B148</f>
        <v>1490</v>
      </c>
      <c r="J497" s="7">
        <f t="shared" si="49"/>
        <v>-114.15000000000009</v>
      </c>
      <c r="K497" s="7">
        <f t="shared" si="50"/>
        <v>200</v>
      </c>
      <c r="L497" s="7">
        <f t="shared" si="51"/>
        <v>314.15000000000009</v>
      </c>
      <c r="M497" s="7">
        <f t="shared" si="52"/>
        <v>0</v>
      </c>
      <c r="N497" s="7" t="str">
        <f t="shared" si="53"/>
        <v>n.a.</v>
      </c>
      <c r="O497" s="7" t="str">
        <f t="shared" si="54"/>
        <v>n.a.</v>
      </c>
      <c r="P497" s="15" t="str">
        <f t="shared" si="55"/>
        <v>n.a.</v>
      </c>
      <c r="Q497" s="7">
        <f>J497*'Model inputs'!$B$8</f>
        <v>-11415.000000000009</v>
      </c>
      <c r="R497" s="1" t="s">
        <v>163</v>
      </c>
      <c r="S497" s="1">
        <v>106</v>
      </c>
      <c r="T497" s="1">
        <v>125</v>
      </c>
    </row>
    <row r="498" spans="1:20" ht="21" customHeight="1">
      <c r="A498" s="8">
        <v>46274</v>
      </c>
      <c r="B498" s="1" t="s">
        <v>34</v>
      </c>
      <c r="C498" s="1" t="s">
        <v>90</v>
      </c>
      <c r="D498" s="7">
        <v>8600</v>
      </c>
      <c r="E498" s="7">
        <v>8900</v>
      </c>
      <c r="F498" s="7">
        <v>9200</v>
      </c>
      <c r="G498" s="7">
        <f>'Option source'!B899</f>
        <v>1559.27</v>
      </c>
      <c r="H498" s="7">
        <f>'Option source'!B914</f>
        <v>2022.5</v>
      </c>
      <c r="I498" s="7">
        <f>'Option source'!B921</f>
        <v>2000</v>
      </c>
      <c r="J498" s="7">
        <f t="shared" si="49"/>
        <v>-485.73</v>
      </c>
      <c r="K498" s="7">
        <f t="shared" si="50"/>
        <v>300</v>
      </c>
      <c r="L498" s="7">
        <f t="shared" si="51"/>
        <v>785.73</v>
      </c>
      <c r="M498" s="7">
        <f t="shared" si="52"/>
        <v>0</v>
      </c>
      <c r="N498" s="7" t="str">
        <f t="shared" si="53"/>
        <v>n.a.</v>
      </c>
      <c r="O498" s="7" t="str">
        <f t="shared" si="54"/>
        <v>n.a.</v>
      </c>
      <c r="P498" s="15" t="str">
        <f t="shared" si="55"/>
        <v>n.a.</v>
      </c>
      <c r="Q498" s="7">
        <f>J498*'Model inputs'!$B$8</f>
        <v>-48573</v>
      </c>
      <c r="R498" s="1" t="s">
        <v>163</v>
      </c>
      <c r="S498" s="1">
        <v>894</v>
      </c>
      <c r="T498" s="1">
        <v>909</v>
      </c>
    </row>
    <row r="499" spans="1:20" ht="21" customHeight="1">
      <c r="A499" s="8">
        <v>46274</v>
      </c>
      <c r="B499" s="1" t="s">
        <v>34</v>
      </c>
      <c r="C499" s="1" t="s">
        <v>87</v>
      </c>
      <c r="D499" s="7">
        <v>5000</v>
      </c>
      <c r="E499" s="7">
        <v>5200</v>
      </c>
      <c r="F499" s="7">
        <v>5400</v>
      </c>
      <c r="G499" s="7">
        <f>'Option source'!B92</f>
        <v>2047.78</v>
      </c>
      <c r="H499" s="7">
        <f>'Option source'!B111</f>
        <v>1895.85</v>
      </c>
      <c r="I499" s="7">
        <f>'Option source'!B130</f>
        <v>1750</v>
      </c>
      <c r="J499" s="7">
        <f t="shared" si="49"/>
        <v>6.0800000000001546</v>
      </c>
      <c r="K499" s="7">
        <f t="shared" si="50"/>
        <v>200</v>
      </c>
      <c r="L499" s="7">
        <f t="shared" si="51"/>
        <v>193.91999999999985</v>
      </c>
      <c r="M499" s="7">
        <f t="shared" si="52"/>
        <v>6.0800000000001546</v>
      </c>
      <c r="N499" s="7">
        <f t="shared" si="53"/>
        <v>5006.08</v>
      </c>
      <c r="O499" s="7">
        <f t="shared" si="54"/>
        <v>5393.92</v>
      </c>
      <c r="P499" s="15">
        <f t="shared" si="55"/>
        <v>31.894736842104425</v>
      </c>
      <c r="Q499" s="7">
        <f>J499*'Model inputs'!$B$8</f>
        <v>608.00000000001546</v>
      </c>
      <c r="R499" s="1" t="s">
        <v>164</v>
      </c>
      <c r="S499" s="1">
        <v>87</v>
      </c>
      <c r="T499" s="1">
        <v>106</v>
      </c>
    </row>
    <row r="500" spans="1:20" ht="21" customHeight="1">
      <c r="A500" s="8">
        <v>46274</v>
      </c>
      <c r="B500" s="1" t="s">
        <v>34</v>
      </c>
      <c r="C500" s="1" t="s">
        <v>87</v>
      </c>
      <c r="D500" s="7">
        <v>4800</v>
      </c>
      <c r="E500" s="7">
        <v>5000</v>
      </c>
      <c r="F500" s="7">
        <v>5200</v>
      </c>
      <c r="G500" s="7">
        <f>'Option source'!B75</f>
        <v>2347.98</v>
      </c>
      <c r="H500" s="7">
        <f>'Option source'!B92</f>
        <v>2047.78</v>
      </c>
      <c r="I500" s="7">
        <f>'Option source'!B111</f>
        <v>1895.85</v>
      </c>
      <c r="J500" s="7">
        <f t="shared" si="49"/>
        <v>148.26999999999998</v>
      </c>
      <c r="K500" s="7">
        <f t="shared" si="50"/>
        <v>200</v>
      </c>
      <c r="L500" s="7">
        <f t="shared" si="51"/>
        <v>51.730000000000018</v>
      </c>
      <c r="M500" s="7">
        <f t="shared" si="52"/>
        <v>148.26999999999998</v>
      </c>
      <c r="N500" s="7">
        <f t="shared" si="53"/>
        <v>4948.2700000000004</v>
      </c>
      <c r="O500" s="7">
        <f t="shared" si="54"/>
        <v>5051.7299999999996</v>
      </c>
      <c r="P500" s="15">
        <f t="shared" si="55"/>
        <v>0.34889053753287935</v>
      </c>
      <c r="Q500" s="7">
        <f>J500*'Model inputs'!$B$8</f>
        <v>14826.999999999998</v>
      </c>
      <c r="R500" s="1" t="s">
        <v>164</v>
      </c>
      <c r="S500" s="1">
        <v>70</v>
      </c>
      <c r="T500" s="1">
        <v>87</v>
      </c>
    </row>
    <row r="501" spans="1:20" ht="21" customHeight="1">
      <c r="A501" s="8">
        <v>46274</v>
      </c>
      <c r="B501" s="1" t="s">
        <v>34</v>
      </c>
      <c r="C501" s="1" t="s">
        <v>87</v>
      </c>
      <c r="D501" s="7">
        <v>4600</v>
      </c>
      <c r="E501" s="7">
        <v>4800</v>
      </c>
      <c r="F501" s="7">
        <v>5000</v>
      </c>
      <c r="G501" s="7">
        <f>'Option source'!B58</f>
        <v>2550</v>
      </c>
      <c r="H501" s="7">
        <f>'Option source'!B75</f>
        <v>2347.98</v>
      </c>
      <c r="I501" s="7">
        <f>'Option source'!B92</f>
        <v>2047.78</v>
      </c>
      <c r="J501" s="7">
        <f t="shared" si="49"/>
        <v>-98.180000000000064</v>
      </c>
      <c r="K501" s="7">
        <f t="shared" si="50"/>
        <v>200</v>
      </c>
      <c r="L501" s="7">
        <f t="shared" si="51"/>
        <v>298.18000000000006</v>
      </c>
      <c r="M501" s="7">
        <f t="shared" si="52"/>
        <v>0</v>
      </c>
      <c r="N501" s="7" t="str">
        <f t="shared" si="53"/>
        <v>n.a.</v>
      </c>
      <c r="O501" s="7" t="str">
        <f t="shared" si="54"/>
        <v>n.a.</v>
      </c>
      <c r="P501" s="15" t="str">
        <f t="shared" si="55"/>
        <v>n.a.</v>
      </c>
      <c r="Q501" s="7">
        <f>J501*'Model inputs'!$B$8</f>
        <v>-9818.0000000000073</v>
      </c>
      <c r="R501" s="1" t="s">
        <v>163</v>
      </c>
      <c r="S501" s="1">
        <v>53</v>
      </c>
      <c r="T501" s="1">
        <v>70</v>
      </c>
    </row>
    <row r="502" spans="1:20" ht="21" customHeight="1">
      <c r="A502" s="8">
        <v>46274</v>
      </c>
      <c r="B502" s="1" t="s">
        <v>34</v>
      </c>
      <c r="C502" s="1" t="s">
        <v>87</v>
      </c>
      <c r="D502" s="7">
        <v>4400</v>
      </c>
      <c r="E502" s="7">
        <v>4600</v>
      </c>
      <c r="F502" s="7">
        <v>4800</v>
      </c>
      <c r="G502" s="7">
        <f>'Option source'!B39</f>
        <v>2762.2</v>
      </c>
      <c r="H502" s="7">
        <f>'Option source'!B58</f>
        <v>2550</v>
      </c>
      <c r="I502" s="7">
        <f>'Option source'!B75</f>
        <v>2347.98</v>
      </c>
      <c r="J502" s="7">
        <f t="shared" si="49"/>
        <v>10.179999999999836</v>
      </c>
      <c r="K502" s="7">
        <f t="shared" si="50"/>
        <v>200</v>
      </c>
      <c r="L502" s="7">
        <f t="shared" si="51"/>
        <v>189.82000000000016</v>
      </c>
      <c r="M502" s="7">
        <f t="shared" si="52"/>
        <v>10.179999999999836</v>
      </c>
      <c r="N502" s="7">
        <f t="shared" si="53"/>
        <v>4410.18</v>
      </c>
      <c r="O502" s="7">
        <f t="shared" si="54"/>
        <v>4789.82</v>
      </c>
      <c r="P502" s="15">
        <f t="shared" si="55"/>
        <v>18.646365422397171</v>
      </c>
      <c r="Q502" s="7">
        <f>J502*'Model inputs'!$B$8</f>
        <v>1017.9999999999836</v>
      </c>
      <c r="R502" s="1" t="s">
        <v>164</v>
      </c>
      <c r="S502" s="1">
        <v>34</v>
      </c>
      <c r="T502" s="1">
        <v>53</v>
      </c>
    </row>
    <row r="503" spans="1:20" ht="21" customHeight="1">
      <c r="A503" s="8">
        <v>46274</v>
      </c>
      <c r="B503" s="1" t="s">
        <v>34</v>
      </c>
      <c r="C503" s="1" t="s">
        <v>90</v>
      </c>
      <c r="D503" s="7">
        <v>4400</v>
      </c>
      <c r="E503" s="7">
        <v>4600</v>
      </c>
      <c r="F503" s="7">
        <v>4800</v>
      </c>
      <c r="G503" s="7">
        <f>'Option source'!B519</f>
        <v>1</v>
      </c>
      <c r="H503" s="7">
        <f>'Option source'!B538</f>
        <v>1.22</v>
      </c>
      <c r="I503" s="7">
        <f>'Option source'!B557</f>
        <v>1.39</v>
      </c>
      <c r="J503" s="7">
        <f t="shared" si="49"/>
        <v>-5.0000000000000044E-2</v>
      </c>
      <c r="K503" s="7">
        <f t="shared" si="50"/>
        <v>200</v>
      </c>
      <c r="L503" s="7">
        <f t="shared" si="51"/>
        <v>200.05</v>
      </c>
      <c r="M503" s="7">
        <f t="shared" si="52"/>
        <v>0</v>
      </c>
      <c r="N503" s="7" t="str">
        <f t="shared" si="53"/>
        <v>n.a.</v>
      </c>
      <c r="O503" s="7" t="str">
        <f t="shared" si="54"/>
        <v>n.a.</v>
      </c>
      <c r="P503" s="15" t="str">
        <f t="shared" si="55"/>
        <v>n.a.</v>
      </c>
      <c r="Q503" s="7">
        <f>J503*'Model inputs'!$B$8</f>
        <v>-5.0000000000000044</v>
      </c>
      <c r="R503" s="1" t="s">
        <v>163</v>
      </c>
      <c r="S503" s="1">
        <v>514</v>
      </c>
      <c r="T503" s="1">
        <v>533</v>
      </c>
    </row>
    <row r="504" spans="1:20" ht="21" customHeight="1">
      <c r="A504" s="8">
        <v>46274</v>
      </c>
      <c r="B504" s="1" t="s">
        <v>34</v>
      </c>
      <c r="C504" s="1" t="s">
        <v>87</v>
      </c>
      <c r="D504" s="7">
        <v>4200</v>
      </c>
      <c r="E504" s="7">
        <v>4400</v>
      </c>
      <c r="F504" s="7">
        <v>4600</v>
      </c>
      <c r="G504" s="7">
        <f>'Option source'!B20</f>
        <v>2845.62</v>
      </c>
      <c r="H504" s="7">
        <f>'Option source'!B39</f>
        <v>2762.2</v>
      </c>
      <c r="I504" s="7">
        <f>'Option source'!B58</f>
        <v>2550</v>
      </c>
      <c r="J504" s="7">
        <f t="shared" si="49"/>
        <v>-128.77999999999975</v>
      </c>
      <c r="K504" s="7">
        <f t="shared" si="50"/>
        <v>200</v>
      </c>
      <c r="L504" s="7">
        <f t="shared" si="51"/>
        <v>328.77999999999975</v>
      </c>
      <c r="M504" s="7">
        <f t="shared" si="52"/>
        <v>0</v>
      </c>
      <c r="N504" s="7" t="str">
        <f t="shared" si="53"/>
        <v>n.a.</v>
      </c>
      <c r="O504" s="7" t="str">
        <f t="shared" si="54"/>
        <v>n.a.</v>
      </c>
      <c r="P504" s="15" t="str">
        <f t="shared" si="55"/>
        <v>n.a.</v>
      </c>
      <c r="Q504" s="7">
        <f>J504*'Model inputs'!$B$8</f>
        <v>-12877.999999999975</v>
      </c>
      <c r="R504" s="1" t="s">
        <v>163</v>
      </c>
      <c r="S504" s="1">
        <v>15</v>
      </c>
      <c r="T504" s="1">
        <v>34</v>
      </c>
    </row>
    <row r="505" spans="1:20" ht="21" customHeight="1">
      <c r="A505" s="8">
        <v>46274</v>
      </c>
      <c r="B505" s="1" t="s">
        <v>36</v>
      </c>
      <c r="C505" s="1" t="s">
        <v>87</v>
      </c>
      <c r="D505" s="7">
        <v>6800</v>
      </c>
      <c r="E505" s="7">
        <v>7000</v>
      </c>
      <c r="F505" s="7"/>
      <c r="G505" s="7">
        <f>'Option source'!B253</f>
        <v>630.86</v>
      </c>
      <c r="H505" s="7">
        <f>'Option source'!B272</f>
        <v>521.42999999999995</v>
      </c>
      <c r="I505" s="7"/>
      <c r="J505" s="7">
        <f t="shared" si="49"/>
        <v>-411.99999999999989</v>
      </c>
      <c r="K505" s="7">
        <f t="shared" si="50"/>
        <v>200</v>
      </c>
      <c r="L505" s="7">
        <f t="shared" si="51"/>
        <v>611.99999999999989</v>
      </c>
      <c r="M505" s="7" t="str">
        <f t="shared" si="52"/>
        <v>Unlimited</v>
      </c>
      <c r="N505" s="7" t="str">
        <f t="shared" si="53"/>
        <v>n.a.</v>
      </c>
      <c r="O505" s="7">
        <f t="shared" si="54"/>
        <v>7612</v>
      </c>
      <c r="P505" s="15" t="str">
        <f t="shared" si="55"/>
        <v>n.a.</v>
      </c>
      <c r="Q505" s="7">
        <f>J505*'Model inputs'!$B$8</f>
        <v>-41199.999999999985</v>
      </c>
      <c r="R505" s="1" t="s">
        <v>162</v>
      </c>
      <c r="S505" s="1">
        <v>248</v>
      </c>
      <c r="T505" s="1">
        <v>267</v>
      </c>
    </row>
    <row r="506" spans="1:20" ht="21" customHeight="1">
      <c r="A506" s="8">
        <v>46274</v>
      </c>
      <c r="B506" s="1" t="s">
        <v>36</v>
      </c>
      <c r="C506" s="1" t="s">
        <v>90</v>
      </c>
      <c r="D506" s="7">
        <v>7200</v>
      </c>
      <c r="E506" s="7">
        <v>7000</v>
      </c>
      <c r="F506" s="7"/>
      <c r="G506" s="7">
        <f>'Option source'!B785</f>
        <v>369.17</v>
      </c>
      <c r="H506" s="7">
        <f>'Option source'!B766</f>
        <v>279.23</v>
      </c>
      <c r="I506" s="7"/>
      <c r="J506" s="7">
        <f t="shared" si="49"/>
        <v>-189.29000000000002</v>
      </c>
      <c r="K506" s="7">
        <f t="shared" si="50"/>
        <v>200</v>
      </c>
      <c r="L506" s="7">
        <f t="shared" si="51"/>
        <v>389.29</v>
      </c>
      <c r="M506" s="7">
        <f t="shared" si="52"/>
        <v>6610.71</v>
      </c>
      <c r="N506" s="7">
        <f t="shared" si="53"/>
        <v>6610.71</v>
      </c>
      <c r="O506" s="7" t="str">
        <f t="shared" si="54"/>
        <v>n.a.</v>
      </c>
      <c r="P506" s="15" t="str">
        <f t="shared" si="55"/>
        <v>n.a.</v>
      </c>
      <c r="Q506" s="7">
        <f>J506*'Model inputs'!$B$8</f>
        <v>-18929.000000000004</v>
      </c>
      <c r="R506" s="1" t="s">
        <v>162</v>
      </c>
      <c r="S506" s="1">
        <v>780</v>
      </c>
      <c r="T506" s="1">
        <v>761</v>
      </c>
    </row>
    <row r="507" spans="1:20" ht="21" customHeight="1">
      <c r="A507" s="8">
        <v>46274</v>
      </c>
      <c r="B507" s="1" t="s">
        <v>36</v>
      </c>
      <c r="C507" s="1" t="s">
        <v>87</v>
      </c>
      <c r="D507" s="7">
        <v>7000</v>
      </c>
      <c r="E507" s="7">
        <v>7200</v>
      </c>
      <c r="F507" s="7"/>
      <c r="G507" s="7">
        <f>'Option source'!B272</f>
        <v>521.42999999999995</v>
      </c>
      <c r="H507" s="7">
        <f>'Option source'!B291</f>
        <v>418.29</v>
      </c>
      <c r="I507" s="7"/>
      <c r="J507" s="7">
        <f t="shared" si="49"/>
        <v>-315.15000000000009</v>
      </c>
      <c r="K507" s="7">
        <f t="shared" si="50"/>
        <v>200</v>
      </c>
      <c r="L507" s="7">
        <f t="shared" si="51"/>
        <v>515.15000000000009</v>
      </c>
      <c r="M507" s="7" t="str">
        <f t="shared" si="52"/>
        <v>Unlimited</v>
      </c>
      <c r="N507" s="7" t="str">
        <f t="shared" si="53"/>
        <v>n.a.</v>
      </c>
      <c r="O507" s="7">
        <f t="shared" si="54"/>
        <v>7715.15</v>
      </c>
      <c r="P507" s="15" t="str">
        <f t="shared" si="55"/>
        <v>n.a.</v>
      </c>
      <c r="Q507" s="7">
        <f>J507*'Model inputs'!$B$8</f>
        <v>-31515.000000000007</v>
      </c>
      <c r="R507" s="1" t="s">
        <v>162</v>
      </c>
      <c r="S507" s="1">
        <v>267</v>
      </c>
      <c r="T507" s="1">
        <v>286</v>
      </c>
    </row>
    <row r="508" spans="1:20" ht="21" customHeight="1">
      <c r="A508" s="8">
        <v>46274</v>
      </c>
      <c r="B508" s="1" t="s">
        <v>36</v>
      </c>
      <c r="C508" s="1" t="s">
        <v>90</v>
      </c>
      <c r="D508" s="7">
        <v>7400</v>
      </c>
      <c r="E508" s="7">
        <v>7200</v>
      </c>
      <c r="F508" s="7"/>
      <c r="G508" s="7">
        <f>'Option source'!B804</f>
        <v>480.11</v>
      </c>
      <c r="H508" s="7">
        <f>'Option source'!B785</f>
        <v>369.17</v>
      </c>
      <c r="I508" s="7"/>
      <c r="J508" s="7">
        <f t="shared" si="49"/>
        <v>-258.23</v>
      </c>
      <c r="K508" s="7">
        <f t="shared" si="50"/>
        <v>200</v>
      </c>
      <c r="L508" s="7">
        <f t="shared" si="51"/>
        <v>458.23</v>
      </c>
      <c r="M508" s="7">
        <f t="shared" si="52"/>
        <v>6741.77</v>
      </c>
      <c r="N508" s="7">
        <f t="shared" si="53"/>
        <v>6741.77</v>
      </c>
      <c r="O508" s="7" t="str">
        <f t="shared" si="54"/>
        <v>n.a.</v>
      </c>
      <c r="P508" s="15" t="str">
        <f t="shared" si="55"/>
        <v>n.a.</v>
      </c>
      <c r="Q508" s="7">
        <f>J508*'Model inputs'!$B$8</f>
        <v>-25823</v>
      </c>
      <c r="R508" s="1" t="s">
        <v>162</v>
      </c>
      <c r="S508" s="1">
        <v>799</v>
      </c>
      <c r="T508" s="1">
        <v>780</v>
      </c>
    </row>
    <row r="509" spans="1:20" ht="21" customHeight="1">
      <c r="A509" s="8">
        <v>46274</v>
      </c>
      <c r="B509" s="1" t="s">
        <v>36</v>
      </c>
      <c r="C509" s="1" t="s">
        <v>87</v>
      </c>
      <c r="D509" s="7">
        <v>6600</v>
      </c>
      <c r="E509" s="7">
        <v>6800</v>
      </c>
      <c r="F509" s="7"/>
      <c r="G509" s="7">
        <f>'Option source'!B234</f>
        <v>773.75</v>
      </c>
      <c r="H509" s="7">
        <f>'Option source'!B253</f>
        <v>630.86</v>
      </c>
      <c r="I509" s="7"/>
      <c r="J509" s="7">
        <f t="shared" si="49"/>
        <v>-487.97</v>
      </c>
      <c r="K509" s="7">
        <f t="shared" si="50"/>
        <v>200</v>
      </c>
      <c r="L509" s="7">
        <f t="shared" si="51"/>
        <v>687.97</v>
      </c>
      <c r="M509" s="7" t="str">
        <f t="shared" si="52"/>
        <v>Unlimited</v>
      </c>
      <c r="N509" s="7" t="str">
        <f t="shared" si="53"/>
        <v>n.a.</v>
      </c>
      <c r="O509" s="7">
        <f t="shared" si="54"/>
        <v>7487.97</v>
      </c>
      <c r="P509" s="15" t="str">
        <f t="shared" si="55"/>
        <v>n.a.</v>
      </c>
      <c r="Q509" s="7">
        <f>J509*'Model inputs'!$B$8</f>
        <v>-48797</v>
      </c>
      <c r="R509" s="1" t="s">
        <v>162</v>
      </c>
      <c r="S509" s="1">
        <v>229</v>
      </c>
      <c r="T509" s="1">
        <v>248</v>
      </c>
    </row>
    <row r="510" spans="1:20" ht="21" customHeight="1">
      <c r="A510" s="8">
        <v>46274</v>
      </c>
      <c r="B510" s="1" t="s">
        <v>36</v>
      </c>
      <c r="C510" s="1" t="s">
        <v>90</v>
      </c>
      <c r="D510" s="7">
        <v>7000</v>
      </c>
      <c r="E510" s="7">
        <v>6800</v>
      </c>
      <c r="F510" s="7"/>
      <c r="G510" s="7">
        <f>'Option source'!B766</f>
        <v>279.23</v>
      </c>
      <c r="H510" s="7">
        <f>'Option source'!B747</f>
        <v>195.89</v>
      </c>
      <c r="I510" s="7"/>
      <c r="J510" s="7">
        <f t="shared" si="49"/>
        <v>-112.54999999999995</v>
      </c>
      <c r="K510" s="7">
        <f t="shared" si="50"/>
        <v>200</v>
      </c>
      <c r="L510" s="7">
        <f t="shared" si="51"/>
        <v>312.54999999999995</v>
      </c>
      <c r="M510" s="7">
        <f t="shared" si="52"/>
        <v>6487.45</v>
      </c>
      <c r="N510" s="7">
        <f t="shared" si="53"/>
        <v>6487.45</v>
      </c>
      <c r="O510" s="7" t="str">
        <f t="shared" si="54"/>
        <v>n.a.</v>
      </c>
      <c r="P510" s="15" t="str">
        <f t="shared" si="55"/>
        <v>n.a.</v>
      </c>
      <c r="Q510" s="7">
        <f>J510*'Model inputs'!$B$8</f>
        <v>-11254.999999999996</v>
      </c>
      <c r="R510" s="1" t="s">
        <v>162</v>
      </c>
      <c r="S510" s="1">
        <v>761</v>
      </c>
      <c r="T510" s="1">
        <v>742</v>
      </c>
    </row>
    <row r="511" spans="1:20" ht="21" customHeight="1">
      <c r="A511" s="8">
        <v>46274</v>
      </c>
      <c r="B511" s="1" t="s">
        <v>36</v>
      </c>
      <c r="C511" s="1" t="s">
        <v>87</v>
      </c>
      <c r="D511" s="7">
        <v>7200</v>
      </c>
      <c r="E511" s="7">
        <v>7400</v>
      </c>
      <c r="F511" s="7"/>
      <c r="G511" s="7">
        <f>'Option source'!B291</f>
        <v>418.29</v>
      </c>
      <c r="H511" s="7">
        <f>'Option source'!B310</f>
        <v>324.41000000000003</v>
      </c>
      <c r="I511" s="7"/>
      <c r="J511" s="7">
        <f t="shared" si="49"/>
        <v>-230.53000000000003</v>
      </c>
      <c r="K511" s="7">
        <f t="shared" si="50"/>
        <v>200</v>
      </c>
      <c r="L511" s="7">
        <f t="shared" si="51"/>
        <v>430.53000000000003</v>
      </c>
      <c r="M511" s="7" t="str">
        <f t="shared" si="52"/>
        <v>Unlimited</v>
      </c>
      <c r="N511" s="7" t="str">
        <f t="shared" si="53"/>
        <v>n.a.</v>
      </c>
      <c r="O511" s="7">
        <f t="shared" si="54"/>
        <v>7830.53</v>
      </c>
      <c r="P511" s="15" t="str">
        <f t="shared" si="55"/>
        <v>n.a.</v>
      </c>
      <c r="Q511" s="7">
        <f>J511*'Model inputs'!$B$8</f>
        <v>-23053.000000000004</v>
      </c>
      <c r="R511" s="1" t="s">
        <v>162</v>
      </c>
      <c r="S511" s="1">
        <v>286</v>
      </c>
      <c r="T511" s="1">
        <v>305</v>
      </c>
    </row>
    <row r="512" spans="1:20" ht="21" customHeight="1">
      <c r="A512" s="8">
        <v>46274</v>
      </c>
      <c r="B512" s="1" t="s">
        <v>36</v>
      </c>
      <c r="C512" s="1" t="s">
        <v>90</v>
      </c>
      <c r="D512" s="7">
        <v>7600</v>
      </c>
      <c r="E512" s="7">
        <v>7400</v>
      </c>
      <c r="F512" s="7"/>
      <c r="G512" s="7">
        <f>'Option source'!B823</f>
        <v>593.01</v>
      </c>
      <c r="H512" s="7">
        <f>'Option source'!B804</f>
        <v>480.11</v>
      </c>
      <c r="I512" s="7"/>
      <c r="J512" s="7">
        <f t="shared" si="49"/>
        <v>-367.21000000000004</v>
      </c>
      <c r="K512" s="7">
        <f t="shared" si="50"/>
        <v>200</v>
      </c>
      <c r="L512" s="7">
        <f t="shared" si="51"/>
        <v>567.21</v>
      </c>
      <c r="M512" s="7">
        <f t="shared" si="52"/>
        <v>6832.79</v>
      </c>
      <c r="N512" s="7">
        <f t="shared" si="53"/>
        <v>6832.79</v>
      </c>
      <c r="O512" s="7" t="str">
        <f t="shared" si="54"/>
        <v>n.a.</v>
      </c>
      <c r="P512" s="15" t="str">
        <f t="shared" si="55"/>
        <v>n.a.</v>
      </c>
      <c r="Q512" s="7">
        <f>J512*'Model inputs'!$B$8</f>
        <v>-36721</v>
      </c>
      <c r="R512" s="1" t="s">
        <v>162</v>
      </c>
      <c r="S512" s="1">
        <v>818</v>
      </c>
      <c r="T512" s="1">
        <v>799</v>
      </c>
    </row>
    <row r="513" spans="1:20" ht="21" customHeight="1">
      <c r="A513" s="8">
        <v>46274</v>
      </c>
      <c r="B513" s="1" t="s">
        <v>36</v>
      </c>
      <c r="C513" s="1" t="s">
        <v>90</v>
      </c>
      <c r="D513" s="7">
        <v>6800</v>
      </c>
      <c r="E513" s="7">
        <v>6600</v>
      </c>
      <c r="F513" s="7"/>
      <c r="G513" s="7">
        <f>'Option source'!B747</f>
        <v>195.89</v>
      </c>
      <c r="H513" s="7">
        <f>'Option source'!B728</f>
        <v>133.94999999999999</v>
      </c>
      <c r="I513" s="7"/>
      <c r="J513" s="7">
        <f t="shared" si="49"/>
        <v>-72.009999999999991</v>
      </c>
      <c r="K513" s="7">
        <f t="shared" si="50"/>
        <v>200</v>
      </c>
      <c r="L513" s="7">
        <f t="shared" si="51"/>
        <v>272.01</v>
      </c>
      <c r="M513" s="7">
        <f t="shared" si="52"/>
        <v>6327.99</v>
      </c>
      <c r="N513" s="7">
        <f t="shared" si="53"/>
        <v>6327.99</v>
      </c>
      <c r="O513" s="7" t="str">
        <f t="shared" si="54"/>
        <v>n.a.</v>
      </c>
      <c r="P513" s="15" t="str">
        <f t="shared" si="55"/>
        <v>n.a.</v>
      </c>
      <c r="Q513" s="7">
        <f>J513*'Model inputs'!$B$8</f>
        <v>-7200.9999999999991</v>
      </c>
      <c r="R513" s="1" t="s">
        <v>162</v>
      </c>
      <c r="S513" s="1">
        <v>742</v>
      </c>
      <c r="T513" s="1">
        <v>723</v>
      </c>
    </row>
    <row r="514" spans="1:20" ht="21" customHeight="1">
      <c r="A514" s="8">
        <v>46274</v>
      </c>
      <c r="B514" s="1" t="s">
        <v>36</v>
      </c>
      <c r="C514" s="1" t="s">
        <v>87</v>
      </c>
      <c r="D514" s="7">
        <v>7400</v>
      </c>
      <c r="E514" s="7">
        <v>7600</v>
      </c>
      <c r="F514" s="7"/>
      <c r="G514" s="7">
        <f>'Option source'!B310</f>
        <v>324.41000000000003</v>
      </c>
      <c r="H514" s="7">
        <f>'Option source'!B329</f>
        <v>247.27</v>
      </c>
      <c r="I514" s="7"/>
      <c r="J514" s="7">
        <f t="shared" si="49"/>
        <v>-170.13</v>
      </c>
      <c r="K514" s="7">
        <f t="shared" si="50"/>
        <v>200</v>
      </c>
      <c r="L514" s="7">
        <f t="shared" si="51"/>
        <v>370.13</v>
      </c>
      <c r="M514" s="7" t="str">
        <f t="shared" si="52"/>
        <v>Unlimited</v>
      </c>
      <c r="N514" s="7" t="str">
        <f t="shared" si="53"/>
        <v>n.a.</v>
      </c>
      <c r="O514" s="7">
        <f t="shared" si="54"/>
        <v>7970.13</v>
      </c>
      <c r="P514" s="15" t="str">
        <f t="shared" si="55"/>
        <v>n.a.</v>
      </c>
      <c r="Q514" s="7">
        <f>J514*'Model inputs'!$B$8</f>
        <v>-17013</v>
      </c>
      <c r="R514" s="1" t="s">
        <v>162</v>
      </c>
      <c r="S514" s="1">
        <v>305</v>
      </c>
      <c r="T514" s="1">
        <v>324</v>
      </c>
    </row>
    <row r="515" spans="1:20" ht="21" customHeight="1">
      <c r="A515" s="8">
        <v>46274</v>
      </c>
      <c r="B515" s="1" t="s">
        <v>36</v>
      </c>
      <c r="C515" s="1" t="s">
        <v>90</v>
      </c>
      <c r="D515" s="7">
        <v>6600</v>
      </c>
      <c r="E515" s="7">
        <v>6400</v>
      </c>
      <c r="F515" s="7"/>
      <c r="G515" s="7">
        <f>'Option source'!B728</f>
        <v>133.94999999999999</v>
      </c>
      <c r="H515" s="7">
        <f>'Option source'!B709</f>
        <v>89.43</v>
      </c>
      <c r="I515" s="7"/>
      <c r="J515" s="7">
        <f t="shared" si="49"/>
        <v>-44.910000000000025</v>
      </c>
      <c r="K515" s="7">
        <f t="shared" si="50"/>
        <v>200</v>
      </c>
      <c r="L515" s="7">
        <f t="shared" si="51"/>
        <v>244.91000000000003</v>
      </c>
      <c r="M515" s="7">
        <f t="shared" si="52"/>
        <v>6155.09</v>
      </c>
      <c r="N515" s="7">
        <f t="shared" si="53"/>
        <v>6155.09</v>
      </c>
      <c r="O515" s="7" t="str">
        <f t="shared" si="54"/>
        <v>n.a.</v>
      </c>
      <c r="P515" s="15" t="str">
        <f t="shared" si="55"/>
        <v>n.a.</v>
      </c>
      <c r="Q515" s="7">
        <f>J515*'Model inputs'!$B$8</f>
        <v>-4491.0000000000027</v>
      </c>
      <c r="R515" s="1" t="s">
        <v>162</v>
      </c>
      <c r="S515" s="1">
        <v>723</v>
      </c>
      <c r="T515" s="1">
        <v>704</v>
      </c>
    </row>
    <row r="516" spans="1:20" ht="21" customHeight="1">
      <c r="A516" s="8">
        <v>46274</v>
      </c>
      <c r="B516" s="1" t="s">
        <v>36</v>
      </c>
      <c r="C516" s="1" t="s">
        <v>87</v>
      </c>
      <c r="D516" s="7">
        <v>7600</v>
      </c>
      <c r="E516" s="7">
        <v>7800</v>
      </c>
      <c r="F516" s="7"/>
      <c r="G516" s="7">
        <f>'Option source'!B329</f>
        <v>247.27</v>
      </c>
      <c r="H516" s="7">
        <f>'Option source'!B348</f>
        <v>187.56</v>
      </c>
      <c r="I516" s="7"/>
      <c r="J516" s="7">
        <f t="shared" si="49"/>
        <v>-127.85</v>
      </c>
      <c r="K516" s="7">
        <f t="shared" si="50"/>
        <v>200</v>
      </c>
      <c r="L516" s="7">
        <f t="shared" si="51"/>
        <v>327.85</v>
      </c>
      <c r="M516" s="7" t="str">
        <f t="shared" si="52"/>
        <v>Unlimited</v>
      </c>
      <c r="N516" s="7" t="str">
        <f t="shared" si="53"/>
        <v>n.a.</v>
      </c>
      <c r="O516" s="7">
        <f t="shared" si="54"/>
        <v>8127.85</v>
      </c>
      <c r="P516" s="15" t="str">
        <f t="shared" si="55"/>
        <v>n.a.</v>
      </c>
      <c r="Q516" s="7">
        <f>J516*'Model inputs'!$B$8</f>
        <v>-12785</v>
      </c>
      <c r="R516" s="1" t="s">
        <v>162</v>
      </c>
      <c r="S516" s="1">
        <v>324</v>
      </c>
      <c r="T516" s="1">
        <v>343</v>
      </c>
    </row>
    <row r="517" spans="1:20" ht="21" customHeight="1">
      <c r="A517" s="8">
        <v>46274</v>
      </c>
      <c r="B517" s="1" t="s">
        <v>36</v>
      </c>
      <c r="C517" s="1" t="s">
        <v>90</v>
      </c>
      <c r="D517" s="7">
        <v>6400</v>
      </c>
      <c r="E517" s="7">
        <v>6200</v>
      </c>
      <c r="F517" s="7"/>
      <c r="G517" s="7">
        <f>'Option source'!B709</f>
        <v>89.43</v>
      </c>
      <c r="H517" s="7">
        <f>'Option source'!B690</f>
        <v>55.42</v>
      </c>
      <c r="I517" s="7"/>
      <c r="J517" s="7">
        <f t="shared" si="49"/>
        <v>-21.409999999999997</v>
      </c>
      <c r="K517" s="7">
        <f t="shared" si="50"/>
        <v>200</v>
      </c>
      <c r="L517" s="7">
        <f t="shared" si="51"/>
        <v>221.41</v>
      </c>
      <c r="M517" s="7">
        <f t="shared" si="52"/>
        <v>5978.59</v>
      </c>
      <c r="N517" s="7">
        <f t="shared" si="53"/>
        <v>5978.59</v>
      </c>
      <c r="O517" s="7" t="str">
        <f t="shared" si="54"/>
        <v>n.a.</v>
      </c>
      <c r="P517" s="15" t="str">
        <f t="shared" si="55"/>
        <v>n.a.</v>
      </c>
      <c r="Q517" s="7">
        <f>J517*'Model inputs'!$B$8</f>
        <v>-2140.9999999999995</v>
      </c>
      <c r="R517" s="1" t="s">
        <v>162</v>
      </c>
      <c r="S517" s="1">
        <v>704</v>
      </c>
      <c r="T517" s="1">
        <v>685</v>
      </c>
    </row>
    <row r="518" spans="1:20" ht="21" customHeight="1">
      <c r="A518" s="8">
        <v>46274</v>
      </c>
      <c r="B518" s="1" t="s">
        <v>36</v>
      </c>
      <c r="C518" s="1" t="s">
        <v>87</v>
      </c>
      <c r="D518" s="7">
        <v>7800</v>
      </c>
      <c r="E518" s="7">
        <v>8000</v>
      </c>
      <c r="F518" s="7"/>
      <c r="G518" s="7">
        <f>'Option source'!B348</f>
        <v>187.56</v>
      </c>
      <c r="H518" s="7">
        <f>'Option source'!B367</f>
        <v>141.05000000000001</v>
      </c>
      <c r="I518" s="7"/>
      <c r="J518" s="7">
        <f t="shared" si="49"/>
        <v>-94.54000000000002</v>
      </c>
      <c r="K518" s="7">
        <f t="shared" si="50"/>
        <v>200</v>
      </c>
      <c r="L518" s="7">
        <f t="shared" si="51"/>
        <v>294.54000000000002</v>
      </c>
      <c r="M518" s="7" t="str">
        <f t="shared" si="52"/>
        <v>Unlimited</v>
      </c>
      <c r="N518" s="7" t="str">
        <f t="shared" si="53"/>
        <v>n.a.</v>
      </c>
      <c r="O518" s="7">
        <f t="shared" si="54"/>
        <v>8294.5400000000009</v>
      </c>
      <c r="P518" s="15" t="str">
        <f t="shared" si="55"/>
        <v>n.a.</v>
      </c>
      <c r="Q518" s="7">
        <f>J518*'Model inputs'!$B$8</f>
        <v>-9454.0000000000018</v>
      </c>
      <c r="R518" s="1" t="s">
        <v>162</v>
      </c>
      <c r="S518" s="1">
        <v>343</v>
      </c>
      <c r="T518" s="1">
        <v>362</v>
      </c>
    </row>
    <row r="519" spans="1:20" ht="21" customHeight="1">
      <c r="A519" s="8">
        <v>46274</v>
      </c>
      <c r="B519" s="1" t="s">
        <v>36</v>
      </c>
      <c r="C519" s="1" t="s">
        <v>90</v>
      </c>
      <c r="D519" s="7">
        <v>6200</v>
      </c>
      <c r="E519" s="7">
        <v>6000</v>
      </c>
      <c r="F519" s="7"/>
      <c r="G519" s="7">
        <f>'Option source'!B690</f>
        <v>55.42</v>
      </c>
      <c r="H519" s="7">
        <f>'Option source'!B671</f>
        <v>32.380000000000003</v>
      </c>
      <c r="I519" s="7"/>
      <c r="J519" s="7">
        <f t="shared" ref="J519:J582" si="56">G519-2*H519+IF(B519="Butterfly",I519,0)</f>
        <v>-9.3400000000000034</v>
      </c>
      <c r="K519" s="7">
        <f t="shared" ref="K519:K582" si="57">ABS(E519-D519)</f>
        <v>200</v>
      </c>
      <c r="L519" s="7">
        <f t="shared" ref="L519:L582" si="58">K519-J519</f>
        <v>209.34</v>
      </c>
      <c r="M519" s="7">
        <f t="shared" ref="M519:M582" si="59">IF(B519="Butterfly",MAX(J519,0),IF(C519="call","Unlimited",MAX(2*E519-D519+J519,J519,0)))</f>
        <v>5790.66</v>
      </c>
      <c r="N519" s="7">
        <f t="shared" ref="N519:N582" si="60">IF(B519="Butterfly",IF(AND(J519&gt;0,J519&lt;K519),D519+J519,"n.a."),IF(C519="call",IF(AND(J519&gt;0,J519&lt;K519),D519+J519,"n.a."),IF(AND(K519&gt;J519,2*E519-D519+J519&gt;=0),2*E519-D519+J519,"n.a.")))</f>
        <v>5790.66</v>
      </c>
      <c r="O519" s="7" t="str">
        <f t="shared" ref="O519:O582" si="61">IF(B519="Butterfly",IF(AND(J519&gt;0,J519&lt;K519),F519-J519,"n.a."),IF(C519="call",IF(K519&gt;J519,2*E519-D519-J519,"n.a."),IF(AND(J519&gt;0,J519&lt;K519),D519-J519,"n.a.")))</f>
        <v>n.a.</v>
      </c>
      <c r="P519" s="15" t="str">
        <f t="shared" ref="P519:P582" si="62">IF(AND(B519="Butterfly",J519&gt;0,J519&lt;K519),L519/J519,"n.a.")</f>
        <v>n.a.</v>
      </c>
      <c r="Q519" s="7">
        <f>J519*'Model inputs'!$B$8</f>
        <v>-934.00000000000034</v>
      </c>
      <c r="R519" s="1" t="s">
        <v>162</v>
      </c>
      <c r="S519" s="1">
        <v>685</v>
      </c>
      <c r="T519" s="1">
        <v>666</v>
      </c>
    </row>
    <row r="520" spans="1:20" ht="21" customHeight="1">
      <c r="A520" s="8">
        <v>46274</v>
      </c>
      <c r="B520" s="1" t="s">
        <v>36</v>
      </c>
      <c r="C520" s="1" t="s">
        <v>87</v>
      </c>
      <c r="D520" s="7">
        <v>8000</v>
      </c>
      <c r="E520" s="7">
        <v>8300</v>
      </c>
      <c r="F520" s="7"/>
      <c r="G520" s="7">
        <f>'Option source'!B367</f>
        <v>141.05000000000001</v>
      </c>
      <c r="H520" s="7">
        <f>'Option source'!B386</f>
        <v>88.96</v>
      </c>
      <c r="I520" s="7"/>
      <c r="J520" s="7">
        <f t="shared" si="56"/>
        <v>-36.869999999999976</v>
      </c>
      <c r="K520" s="7">
        <f t="shared" si="57"/>
        <v>300</v>
      </c>
      <c r="L520" s="7">
        <f t="shared" si="58"/>
        <v>336.87</v>
      </c>
      <c r="M520" s="7" t="str">
        <f t="shared" si="59"/>
        <v>Unlimited</v>
      </c>
      <c r="N520" s="7" t="str">
        <f t="shared" si="60"/>
        <v>n.a.</v>
      </c>
      <c r="O520" s="7">
        <f t="shared" si="61"/>
        <v>8636.8700000000008</v>
      </c>
      <c r="P520" s="15" t="str">
        <f t="shared" si="62"/>
        <v>n.a.</v>
      </c>
      <c r="Q520" s="7">
        <f>J520*'Model inputs'!$B$8</f>
        <v>-3686.9999999999977</v>
      </c>
      <c r="R520" s="1" t="s">
        <v>162</v>
      </c>
      <c r="S520" s="1">
        <v>362</v>
      </c>
      <c r="T520" s="1">
        <v>381</v>
      </c>
    </row>
    <row r="521" spans="1:20" ht="21" customHeight="1">
      <c r="A521" s="8">
        <v>46274</v>
      </c>
      <c r="B521" s="1" t="s">
        <v>36</v>
      </c>
      <c r="C521" s="1" t="s">
        <v>90</v>
      </c>
      <c r="D521" s="7">
        <v>6000</v>
      </c>
      <c r="E521" s="7">
        <v>5800</v>
      </c>
      <c r="F521" s="7"/>
      <c r="G521" s="7">
        <f>'Option source'!B671</f>
        <v>32.380000000000003</v>
      </c>
      <c r="H521" s="7">
        <f>'Option source'!B652</f>
        <v>18.329999999999998</v>
      </c>
      <c r="I521" s="7"/>
      <c r="J521" s="7">
        <f t="shared" si="56"/>
        <v>-4.279999999999994</v>
      </c>
      <c r="K521" s="7">
        <f t="shared" si="57"/>
        <v>200</v>
      </c>
      <c r="L521" s="7">
        <f t="shared" si="58"/>
        <v>204.28</v>
      </c>
      <c r="M521" s="7">
        <f t="shared" si="59"/>
        <v>5595.72</v>
      </c>
      <c r="N521" s="7">
        <f t="shared" si="60"/>
        <v>5595.72</v>
      </c>
      <c r="O521" s="7" t="str">
        <f t="shared" si="61"/>
        <v>n.a.</v>
      </c>
      <c r="P521" s="15" t="str">
        <f t="shared" si="62"/>
        <v>n.a.</v>
      </c>
      <c r="Q521" s="7">
        <f>J521*'Model inputs'!$B$8</f>
        <v>-427.99999999999943</v>
      </c>
      <c r="R521" s="1" t="s">
        <v>162</v>
      </c>
      <c r="S521" s="1">
        <v>666</v>
      </c>
      <c r="T521" s="1">
        <v>647</v>
      </c>
    </row>
    <row r="522" spans="1:20" ht="21" customHeight="1">
      <c r="A522" s="8">
        <v>46274</v>
      </c>
      <c r="B522" s="1" t="s">
        <v>36</v>
      </c>
      <c r="C522" s="1" t="s">
        <v>90</v>
      </c>
      <c r="D522" s="7">
        <v>5800</v>
      </c>
      <c r="E522" s="7">
        <v>5600</v>
      </c>
      <c r="F522" s="7"/>
      <c r="G522" s="7">
        <f>'Option source'!B652</f>
        <v>18.329999999999998</v>
      </c>
      <c r="H522" s="7">
        <f>'Option source'!B633</f>
        <v>9.5</v>
      </c>
      <c r="I522" s="7"/>
      <c r="J522" s="7">
        <f t="shared" si="56"/>
        <v>-0.67000000000000171</v>
      </c>
      <c r="K522" s="7">
        <f t="shared" si="57"/>
        <v>200</v>
      </c>
      <c r="L522" s="7">
        <f t="shared" si="58"/>
        <v>200.67000000000002</v>
      </c>
      <c r="M522" s="7">
        <f t="shared" si="59"/>
        <v>5399.33</v>
      </c>
      <c r="N522" s="7">
        <f t="shared" si="60"/>
        <v>5399.33</v>
      </c>
      <c r="O522" s="7" t="str">
        <f t="shared" si="61"/>
        <v>n.a.</v>
      </c>
      <c r="P522" s="15" t="str">
        <f t="shared" si="62"/>
        <v>n.a.</v>
      </c>
      <c r="Q522" s="7">
        <f>J522*'Model inputs'!$B$8</f>
        <v>-67.000000000000171</v>
      </c>
      <c r="R522" s="1" t="s">
        <v>162</v>
      </c>
      <c r="S522" s="1">
        <v>647</v>
      </c>
      <c r="T522" s="1">
        <v>628</v>
      </c>
    </row>
    <row r="523" spans="1:20" ht="21" customHeight="1">
      <c r="A523" s="8">
        <v>46274</v>
      </c>
      <c r="B523" s="1" t="s">
        <v>36</v>
      </c>
      <c r="C523" s="1" t="s">
        <v>87</v>
      </c>
      <c r="D523" s="7">
        <v>8300</v>
      </c>
      <c r="E523" s="7">
        <v>8600</v>
      </c>
      <c r="F523" s="7"/>
      <c r="G523" s="7">
        <f>'Option source'!B386</f>
        <v>88.96</v>
      </c>
      <c r="H523" s="7">
        <f>'Option source'!B405</f>
        <v>53.35</v>
      </c>
      <c r="I523" s="7"/>
      <c r="J523" s="7">
        <f t="shared" si="56"/>
        <v>-17.740000000000009</v>
      </c>
      <c r="K523" s="7">
        <f t="shared" si="57"/>
        <v>300</v>
      </c>
      <c r="L523" s="7">
        <f t="shared" si="58"/>
        <v>317.74</v>
      </c>
      <c r="M523" s="7" t="str">
        <f t="shared" si="59"/>
        <v>Unlimited</v>
      </c>
      <c r="N523" s="7" t="str">
        <f t="shared" si="60"/>
        <v>n.a.</v>
      </c>
      <c r="O523" s="7">
        <f t="shared" si="61"/>
        <v>8917.74</v>
      </c>
      <c r="P523" s="15" t="str">
        <f t="shared" si="62"/>
        <v>n.a.</v>
      </c>
      <c r="Q523" s="7">
        <f>J523*'Model inputs'!$B$8</f>
        <v>-1774.0000000000009</v>
      </c>
      <c r="R523" s="1" t="s">
        <v>162</v>
      </c>
      <c r="S523" s="1">
        <v>381</v>
      </c>
      <c r="T523" s="1">
        <v>400</v>
      </c>
    </row>
    <row r="524" spans="1:20" ht="21" customHeight="1">
      <c r="A524" s="8">
        <v>46274</v>
      </c>
      <c r="B524" s="1" t="s">
        <v>36</v>
      </c>
      <c r="C524" s="1" t="s">
        <v>90</v>
      </c>
      <c r="D524" s="7">
        <v>5600</v>
      </c>
      <c r="E524" s="7">
        <v>5400</v>
      </c>
      <c r="F524" s="7"/>
      <c r="G524" s="7">
        <f>'Option source'!B633</f>
        <v>9.5</v>
      </c>
      <c r="H524" s="7">
        <f>'Option source'!B614</f>
        <v>5.7</v>
      </c>
      <c r="I524" s="7"/>
      <c r="J524" s="7">
        <f t="shared" si="56"/>
        <v>-1.9000000000000004</v>
      </c>
      <c r="K524" s="7">
        <f t="shared" si="57"/>
        <v>200</v>
      </c>
      <c r="L524" s="7">
        <f t="shared" si="58"/>
        <v>201.9</v>
      </c>
      <c r="M524" s="7">
        <f t="shared" si="59"/>
        <v>5198.1000000000004</v>
      </c>
      <c r="N524" s="7">
        <f t="shared" si="60"/>
        <v>5198.1000000000004</v>
      </c>
      <c r="O524" s="7" t="str">
        <f t="shared" si="61"/>
        <v>n.a.</v>
      </c>
      <c r="P524" s="15" t="str">
        <f t="shared" si="62"/>
        <v>n.a.</v>
      </c>
      <c r="Q524" s="7">
        <f>J524*'Model inputs'!$B$8</f>
        <v>-190.00000000000003</v>
      </c>
      <c r="R524" s="1" t="s">
        <v>162</v>
      </c>
      <c r="S524" s="1">
        <v>628</v>
      </c>
      <c r="T524" s="1">
        <v>609</v>
      </c>
    </row>
    <row r="525" spans="1:20" ht="21" customHeight="1">
      <c r="A525" s="8">
        <v>46274</v>
      </c>
      <c r="B525" s="1" t="s">
        <v>36</v>
      </c>
      <c r="C525" s="1" t="s">
        <v>87</v>
      </c>
      <c r="D525" s="7">
        <v>8600</v>
      </c>
      <c r="E525" s="7">
        <v>8900</v>
      </c>
      <c r="F525" s="7"/>
      <c r="G525" s="7">
        <f>'Option source'!B405</f>
        <v>53.35</v>
      </c>
      <c r="H525" s="7">
        <f>'Option source'!B424</f>
        <v>30.7</v>
      </c>
      <c r="I525" s="7"/>
      <c r="J525" s="7">
        <f t="shared" si="56"/>
        <v>-8.0499999999999972</v>
      </c>
      <c r="K525" s="7">
        <f t="shared" si="57"/>
        <v>300</v>
      </c>
      <c r="L525" s="7">
        <f t="shared" si="58"/>
        <v>308.05</v>
      </c>
      <c r="M525" s="7" t="str">
        <f t="shared" si="59"/>
        <v>Unlimited</v>
      </c>
      <c r="N525" s="7" t="str">
        <f t="shared" si="60"/>
        <v>n.a.</v>
      </c>
      <c r="O525" s="7">
        <f t="shared" si="61"/>
        <v>9208.0499999999993</v>
      </c>
      <c r="P525" s="15" t="str">
        <f t="shared" si="62"/>
        <v>n.a.</v>
      </c>
      <c r="Q525" s="7">
        <f>J525*'Model inputs'!$B$8</f>
        <v>-804.99999999999977</v>
      </c>
      <c r="R525" s="1" t="s">
        <v>162</v>
      </c>
      <c r="S525" s="1">
        <v>400</v>
      </c>
      <c r="T525" s="1">
        <v>419</v>
      </c>
    </row>
    <row r="526" spans="1:20" ht="21" customHeight="1">
      <c r="A526" s="8">
        <v>46274</v>
      </c>
      <c r="B526" s="1" t="s">
        <v>36</v>
      </c>
      <c r="C526" s="1" t="s">
        <v>90</v>
      </c>
      <c r="D526" s="7">
        <v>5400</v>
      </c>
      <c r="E526" s="7">
        <v>5200</v>
      </c>
      <c r="F526" s="7"/>
      <c r="G526" s="7">
        <f>'Option source'!B614</f>
        <v>5.7</v>
      </c>
      <c r="H526" s="7">
        <f>'Option source'!B595</f>
        <v>2.85</v>
      </c>
      <c r="I526" s="7"/>
      <c r="J526" s="7">
        <f t="shared" si="56"/>
        <v>0</v>
      </c>
      <c r="K526" s="7">
        <f t="shared" si="57"/>
        <v>200</v>
      </c>
      <c r="L526" s="7">
        <f t="shared" si="58"/>
        <v>200</v>
      </c>
      <c r="M526" s="7">
        <f t="shared" si="59"/>
        <v>5000</v>
      </c>
      <c r="N526" s="7">
        <f t="shared" si="60"/>
        <v>5000</v>
      </c>
      <c r="O526" s="7" t="str">
        <f t="shared" si="61"/>
        <v>n.a.</v>
      </c>
      <c r="P526" s="15" t="str">
        <f t="shared" si="62"/>
        <v>n.a.</v>
      </c>
      <c r="Q526" s="7">
        <f>J526*'Model inputs'!$B$8</f>
        <v>0</v>
      </c>
      <c r="R526" s="1" t="s">
        <v>162</v>
      </c>
      <c r="S526" s="1">
        <v>609</v>
      </c>
      <c r="T526" s="1">
        <v>590</v>
      </c>
    </row>
    <row r="527" spans="1:20" ht="21" customHeight="1">
      <c r="A527" s="8">
        <v>46274</v>
      </c>
      <c r="B527" s="1" t="s">
        <v>36</v>
      </c>
      <c r="C527" s="1" t="s">
        <v>90</v>
      </c>
      <c r="D527" s="7">
        <v>5200</v>
      </c>
      <c r="E527" s="7">
        <v>5000</v>
      </c>
      <c r="F527" s="7"/>
      <c r="G527" s="7">
        <f>'Option source'!B595</f>
        <v>2.85</v>
      </c>
      <c r="H527" s="7">
        <f>'Option source'!B576</f>
        <v>1.66</v>
      </c>
      <c r="I527" s="7"/>
      <c r="J527" s="7">
        <f t="shared" si="56"/>
        <v>-0.46999999999999975</v>
      </c>
      <c r="K527" s="7">
        <f t="shared" si="57"/>
        <v>200</v>
      </c>
      <c r="L527" s="7">
        <f t="shared" si="58"/>
        <v>200.47</v>
      </c>
      <c r="M527" s="7">
        <f t="shared" si="59"/>
        <v>4799.53</v>
      </c>
      <c r="N527" s="7">
        <f t="shared" si="60"/>
        <v>4799.53</v>
      </c>
      <c r="O527" s="7" t="str">
        <f t="shared" si="61"/>
        <v>n.a.</v>
      </c>
      <c r="P527" s="15" t="str">
        <f t="shared" si="62"/>
        <v>n.a.</v>
      </c>
      <c r="Q527" s="7">
        <f>J527*'Model inputs'!$B$8</f>
        <v>-46.999999999999972</v>
      </c>
      <c r="R527" s="1" t="s">
        <v>162</v>
      </c>
      <c r="S527" s="1">
        <v>590</v>
      </c>
      <c r="T527" s="1">
        <v>571</v>
      </c>
    </row>
    <row r="528" spans="1:20" ht="21" customHeight="1">
      <c r="A528" s="8">
        <v>46274</v>
      </c>
      <c r="B528" s="1" t="s">
        <v>36</v>
      </c>
      <c r="C528" s="1" t="s">
        <v>87</v>
      </c>
      <c r="D528" s="7">
        <v>8900</v>
      </c>
      <c r="E528" s="7">
        <v>9200</v>
      </c>
      <c r="F528" s="7"/>
      <c r="G528" s="7">
        <f>'Option source'!B424</f>
        <v>30.7</v>
      </c>
      <c r="H528" s="7">
        <f>'Option source'!B443</f>
        <v>17.579999999999998</v>
      </c>
      <c r="I528" s="7"/>
      <c r="J528" s="7">
        <f t="shared" si="56"/>
        <v>-4.4599999999999973</v>
      </c>
      <c r="K528" s="7">
        <f t="shared" si="57"/>
        <v>300</v>
      </c>
      <c r="L528" s="7">
        <f t="shared" si="58"/>
        <v>304.45999999999998</v>
      </c>
      <c r="M528" s="7" t="str">
        <f t="shared" si="59"/>
        <v>Unlimited</v>
      </c>
      <c r="N528" s="7" t="str">
        <f t="shared" si="60"/>
        <v>n.a.</v>
      </c>
      <c r="O528" s="7">
        <f t="shared" si="61"/>
        <v>9504.4599999999991</v>
      </c>
      <c r="P528" s="15" t="str">
        <f t="shared" si="62"/>
        <v>n.a.</v>
      </c>
      <c r="Q528" s="7">
        <f>J528*'Model inputs'!$B$8</f>
        <v>-445.99999999999972</v>
      </c>
      <c r="R528" s="1" t="s">
        <v>162</v>
      </c>
      <c r="S528" s="1">
        <v>419</v>
      </c>
      <c r="T528" s="1">
        <v>438</v>
      </c>
    </row>
    <row r="529" spans="1:20" ht="21" customHeight="1">
      <c r="A529" s="8">
        <v>46274</v>
      </c>
      <c r="B529" s="1" t="s">
        <v>36</v>
      </c>
      <c r="C529" s="1" t="s">
        <v>90</v>
      </c>
      <c r="D529" s="7">
        <v>5000</v>
      </c>
      <c r="E529" s="7">
        <v>4800</v>
      </c>
      <c r="F529" s="7"/>
      <c r="G529" s="7">
        <f>'Option source'!B576</f>
        <v>1.66</v>
      </c>
      <c r="H529" s="7">
        <f>'Option source'!B557</f>
        <v>1.39</v>
      </c>
      <c r="I529" s="7"/>
      <c r="J529" s="7">
        <f t="shared" si="56"/>
        <v>-1.1199999999999999</v>
      </c>
      <c r="K529" s="7">
        <f t="shared" si="57"/>
        <v>200</v>
      </c>
      <c r="L529" s="7">
        <f t="shared" si="58"/>
        <v>201.12</v>
      </c>
      <c r="M529" s="7">
        <f t="shared" si="59"/>
        <v>4598.88</v>
      </c>
      <c r="N529" s="7">
        <f t="shared" si="60"/>
        <v>4598.88</v>
      </c>
      <c r="O529" s="7" t="str">
        <f t="shared" si="61"/>
        <v>n.a.</v>
      </c>
      <c r="P529" s="15" t="str">
        <f t="shared" si="62"/>
        <v>n.a.</v>
      </c>
      <c r="Q529" s="7">
        <f>J529*'Model inputs'!$B$8</f>
        <v>-111.99999999999999</v>
      </c>
      <c r="R529" s="1" t="s">
        <v>162</v>
      </c>
      <c r="S529" s="1">
        <v>571</v>
      </c>
      <c r="T529" s="1">
        <v>552</v>
      </c>
    </row>
    <row r="530" spans="1:20" ht="21" customHeight="1">
      <c r="A530" s="8">
        <v>46274</v>
      </c>
      <c r="B530" s="1" t="s">
        <v>36</v>
      </c>
      <c r="C530" s="1" t="s">
        <v>87</v>
      </c>
      <c r="D530" s="7">
        <v>9200</v>
      </c>
      <c r="E530" s="7">
        <v>9500</v>
      </c>
      <c r="F530" s="7"/>
      <c r="G530" s="7">
        <f>'Option source'!B443</f>
        <v>17.579999999999998</v>
      </c>
      <c r="H530" s="7">
        <f>'Option source'!B462</f>
        <v>10.59</v>
      </c>
      <c r="I530" s="7"/>
      <c r="J530" s="7">
        <f t="shared" si="56"/>
        <v>-3.6000000000000014</v>
      </c>
      <c r="K530" s="7">
        <f t="shared" si="57"/>
        <v>300</v>
      </c>
      <c r="L530" s="7">
        <f t="shared" si="58"/>
        <v>303.60000000000002</v>
      </c>
      <c r="M530" s="7" t="str">
        <f t="shared" si="59"/>
        <v>Unlimited</v>
      </c>
      <c r="N530" s="7" t="str">
        <f t="shared" si="60"/>
        <v>n.a.</v>
      </c>
      <c r="O530" s="7">
        <f t="shared" si="61"/>
        <v>9803.6</v>
      </c>
      <c r="P530" s="15" t="str">
        <f t="shared" si="62"/>
        <v>n.a.</v>
      </c>
      <c r="Q530" s="7">
        <f>J530*'Model inputs'!$B$8</f>
        <v>-360.00000000000011</v>
      </c>
      <c r="R530" s="1" t="s">
        <v>162</v>
      </c>
      <c r="S530" s="1">
        <v>438</v>
      </c>
      <c r="T530" s="1">
        <v>457</v>
      </c>
    </row>
    <row r="531" spans="1:20" ht="21" customHeight="1">
      <c r="A531" s="8">
        <v>46274</v>
      </c>
      <c r="B531" s="1" t="s">
        <v>36</v>
      </c>
      <c r="C531" s="1" t="s">
        <v>90</v>
      </c>
      <c r="D531" s="7">
        <v>4800</v>
      </c>
      <c r="E531" s="7">
        <v>4600</v>
      </c>
      <c r="F531" s="7"/>
      <c r="G531" s="7">
        <f>'Option source'!B557</f>
        <v>1.39</v>
      </c>
      <c r="H531" s="7">
        <f>'Option source'!B538</f>
        <v>1.22</v>
      </c>
      <c r="I531" s="7"/>
      <c r="J531" s="7">
        <f t="shared" si="56"/>
        <v>-1.05</v>
      </c>
      <c r="K531" s="7">
        <f t="shared" si="57"/>
        <v>200</v>
      </c>
      <c r="L531" s="7">
        <f t="shared" si="58"/>
        <v>201.05</v>
      </c>
      <c r="M531" s="7">
        <f t="shared" si="59"/>
        <v>4398.95</v>
      </c>
      <c r="N531" s="7">
        <f t="shared" si="60"/>
        <v>4398.95</v>
      </c>
      <c r="O531" s="7" t="str">
        <f t="shared" si="61"/>
        <v>n.a.</v>
      </c>
      <c r="P531" s="15" t="str">
        <f t="shared" si="62"/>
        <v>n.a.</v>
      </c>
      <c r="Q531" s="7">
        <f>J531*'Model inputs'!$B$8</f>
        <v>-105</v>
      </c>
      <c r="R531" s="1" t="s">
        <v>162</v>
      </c>
      <c r="S531" s="1">
        <v>552</v>
      </c>
      <c r="T531" s="1">
        <v>533</v>
      </c>
    </row>
    <row r="532" spans="1:20" ht="21" customHeight="1">
      <c r="A532" s="8">
        <v>46274</v>
      </c>
      <c r="B532" s="1" t="s">
        <v>36</v>
      </c>
      <c r="C532" s="1" t="s">
        <v>90</v>
      </c>
      <c r="D532" s="7">
        <v>4600</v>
      </c>
      <c r="E532" s="7">
        <v>4400</v>
      </c>
      <c r="F532" s="7"/>
      <c r="G532" s="7">
        <f>'Option source'!B538</f>
        <v>1.22</v>
      </c>
      <c r="H532" s="7">
        <f>'Option source'!B519</f>
        <v>1</v>
      </c>
      <c r="I532" s="7"/>
      <c r="J532" s="7">
        <f t="shared" si="56"/>
        <v>-0.78</v>
      </c>
      <c r="K532" s="7">
        <f t="shared" si="57"/>
        <v>200</v>
      </c>
      <c r="L532" s="7">
        <f t="shared" si="58"/>
        <v>200.78</v>
      </c>
      <c r="M532" s="7">
        <f t="shared" si="59"/>
        <v>4199.22</v>
      </c>
      <c r="N532" s="7">
        <f t="shared" si="60"/>
        <v>4199.22</v>
      </c>
      <c r="O532" s="7" t="str">
        <f t="shared" si="61"/>
        <v>n.a.</v>
      </c>
      <c r="P532" s="15" t="str">
        <f t="shared" si="62"/>
        <v>n.a.</v>
      </c>
      <c r="Q532" s="7">
        <f>J532*'Model inputs'!$B$8</f>
        <v>-78</v>
      </c>
      <c r="R532" s="1" t="s">
        <v>162</v>
      </c>
      <c r="S532" s="1">
        <v>533</v>
      </c>
      <c r="T532" s="1">
        <v>514</v>
      </c>
    </row>
    <row r="533" spans="1:20" ht="21" customHeight="1">
      <c r="A533" s="8">
        <v>46274</v>
      </c>
      <c r="B533" s="1" t="s">
        <v>36</v>
      </c>
      <c r="C533" s="1" t="s">
        <v>87</v>
      </c>
      <c r="D533" s="7">
        <v>9500</v>
      </c>
      <c r="E533" s="7">
        <v>9900</v>
      </c>
      <c r="F533" s="7"/>
      <c r="G533" s="7">
        <f>'Option source'!B462</f>
        <v>10.59</v>
      </c>
      <c r="H533" s="7">
        <f>'Option source'!B481</f>
        <v>6.34</v>
      </c>
      <c r="I533" s="7"/>
      <c r="J533" s="7">
        <f t="shared" si="56"/>
        <v>-2.09</v>
      </c>
      <c r="K533" s="7">
        <f t="shared" si="57"/>
        <v>400</v>
      </c>
      <c r="L533" s="7">
        <f t="shared" si="58"/>
        <v>402.09</v>
      </c>
      <c r="M533" s="7" t="str">
        <f t="shared" si="59"/>
        <v>Unlimited</v>
      </c>
      <c r="N533" s="7" t="str">
        <f t="shared" si="60"/>
        <v>n.a.</v>
      </c>
      <c r="O533" s="7">
        <f t="shared" si="61"/>
        <v>10302.09</v>
      </c>
      <c r="P533" s="15" t="str">
        <f t="shared" si="62"/>
        <v>n.a.</v>
      </c>
      <c r="Q533" s="7">
        <f>J533*'Model inputs'!$B$8</f>
        <v>-209</v>
      </c>
      <c r="R533" s="1" t="s">
        <v>162</v>
      </c>
      <c r="S533" s="1">
        <v>457</v>
      </c>
      <c r="T533" s="1">
        <v>476</v>
      </c>
    </row>
    <row r="534" spans="1:20" ht="21" customHeight="1">
      <c r="A534" s="8">
        <v>46274</v>
      </c>
      <c r="B534" s="1" t="s">
        <v>36</v>
      </c>
      <c r="C534" s="1" t="s">
        <v>90</v>
      </c>
      <c r="D534" s="7">
        <v>4400</v>
      </c>
      <c r="E534" s="7">
        <v>4200</v>
      </c>
      <c r="F534" s="7"/>
      <c r="G534" s="7">
        <f>'Option source'!B519</f>
        <v>1</v>
      </c>
      <c r="H534" s="7">
        <f>'Option source'!B500</f>
        <v>0.81</v>
      </c>
      <c r="I534" s="7"/>
      <c r="J534" s="7">
        <f t="shared" si="56"/>
        <v>-0.62000000000000011</v>
      </c>
      <c r="K534" s="7">
        <f t="shared" si="57"/>
        <v>200</v>
      </c>
      <c r="L534" s="7">
        <f t="shared" si="58"/>
        <v>200.62</v>
      </c>
      <c r="M534" s="7">
        <f t="shared" si="59"/>
        <v>3999.38</v>
      </c>
      <c r="N534" s="7">
        <f t="shared" si="60"/>
        <v>3999.38</v>
      </c>
      <c r="O534" s="7" t="str">
        <f t="shared" si="61"/>
        <v>n.a.</v>
      </c>
      <c r="P534" s="15" t="str">
        <f t="shared" si="62"/>
        <v>n.a.</v>
      </c>
      <c r="Q534" s="7">
        <f>J534*'Model inputs'!$B$8</f>
        <v>-62.000000000000014</v>
      </c>
      <c r="R534" s="1" t="s">
        <v>162</v>
      </c>
      <c r="S534" s="1">
        <v>514</v>
      </c>
      <c r="T534" s="1">
        <v>495</v>
      </c>
    </row>
    <row r="535" spans="1:20" ht="21" customHeight="1">
      <c r="A535" s="8">
        <v>46274</v>
      </c>
      <c r="B535" s="1" t="s">
        <v>36</v>
      </c>
      <c r="C535" s="1" t="s">
        <v>87</v>
      </c>
      <c r="D535" s="7">
        <v>6400</v>
      </c>
      <c r="E535" s="7">
        <v>6600</v>
      </c>
      <c r="F535" s="7"/>
      <c r="G535" s="7">
        <f>'Option source'!B215</f>
        <v>875.61</v>
      </c>
      <c r="H535" s="7">
        <f>'Option source'!B234</f>
        <v>773.75</v>
      </c>
      <c r="I535" s="7"/>
      <c r="J535" s="7">
        <f t="shared" si="56"/>
        <v>-671.89</v>
      </c>
      <c r="K535" s="7">
        <f t="shared" si="57"/>
        <v>200</v>
      </c>
      <c r="L535" s="7">
        <f t="shared" si="58"/>
        <v>871.89</v>
      </c>
      <c r="M535" s="7" t="str">
        <f t="shared" si="59"/>
        <v>Unlimited</v>
      </c>
      <c r="N535" s="7" t="str">
        <f t="shared" si="60"/>
        <v>n.a.</v>
      </c>
      <c r="O535" s="7">
        <f t="shared" si="61"/>
        <v>7471.89</v>
      </c>
      <c r="P535" s="15" t="str">
        <f t="shared" si="62"/>
        <v>n.a.</v>
      </c>
      <c r="Q535" s="7">
        <f>J535*'Model inputs'!$B$8</f>
        <v>-67189</v>
      </c>
      <c r="R535" s="1" t="s">
        <v>164</v>
      </c>
      <c r="S535" s="1">
        <v>210</v>
      </c>
      <c r="T535" s="1">
        <v>229</v>
      </c>
    </row>
    <row r="536" spans="1:20" ht="21" customHeight="1">
      <c r="A536" s="8">
        <v>46274</v>
      </c>
      <c r="B536" s="1" t="s">
        <v>36</v>
      </c>
      <c r="C536" s="1" t="s">
        <v>90</v>
      </c>
      <c r="D536" s="7">
        <v>7800</v>
      </c>
      <c r="E536" s="7">
        <v>7600</v>
      </c>
      <c r="F536" s="7"/>
      <c r="G536" s="7">
        <f>'Option source'!B842</f>
        <v>780</v>
      </c>
      <c r="H536" s="7">
        <f>'Option source'!B823</f>
        <v>593.01</v>
      </c>
      <c r="I536" s="7"/>
      <c r="J536" s="7">
        <f t="shared" si="56"/>
        <v>-406.02</v>
      </c>
      <c r="K536" s="7">
        <f t="shared" si="57"/>
        <v>200</v>
      </c>
      <c r="L536" s="7">
        <f t="shared" si="58"/>
        <v>606.02</v>
      </c>
      <c r="M536" s="7">
        <f t="shared" si="59"/>
        <v>6993.98</v>
      </c>
      <c r="N536" s="7">
        <f t="shared" si="60"/>
        <v>6993.98</v>
      </c>
      <c r="O536" s="7" t="str">
        <f t="shared" si="61"/>
        <v>n.a.</v>
      </c>
      <c r="P536" s="15" t="str">
        <f t="shared" si="62"/>
        <v>n.a.</v>
      </c>
      <c r="Q536" s="7">
        <f>J536*'Model inputs'!$B$8</f>
        <v>-40602</v>
      </c>
      <c r="R536" s="1" t="s">
        <v>164</v>
      </c>
      <c r="S536" s="1">
        <v>837</v>
      </c>
      <c r="T536" s="1">
        <v>818</v>
      </c>
    </row>
    <row r="537" spans="1:20" ht="21" customHeight="1">
      <c r="A537" s="8">
        <v>46274</v>
      </c>
      <c r="B537" s="1" t="s">
        <v>36</v>
      </c>
      <c r="C537" s="1" t="s">
        <v>87</v>
      </c>
      <c r="D537" s="7">
        <v>6200</v>
      </c>
      <c r="E537" s="7">
        <v>6400</v>
      </c>
      <c r="F537" s="7"/>
      <c r="G537" s="7">
        <f>'Option source'!B196</f>
        <v>1070</v>
      </c>
      <c r="H537" s="7">
        <f>'Option source'!B215</f>
        <v>875.61</v>
      </c>
      <c r="I537" s="7"/>
      <c r="J537" s="7">
        <f t="shared" si="56"/>
        <v>-681.22</v>
      </c>
      <c r="K537" s="7">
        <f t="shared" si="57"/>
        <v>200</v>
      </c>
      <c r="L537" s="7">
        <f t="shared" si="58"/>
        <v>881.22</v>
      </c>
      <c r="M537" s="7" t="str">
        <f t="shared" si="59"/>
        <v>Unlimited</v>
      </c>
      <c r="N537" s="7" t="str">
        <f t="shared" si="60"/>
        <v>n.a.</v>
      </c>
      <c r="O537" s="7">
        <f t="shared" si="61"/>
        <v>7281.22</v>
      </c>
      <c r="P537" s="15" t="str">
        <f t="shared" si="62"/>
        <v>n.a.</v>
      </c>
      <c r="Q537" s="7">
        <f>J537*'Model inputs'!$B$8</f>
        <v>-68122</v>
      </c>
      <c r="R537" s="1" t="s">
        <v>164</v>
      </c>
      <c r="S537" s="1">
        <v>191</v>
      </c>
      <c r="T537" s="1">
        <v>210</v>
      </c>
    </row>
    <row r="538" spans="1:20" ht="21" customHeight="1">
      <c r="A538" s="8">
        <v>46274</v>
      </c>
      <c r="B538" s="1" t="s">
        <v>36</v>
      </c>
      <c r="C538" s="1" t="s">
        <v>90</v>
      </c>
      <c r="D538" s="7">
        <v>8000</v>
      </c>
      <c r="E538" s="7">
        <v>7800</v>
      </c>
      <c r="F538" s="7"/>
      <c r="G538" s="7">
        <f>'Option source'!B861</f>
        <v>900</v>
      </c>
      <c r="H538" s="7">
        <f>'Option source'!B842</f>
        <v>780</v>
      </c>
      <c r="I538" s="7"/>
      <c r="J538" s="7">
        <f t="shared" si="56"/>
        <v>-660</v>
      </c>
      <c r="K538" s="7">
        <f t="shared" si="57"/>
        <v>200</v>
      </c>
      <c r="L538" s="7">
        <f t="shared" si="58"/>
        <v>860</v>
      </c>
      <c r="M538" s="7">
        <f t="shared" si="59"/>
        <v>6940</v>
      </c>
      <c r="N538" s="7">
        <f t="shared" si="60"/>
        <v>6940</v>
      </c>
      <c r="O538" s="7" t="str">
        <f t="shared" si="61"/>
        <v>n.a.</v>
      </c>
      <c r="P538" s="15" t="str">
        <f t="shared" si="62"/>
        <v>n.a.</v>
      </c>
      <c r="Q538" s="7">
        <f>J538*'Model inputs'!$B$8</f>
        <v>-66000</v>
      </c>
      <c r="R538" s="1" t="s">
        <v>164</v>
      </c>
      <c r="S538" s="1">
        <v>856</v>
      </c>
      <c r="T538" s="1">
        <v>837</v>
      </c>
    </row>
    <row r="539" spans="1:20" ht="21" customHeight="1">
      <c r="A539" s="8">
        <v>46274</v>
      </c>
      <c r="B539" s="1" t="s">
        <v>36</v>
      </c>
      <c r="C539" s="1" t="s">
        <v>87</v>
      </c>
      <c r="D539" s="7">
        <v>6000</v>
      </c>
      <c r="E539" s="7">
        <v>6200</v>
      </c>
      <c r="F539" s="7"/>
      <c r="G539" s="7">
        <f>'Option source'!B177</f>
        <v>1253.9100000000001</v>
      </c>
      <c r="H539" s="7">
        <f>'Option source'!B196</f>
        <v>1070</v>
      </c>
      <c r="I539" s="7"/>
      <c r="J539" s="7">
        <f t="shared" si="56"/>
        <v>-886.08999999999992</v>
      </c>
      <c r="K539" s="7">
        <f t="shared" si="57"/>
        <v>200</v>
      </c>
      <c r="L539" s="7">
        <f t="shared" si="58"/>
        <v>1086.0899999999999</v>
      </c>
      <c r="M539" s="7" t="str">
        <f t="shared" si="59"/>
        <v>Unlimited</v>
      </c>
      <c r="N539" s="7" t="str">
        <f t="shared" si="60"/>
        <v>n.a.</v>
      </c>
      <c r="O539" s="7">
        <f t="shared" si="61"/>
        <v>7286.09</v>
      </c>
      <c r="P539" s="15" t="str">
        <f t="shared" si="62"/>
        <v>n.a.</v>
      </c>
      <c r="Q539" s="7">
        <f>J539*'Model inputs'!$B$8</f>
        <v>-88608.999999999985</v>
      </c>
      <c r="R539" s="1" t="s">
        <v>164</v>
      </c>
      <c r="S539" s="1">
        <v>172</v>
      </c>
      <c r="T539" s="1">
        <v>191</v>
      </c>
    </row>
    <row r="540" spans="1:20" ht="21" customHeight="1">
      <c r="A540" s="8">
        <v>46274</v>
      </c>
      <c r="B540" s="1" t="s">
        <v>36</v>
      </c>
      <c r="C540" s="1" t="s">
        <v>90</v>
      </c>
      <c r="D540" s="7">
        <v>8300</v>
      </c>
      <c r="E540" s="7">
        <v>8000</v>
      </c>
      <c r="F540" s="7"/>
      <c r="G540" s="7">
        <f>'Option source'!B880</f>
        <v>1234</v>
      </c>
      <c r="H540" s="7">
        <f>'Option source'!B861</f>
        <v>900</v>
      </c>
      <c r="I540" s="7"/>
      <c r="J540" s="7">
        <f t="shared" si="56"/>
        <v>-566</v>
      </c>
      <c r="K540" s="7">
        <f t="shared" si="57"/>
        <v>300</v>
      </c>
      <c r="L540" s="7">
        <f t="shared" si="58"/>
        <v>866</v>
      </c>
      <c r="M540" s="7">
        <f t="shared" si="59"/>
        <v>7134</v>
      </c>
      <c r="N540" s="7">
        <f t="shared" si="60"/>
        <v>7134</v>
      </c>
      <c r="O540" s="7" t="str">
        <f t="shared" si="61"/>
        <v>n.a.</v>
      </c>
      <c r="P540" s="15" t="str">
        <f t="shared" si="62"/>
        <v>n.a.</v>
      </c>
      <c r="Q540" s="7">
        <f>J540*'Model inputs'!$B$8</f>
        <v>-56600</v>
      </c>
      <c r="R540" s="1" t="s">
        <v>164</v>
      </c>
      <c r="S540" s="1">
        <v>875</v>
      </c>
      <c r="T540" s="1">
        <v>856</v>
      </c>
    </row>
    <row r="541" spans="1:20" ht="21" customHeight="1">
      <c r="A541" s="8">
        <v>46274</v>
      </c>
      <c r="B541" s="1" t="s">
        <v>36</v>
      </c>
      <c r="C541" s="1" t="s">
        <v>87</v>
      </c>
      <c r="D541" s="7">
        <v>5800</v>
      </c>
      <c r="E541" s="7">
        <v>6000</v>
      </c>
      <c r="F541" s="7"/>
      <c r="G541" s="7">
        <f>'Option source'!B158</f>
        <v>1403.14</v>
      </c>
      <c r="H541" s="7">
        <f>'Option source'!B177</f>
        <v>1253.9100000000001</v>
      </c>
      <c r="I541" s="7"/>
      <c r="J541" s="7">
        <f t="shared" si="56"/>
        <v>-1104.68</v>
      </c>
      <c r="K541" s="7">
        <f t="shared" si="57"/>
        <v>200</v>
      </c>
      <c r="L541" s="7">
        <f t="shared" si="58"/>
        <v>1304.68</v>
      </c>
      <c r="M541" s="7" t="str">
        <f t="shared" si="59"/>
        <v>Unlimited</v>
      </c>
      <c r="N541" s="7" t="str">
        <f t="shared" si="60"/>
        <v>n.a.</v>
      </c>
      <c r="O541" s="7">
        <f t="shared" si="61"/>
        <v>7304.68</v>
      </c>
      <c r="P541" s="15" t="str">
        <f t="shared" si="62"/>
        <v>n.a.</v>
      </c>
      <c r="Q541" s="7">
        <f>J541*'Model inputs'!$B$8</f>
        <v>-110468</v>
      </c>
      <c r="R541" s="1" t="s">
        <v>164</v>
      </c>
      <c r="S541" s="1">
        <v>153</v>
      </c>
      <c r="T541" s="1">
        <v>172</v>
      </c>
    </row>
    <row r="542" spans="1:20" ht="21" customHeight="1">
      <c r="A542" s="8">
        <v>46274</v>
      </c>
      <c r="B542" s="1" t="s">
        <v>36</v>
      </c>
      <c r="C542" s="1" t="s">
        <v>90</v>
      </c>
      <c r="D542" s="7">
        <v>8600</v>
      </c>
      <c r="E542" s="7">
        <v>8300</v>
      </c>
      <c r="F542" s="7"/>
      <c r="G542" s="7">
        <f>'Option source'!B899</f>
        <v>1559.27</v>
      </c>
      <c r="H542" s="7">
        <f>'Option source'!B880</f>
        <v>1234</v>
      </c>
      <c r="I542" s="7"/>
      <c r="J542" s="7">
        <f t="shared" si="56"/>
        <v>-908.73</v>
      </c>
      <c r="K542" s="7">
        <f t="shared" si="57"/>
        <v>300</v>
      </c>
      <c r="L542" s="7">
        <f t="shared" si="58"/>
        <v>1208.73</v>
      </c>
      <c r="M542" s="7">
        <f t="shared" si="59"/>
        <v>7091.27</v>
      </c>
      <c r="N542" s="7">
        <f t="shared" si="60"/>
        <v>7091.27</v>
      </c>
      <c r="O542" s="7" t="str">
        <f t="shared" si="61"/>
        <v>n.a.</v>
      </c>
      <c r="P542" s="15" t="str">
        <f t="shared" si="62"/>
        <v>n.a.</v>
      </c>
      <c r="Q542" s="7">
        <f>J542*'Model inputs'!$B$8</f>
        <v>-90873</v>
      </c>
      <c r="R542" s="1" t="s">
        <v>164</v>
      </c>
      <c r="S542" s="1">
        <v>894</v>
      </c>
      <c r="T542" s="1">
        <v>875</v>
      </c>
    </row>
    <row r="543" spans="1:20" ht="21" customHeight="1">
      <c r="A543" s="8">
        <v>46274</v>
      </c>
      <c r="B543" s="1" t="s">
        <v>36</v>
      </c>
      <c r="C543" s="1" t="s">
        <v>87</v>
      </c>
      <c r="D543" s="7">
        <v>5600</v>
      </c>
      <c r="E543" s="7">
        <v>5800</v>
      </c>
      <c r="F543" s="7"/>
      <c r="G543" s="7">
        <f>'Option source'!B148</f>
        <v>1490</v>
      </c>
      <c r="H543" s="7">
        <f>'Option source'!B158</f>
        <v>1403.14</v>
      </c>
      <c r="I543" s="7"/>
      <c r="J543" s="7">
        <f t="shared" si="56"/>
        <v>-1316.2800000000002</v>
      </c>
      <c r="K543" s="7">
        <f t="shared" si="57"/>
        <v>200</v>
      </c>
      <c r="L543" s="7">
        <f t="shared" si="58"/>
        <v>1516.2800000000002</v>
      </c>
      <c r="M543" s="7" t="str">
        <f t="shared" si="59"/>
        <v>Unlimited</v>
      </c>
      <c r="N543" s="7" t="str">
        <f t="shared" si="60"/>
        <v>n.a.</v>
      </c>
      <c r="O543" s="7">
        <f t="shared" si="61"/>
        <v>7316.2800000000007</v>
      </c>
      <c r="P543" s="15" t="str">
        <f t="shared" si="62"/>
        <v>n.a.</v>
      </c>
      <c r="Q543" s="7">
        <f>J543*'Model inputs'!$B$8</f>
        <v>-131628.00000000003</v>
      </c>
      <c r="R543" s="1" t="s">
        <v>164</v>
      </c>
      <c r="S543" s="1">
        <v>143</v>
      </c>
      <c r="T543" s="1">
        <v>153</v>
      </c>
    </row>
    <row r="544" spans="1:20" ht="21" customHeight="1">
      <c r="A544" s="8">
        <v>46274</v>
      </c>
      <c r="B544" s="1" t="s">
        <v>36</v>
      </c>
      <c r="C544" s="1" t="s">
        <v>87</v>
      </c>
      <c r="D544" s="7">
        <v>5400</v>
      </c>
      <c r="E544" s="7">
        <v>5600</v>
      </c>
      <c r="F544" s="7"/>
      <c r="G544" s="7">
        <f>'Option source'!B130</f>
        <v>1750</v>
      </c>
      <c r="H544" s="7">
        <f>'Option source'!B148</f>
        <v>1490</v>
      </c>
      <c r="I544" s="7"/>
      <c r="J544" s="7">
        <f t="shared" si="56"/>
        <v>-1230</v>
      </c>
      <c r="K544" s="7">
        <f t="shared" si="57"/>
        <v>200</v>
      </c>
      <c r="L544" s="7">
        <f t="shared" si="58"/>
        <v>1430</v>
      </c>
      <c r="M544" s="7" t="str">
        <f t="shared" si="59"/>
        <v>Unlimited</v>
      </c>
      <c r="N544" s="7" t="str">
        <f t="shared" si="60"/>
        <v>n.a.</v>
      </c>
      <c r="O544" s="7">
        <f t="shared" si="61"/>
        <v>7030</v>
      </c>
      <c r="P544" s="15" t="str">
        <f t="shared" si="62"/>
        <v>n.a.</v>
      </c>
      <c r="Q544" s="7">
        <f>J544*'Model inputs'!$B$8</f>
        <v>-123000</v>
      </c>
      <c r="R544" s="1" t="s">
        <v>164</v>
      </c>
      <c r="S544" s="1">
        <v>125</v>
      </c>
      <c r="T544" s="1">
        <v>143</v>
      </c>
    </row>
    <row r="545" spans="1:20" ht="21" customHeight="1">
      <c r="A545" s="8">
        <v>46274</v>
      </c>
      <c r="B545" s="1" t="s">
        <v>36</v>
      </c>
      <c r="C545" s="1" t="s">
        <v>90</v>
      </c>
      <c r="D545" s="7">
        <v>8900</v>
      </c>
      <c r="E545" s="7">
        <v>8600</v>
      </c>
      <c r="F545" s="7"/>
      <c r="G545" s="7">
        <f>'Option source'!B914</f>
        <v>2022.5</v>
      </c>
      <c r="H545" s="7">
        <f>'Option source'!B899</f>
        <v>1559.27</v>
      </c>
      <c r="I545" s="7"/>
      <c r="J545" s="7">
        <f t="shared" si="56"/>
        <v>-1096.04</v>
      </c>
      <c r="K545" s="7">
        <f t="shared" si="57"/>
        <v>300</v>
      </c>
      <c r="L545" s="7">
        <f t="shared" si="58"/>
        <v>1396.04</v>
      </c>
      <c r="M545" s="7">
        <f t="shared" si="59"/>
        <v>7203.96</v>
      </c>
      <c r="N545" s="7">
        <f t="shared" si="60"/>
        <v>7203.96</v>
      </c>
      <c r="O545" s="7" t="str">
        <f t="shared" si="61"/>
        <v>n.a.</v>
      </c>
      <c r="P545" s="15" t="str">
        <f t="shared" si="62"/>
        <v>n.a.</v>
      </c>
      <c r="Q545" s="7">
        <f>J545*'Model inputs'!$B$8</f>
        <v>-109604</v>
      </c>
      <c r="R545" s="1" t="s">
        <v>164</v>
      </c>
      <c r="S545" s="1">
        <v>909</v>
      </c>
      <c r="T545" s="1">
        <v>894</v>
      </c>
    </row>
    <row r="546" spans="1:20" ht="21" customHeight="1">
      <c r="A546" s="8">
        <v>46274</v>
      </c>
      <c r="B546" s="1" t="s">
        <v>36</v>
      </c>
      <c r="C546" s="1" t="s">
        <v>87</v>
      </c>
      <c r="D546" s="7">
        <v>5200</v>
      </c>
      <c r="E546" s="7">
        <v>5400</v>
      </c>
      <c r="F546" s="7"/>
      <c r="G546" s="7">
        <f>'Option source'!B111</f>
        <v>1895.85</v>
      </c>
      <c r="H546" s="7">
        <f>'Option source'!B130</f>
        <v>1750</v>
      </c>
      <c r="I546" s="7"/>
      <c r="J546" s="7">
        <f t="shared" si="56"/>
        <v>-1604.15</v>
      </c>
      <c r="K546" s="7">
        <f t="shared" si="57"/>
        <v>200</v>
      </c>
      <c r="L546" s="7">
        <f t="shared" si="58"/>
        <v>1804.15</v>
      </c>
      <c r="M546" s="7" t="str">
        <f t="shared" si="59"/>
        <v>Unlimited</v>
      </c>
      <c r="N546" s="7" t="str">
        <f t="shared" si="60"/>
        <v>n.a.</v>
      </c>
      <c r="O546" s="7">
        <f t="shared" si="61"/>
        <v>7204.15</v>
      </c>
      <c r="P546" s="15" t="str">
        <f t="shared" si="62"/>
        <v>n.a.</v>
      </c>
      <c r="Q546" s="7">
        <f>J546*'Model inputs'!$B$8</f>
        <v>-160415</v>
      </c>
      <c r="R546" s="1" t="s">
        <v>164</v>
      </c>
      <c r="S546" s="1">
        <v>106</v>
      </c>
      <c r="T546" s="1">
        <v>125</v>
      </c>
    </row>
    <row r="547" spans="1:20" ht="21" customHeight="1">
      <c r="A547" s="8">
        <v>46274</v>
      </c>
      <c r="B547" s="1" t="s">
        <v>36</v>
      </c>
      <c r="C547" s="1" t="s">
        <v>90</v>
      </c>
      <c r="D547" s="7">
        <v>9200</v>
      </c>
      <c r="E547" s="7">
        <v>8900</v>
      </c>
      <c r="F547" s="7"/>
      <c r="G547" s="7">
        <f>'Option source'!B921</f>
        <v>2000</v>
      </c>
      <c r="H547" s="7">
        <f>'Option source'!B914</f>
        <v>2022.5</v>
      </c>
      <c r="I547" s="7"/>
      <c r="J547" s="7">
        <f t="shared" si="56"/>
        <v>-2045</v>
      </c>
      <c r="K547" s="7">
        <f t="shared" si="57"/>
        <v>300</v>
      </c>
      <c r="L547" s="7">
        <f t="shared" si="58"/>
        <v>2345</v>
      </c>
      <c r="M547" s="7">
        <f t="shared" si="59"/>
        <v>6555</v>
      </c>
      <c r="N547" s="7">
        <f t="shared" si="60"/>
        <v>6555</v>
      </c>
      <c r="O547" s="7" t="str">
        <f t="shared" si="61"/>
        <v>n.a.</v>
      </c>
      <c r="P547" s="15" t="str">
        <f t="shared" si="62"/>
        <v>n.a.</v>
      </c>
      <c r="Q547" s="7">
        <f>J547*'Model inputs'!$B$8</f>
        <v>-204500</v>
      </c>
      <c r="R547" s="1" t="s">
        <v>164</v>
      </c>
      <c r="S547" s="1">
        <v>916</v>
      </c>
      <c r="T547" s="1">
        <v>909</v>
      </c>
    </row>
    <row r="548" spans="1:20" ht="21" customHeight="1">
      <c r="A548" s="8">
        <v>46274</v>
      </c>
      <c r="B548" s="1" t="s">
        <v>36</v>
      </c>
      <c r="C548" s="1" t="s">
        <v>87</v>
      </c>
      <c r="D548" s="7">
        <v>5000</v>
      </c>
      <c r="E548" s="7">
        <v>5200</v>
      </c>
      <c r="F548" s="7"/>
      <c r="G548" s="7">
        <f>'Option source'!B92</f>
        <v>2047.78</v>
      </c>
      <c r="H548" s="7">
        <f>'Option source'!B111</f>
        <v>1895.85</v>
      </c>
      <c r="I548" s="7"/>
      <c r="J548" s="7">
        <f t="shared" si="56"/>
        <v>-1743.9199999999998</v>
      </c>
      <c r="K548" s="7">
        <f t="shared" si="57"/>
        <v>200</v>
      </c>
      <c r="L548" s="7">
        <f t="shared" si="58"/>
        <v>1943.9199999999998</v>
      </c>
      <c r="M548" s="7" t="str">
        <f t="shared" si="59"/>
        <v>Unlimited</v>
      </c>
      <c r="N548" s="7" t="str">
        <f t="shared" si="60"/>
        <v>n.a.</v>
      </c>
      <c r="O548" s="7">
        <f t="shared" si="61"/>
        <v>7143.92</v>
      </c>
      <c r="P548" s="15" t="str">
        <f t="shared" si="62"/>
        <v>n.a.</v>
      </c>
      <c r="Q548" s="7">
        <f>J548*'Model inputs'!$B$8</f>
        <v>-174391.99999999997</v>
      </c>
      <c r="R548" s="1" t="s">
        <v>164</v>
      </c>
      <c r="S548" s="1">
        <v>87</v>
      </c>
      <c r="T548" s="1">
        <v>106</v>
      </c>
    </row>
    <row r="549" spans="1:20" ht="21" customHeight="1">
      <c r="A549" s="8">
        <v>46274</v>
      </c>
      <c r="B549" s="1" t="s">
        <v>36</v>
      </c>
      <c r="C549" s="1" t="s">
        <v>87</v>
      </c>
      <c r="D549" s="7">
        <v>4800</v>
      </c>
      <c r="E549" s="7">
        <v>5000</v>
      </c>
      <c r="F549" s="7"/>
      <c r="G549" s="7">
        <f>'Option source'!B75</f>
        <v>2347.98</v>
      </c>
      <c r="H549" s="7">
        <f>'Option source'!B92</f>
        <v>2047.78</v>
      </c>
      <c r="I549" s="7"/>
      <c r="J549" s="7">
        <f t="shared" si="56"/>
        <v>-1747.58</v>
      </c>
      <c r="K549" s="7">
        <f t="shared" si="57"/>
        <v>200</v>
      </c>
      <c r="L549" s="7">
        <f t="shared" si="58"/>
        <v>1947.58</v>
      </c>
      <c r="M549" s="7" t="str">
        <f t="shared" si="59"/>
        <v>Unlimited</v>
      </c>
      <c r="N549" s="7" t="str">
        <f t="shared" si="60"/>
        <v>n.a.</v>
      </c>
      <c r="O549" s="7">
        <f t="shared" si="61"/>
        <v>6947.58</v>
      </c>
      <c r="P549" s="15" t="str">
        <f t="shared" si="62"/>
        <v>n.a.</v>
      </c>
      <c r="Q549" s="7">
        <f>J549*'Model inputs'!$B$8</f>
        <v>-174758</v>
      </c>
      <c r="R549" s="1" t="s">
        <v>164</v>
      </c>
      <c r="S549" s="1">
        <v>70</v>
      </c>
      <c r="T549" s="1">
        <v>87</v>
      </c>
    </row>
    <row r="550" spans="1:20" ht="21" customHeight="1">
      <c r="A550" s="8">
        <v>46274</v>
      </c>
      <c r="B550" s="1" t="s">
        <v>36</v>
      </c>
      <c r="C550" s="1" t="s">
        <v>87</v>
      </c>
      <c r="D550" s="7">
        <v>4600</v>
      </c>
      <c r="E550" s="7">
        <v>4800</v>
      </c>
      <c r="F550" s="7"/>
      <c r="G550" s="7">
        <f>'Option source'!B58</f>
        <v>2550</v>
      </c>
      <c r="H550" s="7">
        <f>'Option source'!B75</f>
        <v>2347.98</v>
      </c>
      <c r="I550" s="7"/>
      <c r="J550" s="7">
        <f t="shared" si="56"/>
        <v>-2145.96</v>
      </c>
      <c r="K550" s="7">
        <f t="shared" si="57"/>
        <v>200</v>
      </c>
      <c r="L550" s="7">
        <f t="shared" si="58"/>
        <v>2345.96</v>
      </c>
      <c r="M550" s="7" t="str">
        <f t="shared" si="59"/>
        <v>Unlimited</v>
      </c>
      <c r="N550" s="7" t="str">
        <f t="shared" si="60"/>
        <v>n.a.</v>
      </c>
      <c r="O550" s="7">
        <f t="shared" si="61"/>
        <v>7145.96</v>
      </c>
      <c r="P550" s="15" t="str">
        <f t="shared" si="62"/>
        <v>n.a.</v>
      </c>
      <c r="Q550" s="7">
        <f>J550*'Model inputs'!$B$8</f>
        <v>-214596</v>
      </c>
      <c r="R550" s="1" t="s">
        <v>164</v>
      </c>
      <c r="S550" s="1">
        <v>53</v>
      </c>
      <c r="T550" s="1">
        <v>70</v>
      </c>
    </row>
    <row r="551" spans="1:20" ht="21" customHeight="1">
      <c r="A551" s="8">
        <v>46274</v>
      </c>
      <c r="B551" s="1" t="s">
        <v>36</v>
      </c>
      <c r="C551" s="1" t="s">
        <v>87</v>
      </c>
      <c r="D551" s="7">
        <v>4400</v>
      </c>
      <c r="E551" s="7">
        <v>4600</v>
      </c>
      <c r="F551" s="7"/>
      <c r="G551" s="7">
        <f>'Option source'!B39</f>
        <v>2762.2</v>
      </c>
      <c r="H551" s="7">
        <f>'Option source'!B58</f>
        <v>2550</v>
      </c>
      <c r="I551" s="7"/>
      <c r="J551" s="7">
        <f t="shared" si="56"/>
        <v>-2337.8000000000002</v>
      </c>
      <c r="K551" s="7">
        <f t="shared" si="57"/>
        <v>200</v>
      </c>
      <c r="L551" s="7">
        <f t="shared" si="58"/>
        <v>2537.8000000000002</v>
      </c>
      <c r="M551" s="7" t="str">
        <f t="shared" si="59"/>
        <v>Unlimited</v>
      </c>
      <c r="N551" s="7" t="str">
        <f t="shared" si="60"/>
        <v>n.a.</v>
      </c>
      <c r="O551" s="7">
        <f t="shared" si="61"/>
        <v>7137.8</v>
      </c>
      <c r="P551" s="15" t="str">
        <f t="shared" si="62"/>
        <v>n.a.</v>
      </c>
      <c r="Q551" s="7">
        <f>J551*'Model inputs'!$B$8</f>
        <v>-233780.00000000003</v>
      </c>
      <c r="R551" s="1" t="s">
        <v>164</v>
      </c>
      <c r="S551" s="1">
        <v>34</v>
      </c>
      <c r="T551" s="1">
        <v>53</v>
      </c>
    </row>
    <row r="552" spans="1:20" ht="21" customHeight="1">
      <c r="A552" s="8">
        <v>46274</v>
      </c>
      <c r="B552" s="1" t="s">
        <v>36</v>
      </c>
      <c r="C552" s="1" t="s">
        <v>87</v>
      </c>
      <c r="D552" s="7">
        <v>4200</v>
      </c>
      <c r="E552" s="7">
        <v>4400</v>
      </c>
      <c r="F552" s="7"/>
      <c r="G552" s="7">
        <f>'Option source'!B20</f>
        <v>2845.62</v>
      </c>
      <c r="H552" s="7">
        <f>'Option source'!B39</f>
        <v>2762.2</v>
      </c>
      <c r="I552" s="7"/>
      <c r="J552" s="7">
        <f t="shared" si="56"/>
        <v>-2678.7799999999997</v>
      </c>
      <c r="K552" s="7">
        <f t="shared" si="57"/>
        <v>200</v>
      </c>
      <c r="L552" s="7">
        <f t="shared" si="58"/>
        <v>2878.7799999999997</v>
      </c>
      <c r="M552" s="7" t="str">
        <f t="shared" si="59"/>
        <v>Unlimited</v>
      </c>
      <c r="N552" s="7" t="str">
        <f t="shared" si="60"/>
        <v>n.a.</v>
      </c>
      <c r="O552" s="7">
        <f t="shared" si="61"/>
        <v>7278.78</v>
      </c>
      <c r="P552" s="15" t="str">
        <f t="shared" si="62"/>
        <v>n.a.</v>
      </c>
      <c r="Q552" s="7">
        <f>J552*'Model inputs'!$B$8</f>
        <v>-267878</v>
      </c>
      <c r="R552" s="1" t="s">
        <v>164</v>
      </c>
      <c r="S552" s="1">
        <v>15</v>
      </c>
      <c r="T552" s="1">
        <v>34</v>
      </c>
    </row>
    <row r="553" spans="1:20" ht="21" customHeight="1">
      <c r="A553" s="8">
        <v>46273</v>
      </c>
      <c r="B553" s="1" t="s">
        <v>34</v>
      </c>
      <c r="C553" s="1" t="s">
        <v>87</v>
      </c>
      <c r="D553" s="7">
        <v>6800</v>
      </c>
      <c r="E553" s="7">
        <v>7000</v>
      </c>
      <c r="F553" s="7">
        <v>7200</v>
      </c>
      <c r="G553" s="7">
        <f>'Option source'!B252</f>
        <v>595.26</v>
      </c>
      <c r="H553" s="7">
        <f>'Option source'!B271</f>
        <v>485.45</v>
      </c>
      <c r="I553" s="7">
        <f>'Option source'!B290</f>
        <v>385.82</v>
      </c>
      <c r="J553" s="7">
        <f t="shared" si="56"/>
        <v>10.180000000000007</v>
      </c>
      <c r="K553" s="7">
        <f t="shared" si="57"/>
        <v>200</v>
      </c>
      <c r="L553" s="7">
        <f t="shared" si="58"/>
        <v>189.82</v>
      </c>
      <c r="M553" s="7">
        <f t="shared" si="59"/>
        <v>10.180000000000007</v>
      </c>
      <c r="N553" s="7">
        <f t="shared" si="60"/>
        <v>6810.18</v>
      </c>
      <c r="O553" s="7">
        <f t="shared" si="61"/>
        <v>7189.82</v>
      </c>
      <c r="P553" s="15">
        <f t="shared" si="62"/>
        <v>18.646365422396844</v>
      </c>
      <c r="Q553" s="7">
        <f>J553*'Model inputs'!$B$8</f>
        <v>1018.0000000000007</v>
      </c>
      <c r="R553" s="1" t="s">
        <v>162</v>
      </c>
      <c r="S553" s="1">
        <v>247</v>
      </c>
      <c r="T553" s="1">
        <v>266</v>
      </c>
    </row>
    <row r="554" spans="1:20" ht="21" customHeight="1">
      <c r="A554" s="8">
        <v>46273</v>
      </c>
      <c r="B554" s="1" t="s">
        <v>34</v>
      </c>
      <c r="C554" s="1" t="s">
        <v>90</v>
      </c>
      <c r="D554" s="7">
        <v>6800</v>
      </c>
      <c r="E554" s="7">
        <v>7000</v>
      </c>
      <c r="F554" s="7">
        <v>7200</v>
      </c>
      <c r="G554" s="7">
        <f>'Option source'!B746</f>
        <v>224.24</v>
      </c>
      <c r="H554" s="7">
        <f>'Option source'!B765</f>
        <v>317.07</v>
      </c>
      <c r="I554" s="7">
        <f>'Option source'!B784</f>
        <v>419.99</v>
      </c>
      <c r="J554" s="7">
        <f t="shared" si="56"/>
        <v>10.090000000000032</v>
      </c>
      <c r="K554" s="7">
        <f t="shared" si="57"/>
        <v>200</v>
      </c>
      <c r="L554" s="7">
        <f t="shared" si="58"/>
        <v>189.90999999999997</v>
      </c>
      <c r="M554" s="7">
        <f t="shared" si="59"/>
        <v>10.090000000000032</v>
      </c>
      <c r="N554" s="7">
        <f t="shared" si="60"/>
        <v>6810.09</v>
      </c>
      <c r="O554" s="7">
        <f t="shared" si="61"/>
        <v>7189.91</v>
      </c>
      <c r="P554" s="15">
        <f t="shared" si="62"/>
        <v>18.82160555004949</v>
      </c>
      <c r="Q554" s="7">
        <f>J554*'Model inputs'!$B$8</f>
        <v>1009.0000000000032</v>
      </c>
      <c r="R554" s="1" t="s">
        <v>162</v>
      </c>
      <c r="S554" s="1">
        <v>741</v>
      </c>
      <c r="T554" s="1">
        <v>760</v>
      </c>
    </row>
    <row r="555" spans="1:20" ht="21" customHeight="1">
      <c r="A555" s="8">
        <v>46273</v>
      </c>
      <c r="B555" s="1" t="s">
        <v>34</v>
      </c>
      <c r="C555" s="1" t="s">
        <v>87</v>
      </c>
      <c r="D555" s="7">
        <v>7000</v>
      </c>
      <c r="E555" s="7">
        <v>7200</v>
      </c>
      <c r="F555" s="7">
        <v>7400</v>
      </c>
      <c r="G555" s="7">
        <f>'Option source'!B271</f>
        <v>485.45</v>
      </c>
      <c r="H555" s="7">
        <f>'Option source'!B290</f>
        <v>385.82</v>
      </c>
      <c r="I555" s="7">
        <f>'Option source'!B309</f>
        <v>298.68</v>
      </c>
      <c r="J555" s="7">
        <f t="shared" si="56"/>
        <v>12.490000000000009</v>
      </c>
      <c r="K555" s="7">
        <f t="shared" si="57"/>
        <v>200</v>
      </c>
      <c r="L555" s="7">
        <f t="shared" si="58"/>
        <v>187.51</v>
      </c>
      <c r="M555" s="7">
        <f t="shared" si="59"/>
        <v>12.490000000000009</v>
      </c>
      <c r="N555" s="7">
        <f t="shared" si="60"/>
        <v>7012.49</v>
      </c>
      <c r="O555" s="7">
        <f t="shared" si="61"/>
        <v>7387.51</v>
      </c>
      <c r="P555" s="15">
        <f t="shared" si="62"/>
        <v>15.012810248198548</v>
      </c>
      <c r="Q555" s="7">
        <f>J555*'Model inputs'!$B$8</f>
        <v>1249.0000000000009</v>
      </c>
      <c r="R555" s="1" t="s">
        <v>162</v>
      </c>
      <c r="S555" s="1">
        <v>266</v>
      </c>
      <c r="T555" s="1">
        <v>285</v>
      </c>
    </row>
    <row r="556" spans="1:20" ht="21" customHeight="1">
      <c r="A556" s="8">
        <v>46273</v>
      </c>
      <c r="B556" s="1" t="s">
        <v>34</v>
      </c>
      <c r="C556" s="1" t="s">
        <v>90</v>
      </c>
      <c r="D556" s="7">
        <v>7000</v>
      </c>
      <c r="E556" s="7">
        <v>7200</v>
      </c>
      <c r="F556" s="7">
        <v>7400</v>
      </c>
      <c r="G556" s="7">
        <f>'Option source'!B765</f>
        <v>317.07</v>
      </c>
      <c r="H556" s="7">
        <f>'Option source'!B784</f>
        <v>419.99</v>
      </c>
      <c r="I556" s="7">
        <f>'Option source'!B803</f>
        <v>535.47</v>
      </c>
      <c r="J556" s="7">
        <f t="shared" si="56"/>
        <v>12.559999999999945</v>
      </c>
      <c r="K556" s="7">
        <f t="shared" si="57"/>
        <v>200</v>
      </c>
      <c r="L556" s="7">
        <f t="shared" si="58"/>
        <v>187.44000000000005</v>
      </c>
      <c r="M556" s="7">
        <f t="shared" si="59"/>
        <v>12.559999999999945</v>
      </c>
      <c r="N556" s="7">
        <f t="shared" si="60"/>
        <v>7012.5599999999995</v>
      </c>
      <c r="O556" s="7">
        <f t="shared" si="61"/>
        <v>7387.4400000000005</v>
      </c>
      <c r="P556" s="15">
        <f t="shared" si="62"/>
        <v>14.92356687898096</v>
      </c>
      <c r="Q556" s="7">
        <f>J556*'Model inputs'!$B$8</f>
        <v>1255.9999999999945</v>
      </c>
      <c r="R556" s="1" t="s">
        <v>162</v>
      </c>
      <c r="S556" s="1">
        <v>760</v>
      </c>
      <c r="T556" s="1">
        <v>779</v>
      </c>
    </row>
    <row r="557" spans="1:20" ht="21" customHeight="1">
      <c r="A557" s="8">
        <v>46273</v>
      </c>
      <c r="B557" s="1" t="s">
        <v>34</v>
      </c>
      <c r="C557" s="1" t="s">
        <v>87</v>
      </c>
      <c r="D557" s="7">
        <v>6600</v>
      </c>
      <c r="E557" s="7">
        <v>6800</v>
      </c>
      <c r="F557" s="7">
        <v>7000</v>
      </c>
      <c r="G557" s="7">
        <f>'Option source'!B233</f>
        <v>731.04</v>
      </c>
      <c r="H557" s="7">
        <f>'Option source'!B252</f>
        <v>595.26</v>
      </c>
      <c r="I557" s="7">
        <f>'Option source'!B271</f>
        <v>485.45</v>
      </c>
      <c r="J557" s="7">
        <f t="shared" si="56"/>
        <v>25.96999999999997</v>
      </c>
      <c r="K557" s="7">
        <f t="shared" si="57"/>
        <v>200</v>
      </c>
      <c r="L557" s="7">
        <f t="shared" si="58"/>
        <v>174.03000000000003</v>
      </c>
      <c r="M557" s="7">
        <f t="shared" si="59"/>
        <v>25.96999999999997</v>
      </c>
      <c r="N557" s="7">
        <f t="shared" si="60"/>
        <v>6625.97</v>
      </c>
      <c r="O557" s="7">
        <f t="shared" si="61"/>
        <v>6974.03</v>
      </c>
      <c r="P557" s="15">
        <f t="shared" si="62"/>
        <v>6.7011936850211873</v>
      </c>
      <c r="Q557" s="7">
        <f>J557*'Model inputs'!$B$8</f>
        <v>2596.9999999999973</v>
      </c>
      <c r="R557" s="1" t="s">
        <v>162</v>
      </c>
      <c r="S557" s="1">
        <v>228</v>
      </c>
      <c r="T557" s="1">
        <v>247</v>
      </c>
    </row>
    <row r="558" spans="1:20" ht="21" customHeight="1">
      <c r="A558" s="8">
        <v>46273</v>
      </c>
      <c r="B558" s="1" t="s">
        <v>34</v>
      </c>
      <c r="C558" s="1" t="s">
        <v>90</v>
      </c>
      <c r="D558" s="7">
        <v>6600</v>
      </c>
      <c r="E558" s="7">
        <v>6800</v>
      </c>
      <c r="F558" s="7">
        <v>7000</v>
      </c>
      <c r="G558" s="7">
        <f>'Option source'!B727</f>
        <v>164.7</v>
      </c>
      <c r="H558" s="7">
        <f>'Option source'!B746</f>
        <v>224.24</v>
      </c>
      <c r="I558" s="7">
        <f>'Option source'!B765</f>
        <v>317.07</v>
      </c>
      <c r="J558" s="7">
        <f t="shared" si="56"/>
        <v>33.289999999999964</v>
      </c>
      <c r="K558" s="7">
        <f t="shared" si="57"/>
        <v>200</v>
      </c>
      <c r="L558" s="7">
        <f t="shared" si="58"/>
        <v>166.71000000000004</v>
      </c>
      <c r="M558" s="7">
        <f t="shared" si="59"/>
        <v>33.289999999999964</v>
      </c>
      <c r="N558" s="7">
        <f t="shared" si="60"/>
        <v>6633.29</v>
      </c>
      <c r="O558" s="7">
        <f t="shared" si="61"/>
        <v>6966.71</v>
      </c>
      <c r="P558" s="15">
        <f t="shared" si="62"/>
        <v>5.0078101531991654</v>
      </c>
      <c r="Q558" s="7">
        <f>J558*'Model inputs'!$B$8</f>
        <v>3328.9999999999964</v>
      </c>
      <c r="R558" s="1" t="s">
        <v>162</v>
      </c>
      <c r="S558" s="1">
        <v>722</v>
      </c>
      <c r="T558" s="1">
        <v>741</v>
      </c>
    </row>
    <row r="559" spans="1:20" ht="21" customHeight="1">
      <c r="A559" s="8">
        <v>46273</v>
      </c>
      <c r="B559" s="1" t="s">
        <v>34</v>
      </c>
      <c r="C559" s="1" t="s">
        <v>87</v>
      </c>
      <c r="D559" s="7">
        <v>7200</v>
      </c>
      <c r="E559" s="7">
        <v>7400</v>
      </c>
      <c r="F559" s="7">
        <v>7600</v>
      </c>
      <c r="G559" s="7">
        <f>'Option source'!B290</f>
        <v>385.82</v>
      </c>
      <c r="H559" s="7">
        <f>'Option source'!B309</f>
        <v>298.68</v>
      </c>
      <c r="I559" s="7">
        <f>'Option source'!B328</f>
        <v>227.39</v>
      </c>
      <c r="J559" s="7">
        <f t="shared" si="56"/>
        <v>15.849999999999966</v>
      </c>
      <c r="K559" s="7">
        <f t="shared" si="57"/>
        <v>200</v>
      </c>
      <c r="L559" s="7">
        <f t="shared" si="58"/>
        <v>184.15000000000003</v>
      </c>
      <c r="M559" s="7">
        <f t="shared" si="59"/>
        <v>15.849999999999966</v>
      </c>
      <c r="N559" s="7">
        <f t="shared" si="60"/>
        <v>7215.85</v>
      </c>
      <c r="O559" s="7">
        <f t="shared" si="61"/>
        <v>7584.15</v>
      </c>
      <c r="P559" s="15">
        <f t="shared" si="62"/>
        <v>11.618296529968481</v>
      </c>
      <c r="Q559" s="7">
        <f>J559*'Model inputs'!$B$8</f>
        <v>1584.9999999999966</v>
      </c>
      <c r="R559" s="1" t="s">
        <v>162</v>
      </c>
      <c r="S559" s="1">
        <v>285</v>
      </c>
      <c r="T559" s="1">
        <v>304</v>
      </c>
    </row>
    <row r="560" spans="1:20" ht="21" customHeight="1">
      <c r="A560" s="8">
        <v>46273</v>
      </c>
      <c r="B560" s="1" t="s">
        <v>34</v>
      </c>
      <c r="C560" s="1" t="s">
        <v>87</v>
      </c>
      <c r="D560" s="7">
        <v>6400</v>
      </c>
      <c r="E560" s="7">
        <v>6600</v>
      </c>
      <c r="F560" s="7">
        <v>6800</v>
      </c>
      <c r="G560" s="7">
        <f>'Option source'!B214</f>
        <v>900</v>
      </c>
      <c r="H560" s="7">
        <f>'Option source'!B233</f>
        <v>731.04</v>
      </c>
      <c r="I560" s="7">
        <f>'Option source'!B252</f>
        <v>595.26</v>
      </c>
      <c r="J560" s="7">
        <f t="shared" si="56"/>
        <v>33.180000000000064</v>
      </c>
      <c r="K560" s="7">
        <f t="shared" si="57"/>
        <v>200</v>
      </c>
      <c r="L560" s="7">
        <f t="shared" si="58"/>
        <v>166.81999999999994</v>
      </c>
      <c r="M560" s="7">
        <f t="shared" si="59"/>
        <v>33.180000000000064</v>
      </c>
      <c r="N560" s="7">
        <f t="shared" si="60"/>
        <v>6433.18</v>
      </c>
      <c r="O560" s="7">
        <f t="shared" si="61"/>
        <v>6766.82</v>
      </c>
      <c r="P560" s="15">
        <f t="shared" si="62"/>
        <v>5.0277275467148765</v>
      </c>
      <c r="Q560" s="7">
        <f>J560*'Model inputs'!$B$8</f>
        <v>3318.0000000000064</v>
      </c>
      <c r="R560" s="1" t="s">
        <v>162</v>
      </c>
      <c r="S560" s="1">
        <v>209</v>
      </c>
      <c r="T560" s="1">
        <v>228</v>
      </c>
    </row>
    <row r="561" spans="1:20" ht="21" customHeight="1">
      <c r="A561" s="8">
        <v>46273</v>
      </c>
      <c r="B561" s="1" t="s">
        <v>34</v>
      </c>
      <c r="C561" s="1" t="s">
        <v>90</v>
      </c>
      <c r="D561" s="7">
        <v>6400</v>
      </c>
      <c r="E561" s="7">
        <v>6600</v>
      </c>
      <c r="F561" s="7">
        <v>6800</v>
      </c>
      <c r="G561" s="7">
        <f>'Option source'!B708</f>
        <v>109.53</v>
      </c>
      <c r="H561" s="7">
        <f>'Option source'!B727</f>
        <v>164.7</v>
      </c>
      <c r="I561" s="7">
        <f>'Option source'!B746</f>
        <v>224.24</v>
      </c>
      <c r="J561" s="7">
        <f t="shared" si="56"/>
        <v>4.370000000000033</v>
      </c>
      <c r="K561" s="7">
        <f t="shared" si="57"/>
        <v>200</v>
      </c>
      <c r="L561" s="7">
        <f t="shared" si="58"/>
        <v>195.62999999999997</v>
      </c>
      <c r="M561" s="7">
        <f t="shared" si="59"/>
        <v>4.370000000000033</v>
      </c>
      <c r="N561" s="7">
        <f t="shared" si="60"/>
        <v>6404.37</v>
      </c>
      <c r="O561" s="7">
        <f t="shared" si="61"/>
        <v>6795.63</v>
      </c>
      <c r="P561" s="15">
        <f t="shared" si="62"/>
        <v>44.766590389015676</v>
      </c>
      <c r="Q561" s="7">
        <f>J561*'Model inputs'!$B$8</f>
        <v>437.0000000000033</v>
      </c>
      <c r="R561" s="1" t="s">
        <v>162</v>
      </c>
      <c r="S561" s="1">
        <v>703</v>
      </c>
      <c r="T561" s="1">
        <v>722</v>
      </c>
    </row>
    <row r="562" spans="1:20" ht="21" customHeight="1">
      <c r="A562" s="8">
        <v>46273</v>
      </c>
      <c r="B562" s="1" t="s">
        <v>34</v>
      </c>
      <c r="C562" s="1" t="s">
        <v>87</v>
      </c>
      <c r="D562" s="7">
        <v>7400</v>
      </c>
      <c r="E562" s="7">
        <v>7600</v>
      </c>
      <c r="F562" s="7">
        <v>7800</v>
      </c>
      <c r="G562" s="7">
        <f>'Option source'!B309</f>
        <v>298.68</v>
      </c>
      <c r="H562" s="7">
        <f>'Option source'!B328</f>
        <v>227.39</v>
      </c>
      <c r="I562" s="7">
        <f>'Option source'!B347</f>
        <v>174.8</v>
      </c>
      <c r="J562" s="7">
        <f t="shared" si="56"/>
        <v>18.700000000000045</v>
      </c>
      <c r="K562" s="7">
        <f t="shared" si="57"/>
        <v>200</v>
      </c>
      <c r="L562" s="7">
        <f t="shared" si="58"/>
        <v>181.29999999999995</v>
      </c>
      <c r="M562" s="7">
        <f t="shared" si="59"/>
        <v>18.700000000000045</v>
      </c>
      <c r="N562" s="7">
        <f t="shared" si="60"/>
        <v>7418.7</v>
      </c>
      <c r="O562" s="7">
        <f t="shared" si="61"/>
        <v>7781.3</v>
      </c>
      <c r="P562" s="15">
        <f t="shared" si="62"/>
        <v>9.6951871657753745</v>
      </c>
      <c r="Q562" s="7">
        <f>J562*'Model inputs'!$B$8</f>
        <v>1870.0000000000045</v>
      </c>
      <c r="R562" s="1" t="s">
        <v>162</v>
      </c>
      <c r="S562" s="1">
        <v>304</v>
      </c>
      <c r="T562" s="1">
        <v>323</v>
      </c>
    </row>
    <row r="563" spans="1:20" ht="21" customHeight="1">
      <c r="A563" s="8">
        <v>46273</v>
      </c>
      <c r="B563" s="1" t="s">
        <v>34</v>
      </c>
      <c r="C563" s="1" t="s">
        <v>90</v>
      </c>
      <c r="D563" s="7">
        <v>6200</v>
      </c>
      <c r="E563" s="7">
        <v>6400</v>
      </c>
      <c r="F563" s="7">
        <v>6600</v>
      </c>
      <c r="G563" s="7">
        <f>'Option source'!B689</f>
        <v>68.23</v>
      </c>
      <c r="H563" s="7">
        <f>'Option source'!B708</f>
        <v>109.53</v>
      </c>
      <c r="I563" s="7">
        <f>'Option source'!B727</f>
        <v>164.7</v>
      </c>
      <c r="J563" s="7">
        <f t="shared" si="56"/>
        <v>13.870000000000005</v>
      </c>
      <c r="K563" s="7">
        <f t="shared" si="57"/>
        <v>200</v>
      </c>
      <c r="L563" s="7">
        <f t="shared" si="58"/>
        <v>186.13</v>
      </c>
      <c r="M563" s="7">
        <f t="shared" si="59"/>
        <v>13.870000000000005</v>
      </c>
      <c r="N563" s="7">
        <f t="shared" si="60"/>
        <v>6213.87</v>
      </c>
      <c r="O563" s="7">
        <f t="shared" si="61"/>
        <v>6586.13</v>
      </c>
      <c r="P563" s="15">
        <f t="shared" si="62"/>
        <v>13.419610670511892</v>
      </c>
      <c r="Q563" s="7">
        <f>J563*'Model inputs'!$B$8</f>
        <v>1387.0000000000005</v>
      </c>
      <c r="R563" s="1" t="s">
        <v>162</v>
      </c>
      <c r="S563" s="1">
        <v>684</v>
      </c>
      <c r="T563" s="1">
        <v>703</v>
      </c>
    </row>
    <row r="564" spans="1:20" ht="21" customHeight="1">
      <c r="A564" s="8">
        <v>46273</v>
      </c>
      <c r="B564" s="1" t="s">
        <v>34</v>
      </c>
      <c r="C564" s="1" t="s">
        <v>87</v>
      </c>
      <c r="D564" s="7">
        <v>7600</v>
      </c>
      <c r="E564" s="7">
        <v>7800</v>
      </c>
      <c r="F564" s="7">
        <v>8000</v>
      </c>
      <c r="G564" s="7">
        <f>'Option source'!B328</f>
        <v>227.39</v>
      </c>
      <c r="H564" s="7">
        <f>'Option source'!B347</f>
        <v>174.8</v>
      </c>
      <c r="I564" s="7">
        <f>'Option source'!B366</f>
        <v>128.68</v>
      </c>
      <c r="J564" s="7">
        <f t="shared" si="56"/>
        <v>6.4699999999999704</v>
      </c>
      <c r="K564" s="7">
        <f t="shared" si="57"/>
        <v>200</v>
      </c>
      <c r="L564" s="7">
        <f t="shared" si="58"/>
        <v>193.53000000000003</v>
      </c>
      <c r="M564" s="7">
        <f t="shared" si="59"/>
        <v>6.4699999999999704</v>
      </c>
      <c r="N564" s="7">
        <f t="shared" si="60"/>
        <v>7606.47</v>
      </c>
      <c r="O564" s="7">
        <f t="shared" si="61"/>
        <v>7993.53</v>
      </c>
      <c r="P564" s="15">
        <f t="shared" si="62"/>
        <v>29.911901081916678</v>
      </c>
      <c r="Q564" s="7">
        <f>J564*'Model inputs'!$B$8</f>
        <v>646.99999999999704</v>
      </c>
      <c r="R564" s="1" t="s">
        <v>162</v>
      </c>
      <c r="S564" s="1">
        <v>323</v>
      </c>
      <c r="T564" s="1">
        <v>342</v>
      </c>
    </row>
    <row r="565" spans="1:20" ht="21" customHeight="1">
      <c r="A565" s="8">
        <v>46273</v>
      </c>
      <c r="B565" s="1" t="s">
        <v>34</v>
      </c>
      <c r="C565" s="1" t="s">
        <v>90</v>
      </c>
      <c r="D565" s="7">
        <v>6000</v>
      </c>
      <c r="E565" s="7">
        <v>6200</v>
      </c>
      <c r="F565" s="7">
        <v>6400</v>
      </c>
      <c r="G565" s="7">
        <f>'Option source'!B670</f>
        <v>42.06</v>
      </c>
      <c r="H565" s="7">
        <f>'Option source'!B689</f>
        <v>68.23</v>
      </c>
      <c r="I565" s="7">
        <f>'Option source'!B708</f>
        <v>109.53</v>
      </c>
      <c r="J565" s="7">
        <f t="shared" si="56"/>
        <v>15.129999999999995</v>
      </c>
      <c r="K565" s="7">
        <f t="shared" si="57"/>
        <v>200</v>
      </c>
      <c r="L565" s="7">
        <f t="shared" si="58"/>
        <v>184.87</v>
      </c>
      <c r="M565" s="7">
        <f t="shared" si="59"/>
        <v>15.129999999999995</v>
      </c>
      <c r="N565" s="7">
        <f t="shared" si="60"/>
        <v>6015.13</v>
      </c>
      <c r="O565" s="7">
        <f t="shared" si="61"/>
        <v>6384.87</v>
      </c>
      <c r="P565" s="15">
        <f t="shared" si="62"/>
        <v>12.218770654329152</v>
      </c>
      <c r="Q565" s="7">
        <f>J565*'Model inputs'!$B$8</f>
        <v>1512.9999999999995</v>
      </c>
      <c r="R565" s="1" t="s">
        <v>162</v>
      </c>
      <c r="S565" s="1">
        <v>665</v>
      </c>
      <c r="T565" s="1">
        <v>684</v>
      </c>
    </row>
    <row r="566" spans="1:20" ht="21" customHeight="1">
      <c r="A566" s="8">
        <v>46273</v>
      </c>
      <c r="B566" s="1" t="s">
        <v>34</v>
      </c>
      <c r="C566" s="1" t="s">
        <v>90</v>
      </c>
      <c r="D566" s="7">
        <v>5800</v>
      </c>
      <c r="E566" s="7">
        <v>6000</v>
      </c>
      <c r="F566" s="7">
        <v>6200</v>
      </c>
      <c r="G566" s="7">
        <f>'Option source'!B651</f>
        <v>23.9</v>
      </c>
      <c r="H566" s="7">
        <f>'Option source'!B670</f>
        <v>42.06</v>
      </c>
      <c r="I566" s="7">
        <f>'Option source'!B689</f>
        <v>68.23</v>
      </c>
      <c r="J566" s="7">
        <f t="shared" si="56"/>
        <v>8.009999999999998</v>
      </c>
      <c r="K566" s="7">
        <f t="shared" si="57"/>
        <v>200</v>
      </c>
      <c r="L566" s="7">
        <f t="shared" si="58"/>
        <v>191.99</v>
      </c>
      <c r="M566" s="7">
        <f t="shared" si="59"/>
        <v>8.009999999999998</v>
      </c>
      <c r="N566" s="7">
        <f t="shared" si="60"/>
        <v>5808.01</v>
      </c>
      <c r="O566" s="7">
        <f t="shared" si="61"/>
        <v>6191.99</v>
      </c>
      <c r="P566" s="15">
        <f t="shared" si="62"/>
        <v>23.968789013732842</v>
      </c>
      <c r="Q566" s="7">
        <f>J566*'Model inputs'!$B$8</f>
        <v>800.99999999999977</v>
      </c>
      <c r="R566" s="1" t="s">
        <v>162</v>
      </c>
      <c r="S566" s="1">
        <v>646</v>
      </c>
      <c r="T566" s="1">
        <v>665</v>
      </c>
    </row>
    <row r="567" spans="1:20" ht="21" customHeight="1">
      <c r="A567" s="8">
        <v>46273</v>
      </c>
      <c r="B567" s="1" t="s">
        <v>34</v>
      </c>
      <c r="C567" s="1" t="s">
        <v>90</v>
      </c>
      <c r="D567" s="7">
        <v>5600</v>
      </c>
      <c r="E567" s="7">
        <v>5800</v>
      </c>
      <c r="F567" s="7">
        <v>6000</v>
      </c>
      <c r="G567" s="7">
        <f>'Option source'!B632</f>
        <v>13.29</v>
      </c>
      <c r="H567" s="7">
        <f>'Option source'!B651</f>
        <v>23.9</v>
      </c>
      <c r="I567" s="7">
        <f>'Option source'!B670</f>
        <v>42.06</v>
      </c>
      <c r="J567" s="7">
        <f t="shared" si="56"/>
        <v>7.5500000000000043</v>
      </c>
      <c r="K567" s="7">
        <f t="shared" si="57"/>
        <v>200</v>
      </c>
      <c r="L567" s="7">
        <f t="shared" si="58"/>
        <v>192.45</v>
      </c>
      <c r="M567" s="7">
        <f t="shared" si="59"/>
        <v>7.5500000000000043</v>
      </c>
      <c r="N567" s="7">
        <f t="shared" si="60"/>
        <v>5607.55</v>
      </c>
      <c r="O567" s="7">
        <f t="shared" si="61"/>
        <v>5992.45</v>
      </c>
      <c r="P567" s="15">
        <f t="shared" si="62"/>
        <v>25.490066225165545</v>
      </c>
      <c r="Q567" s="7">
        <f>J567*'Model inputs'!$B$8</f>
        <v>755.00000000000045</v>
      </c>
      <c r="R567" s="1" t="s">
        <v>162</v>
      </c>
      <c r="S567" s="1">
        <v>627</v>
      </c>
      <c r="T567" s="1">
        <v>646</v>
      </c>
    </row>
    <row r="568" spans="1:20" ht="21" customHeight="1">
      <c r="A568" s="8">
        <v>46273</v>
      </c>
      <c r="B568" s="1" t="s">
        <v>34</v>
      </c>
      <c r="C568" s="1" t="s">
        <v>87</v>
      </c>
      <c r="D568" s="7">
        <v>8000</v>
      </c>
      <c r="E568" s="7">
        <v>8300</v>
      </c>
      <c r="F568" s="7">
        <v>8600</v>
      </c>
      <c r="G568" s="7">
        <f>'Option source'!B366</f>
        <v>128.68</v>
      </c>
      <c r="H568" s="7">
        <f>'Option source'!B385</f>
        <v>81.94</v>
      </c>
      <c r="I568" s="7">
        <f>'Option source'!B404</f>
        <v>51.36</v>
      </c>
      <c r="J568" s="7">
        <f t="shared" si="56"/>
        <v>16.160000000000011</v>
      </c>
      <c r="K568" s="7">
        <f t="shared" si="57"/>
        <v>300</v>
      </c>
      <c r="L568" s="7">
        <f t="shared" si="58"/>
        <v>283.83999999999997</v>
      </c>
      <c r="M568" s="7">
        <f t="shared" si="59"/>
        <v>16.160000000000011</v>
      </c>
      <c r="N568" s="7">
        <f t="shared" si="60"/>
        <v>8016.16</v>
      </c>
      <c r="O568" s="7">
        <f t="shared" si="61"/>
        <v>8583.84</v>
      </c>
      <c r="P568" s="15">
        <f t="shared" si="62"/>
        <v>17.56435643564355</v>
      </c>
      <c r="Q568" s="7">
        <f>J568*'Model inputs'!$B$8</f>
        <v>1616.0000000000011</v>
      </c>
      <c r="R568" s="1" t="s">
        <v>162</v>
      </c>
      <c r="S568" s="1">
        <v>361</v>
      </c>
      <c r="T568" s="1">
        <v>380</v>
      </c>
    </row>
    <row r="569" spans="1:20" ht="21" customHeight="1">
      <c r="A569" s="8">
        <v>46273</v>
      </c>
      <c r="B569" s="1" t="s">
        <v>34</v>
      </c>
      <c r="C569" s="1" t="s">
        <v>90</v>
      </c>
      <c r="D569" s="7">
        <v>5400</v>
      </c>
      <c r="E569" s="7">
        <v>5600</v>
      </c>
      <c r="F569" s="7">
        <v>5800</v>
      </c>
      <c r="G569" s="7">
        <f>'Option source'!B613</f>
        <v>7.99</v>
      </c>
      <c r="H569" s="7">
        <f>'Option source'!B632</f>
        <v>13.29</v>
      </c>
      <c r="I569" s="7">
        <f>'Option source'!B651</f>
        <v>23.9</v>
      </c>
      <c r="J569" s="7">
        <f t="shared" si="56"/>
        <v>5.3100000000000023</v>
      </c>
      <c r="K569" s="7">
        <f t="shared" si="57"/>
        <v>200</v>
      </c>
      <c r="L569" s="7">
        <f t="shared" si="58"/>
        <v>194.69</v>
      </c>
      <c r="M569" s="7">
        <f t="shared" si="59"/>
        <v>5.3100000000000023</v>
      </c>
      <c r="N569" s="7">
        <f t="shared" si="60"/>
        <v>5405.31</v>
      </c>
      <c r="O569" s="7">
        <f t="shared" si="61"/>
        <v>5794.69</v>
      </c>
      <c r="P569" s="15">
        <f t="shared" si="62"/>
        <v>36.664783427495273</v>
      </c>
      <c r="Q569" s="7">
        <f>J569*'Model inputs'!$B$8</f>
        <v>531.00000000000023</v>
      </c>
      <c r="R569" s="1" t="s">
        <v>162</v>
      </c>
      <c r="S569" s="1">
        <v>608</v>
      </c>
      <c r="T569" s="1">
        <v>627</v>
      </c>
    </row>
    <row r="570" spans="1:20" ht="21" customHeight="1">
      <c r="A570" s="8">
        <v>46273</v>
      </c>
      <c r="B570" s="1" t="s">
        <v>34</v>
      </c>
      <c r="C570" s="1" t="s">
        <v>87</v>
      </c>
      <c r="D570" s="7">
        <v>8300</v>
      </c>
      <c r="E570" s="7">
        <v>8600</v>
      </c>
      <c r="F570" s="7">
        <v>8900</v>
      </c>
      <c r="G570" s="7">
        <f>'Option source'!B385</f>
        <v>81.94</v>
      </c>
      <c r="H570" s="7">
        <f>'Option source'!B404</f>
        <v>51.36</v>
      </c>
      <c r="I570" s="7">
        <f>'Option source'!B423</f>
        <v>29.55</v>
      </c>
      <c r="J570" s="7">
        <f t="shared" si="56"/>
        <v>8.77</v>
      </c>
      <c r="K570" s="7">
        <f t="shared" si="57"/>
        <v>300</v>
      </c>
      <c r="L570" s="7">
        <f t="shared" si="58"/>
        <v>291.23</v>
      </c>
      <c r="M570" s="7">
        <f t="shared" si="59"/>
        <v>8.77</v>
      </c>
      <c r="N570" s="7">
        <f t="shared" si="60"/>
        <v>8308.77</v>
      </c>
      <c r="O570" s="7">
        <f t="shared" si="61"/>
        <v>8891.23</v>
      </c>
      <c r="P570" s="15">
        <f t="shared" si="62"/>
        <v>33.207525655644247</v>
      </c>
      <c r="Q570" s="7">
        <f>J570*'Model inputs'!$B$8</f>
        <v>877</v>
      </c>
      <c r="R570" s="1" t="s">
        <v>162</v>
      </c>
      <c r="S570" s="1">
        <v>380</v>
      </c>
      <c r="T570" s="1">
        <v>399</v>
      </c>
    </row>
    <row r="571" spans="1:20" ht="21" customHeight="1">
      <c r="A571" s="8">
        <v>46273</v>
      </c>
      <c r="B571" s="1" t="s">
        <v>34</v>
      </c>
      <c r="C571" s="1" t="s">
        <v>90</v>
      </c>
      <c r="D571" s="7">
        <v>5200</v>
      </c>
      <c r="E571" s="7">
        <v>5400</v>
      </c>
      <c r="F571" s="7">
        <v>5600</v>
      </c>
      <c r="G571" s="7">
        <f>'Option source'!B594</f>
        <v>4</v>
      </c>
      <c r="H571" s="7">
        <f>'Option source'!B613</f>
        <v>7.99</v>
      </c>
      <c r="I571" s="7">
        <f>'Option source'!B632</f>
        <v>13.29</v>
      </c>
      <c r="J571" s="7">
        <f t="shared" si="56"/>
        <v>1.3099999999999987</v>
      </c>
      <c r="K571" s="7">
        <f t="shared" si="57"/>
        <v>200</v>
      </c>
      <c r="L571" s="7">
        <f t="shared" si="58"/>
        <v>198.69</v>
      </c>
      <c r="M571" s="7">
        <f t="shared" si="59"/>
        <v>1.3099999999999987</v>
      </c>
      <c r="N571" s="7">
        <f t="shared" si="60"/>
        <v>5201.3100000000004</v>
      </c>
      <c r="O571" s="7">
        <f t="shared" si="61"/>
        <v>5598.69</v>
      </c>
      <c r="P571" s="15">
        <f t="shared" si="62"/>
        <v>151.67175572519099</v>
      </c>
      <c r="Q571" s="7">
        <f>J571*'Model inputs'!$B$8</f>
        <v>130.99999999999989</v>
      </c>
      <c r="R571" s="1" t="s">
        <v>162</v>
      </c>
      <c r="S571" s="1">
        <v>589</v>
      </c>
      <c r="T571" s="1">
        <v>608</v>
      </c>
    </row>
    <row r="572" spans="1:20" ht="21" customHeight="1">
      <c r="A572" s="8">
        <v>46273</v>
      </c>
      <c r="B572" s="1" t="s">
        <v>34</v>
      </c>
      <c r="C572" s="1" t="s">
        <v>90</v>
      </c>
      <c r="D572" s="7">
        <v>5000</v>
      </c>
      <c r="E572" s="7">
        <v>5200</v>
      </c>
      <c r="F572" s="7">
        <v>5400</v>
      </c>
      <c r="G572" s="7">
        <f>'Option source'!B575</f>
        <v>2.3199999999999998</v>
      </c>
      <c r="H572" s="7">
        <f>'Option source'!B594</f>
        <v>4</v>
      </c>
      <c r="I572" s="7">
        <f>'Option source'!B613</f>
        <v>7.99</v>
      </c>
      <c r="J572" s="7">
        <f t="shared" si="56"/>
        <v>2.3100000000000005</v>
      </c>
      <c r="K572" s="7">
        <f t="shared" si="57"/>
        <v>200</v>
      </c>
      <c r="L572" s="7">
        <f t="shared" si="58"/>
        <v>197.69</v>
      </c>
      <c r="M572" s="7">
        <f t="shared" si="59"/>
        <v>2.3100000000000005</v>
      </c>
      <c r="N572" s="7">
        <f t="shared" si="60"/>
        <v>5002.3100000000004</v>
      </c>
      <c r="O572" s="7">
        <f t="shared" si="61"/>
        <v>5397.69</v>
      </c>
      <c r="P572" s="15">
        <f t="shared" si="62"/>
        <v>85.580086580086558</v>
      </c>
      <c r="Q572" s="7">
        <f>J572*'Model inputs'!$B$8</f>
        <v>231.00000000000006</v>
      </c>
      <c r="R572" s="1" t="s">
        <v>162</v>
      </c>
      <c r="S572" s="1">
        <v>570</v>
      </c>
      <c r="T572" s="1">
        <v>589</v>
      </c>
    </row>
    <row r="573" spans="1:20" ht="21" customHeight="1">
      <c r="A573" s="8">
        <v>46273</v>
      </c>
      <c r="B573" s="1" t="s">
        <v>34</v>
      </c>
      <c r="C573" s="1" t="s">
        <v>87</v>
      </c>
      <c r="D573" s="7">
        <v>8600</v>
      </c>
      <c r="E573" s="7">
        <v>8900</v>
      </c>
      <c r="F573" s="7">
        <v>9200</v>
      </c>
      <c r="G573" s="7">
        <f>'Option source'!B404</f>
        <v>51.36</v>
      </c>
      <c r="H573" s="7">
        <f>'Option source'!B423</f>
        <v>29.55</v>
      </c>
      <c r="I573" s="7">
        <f>'Option source'!B442</f>
        <v>17.97</v>
      </c>
      <c r="J573" s="7">
        <f t="shared" si="56"/>
        <v>10.229999999999997</v>
      </c>
      <c r="K573" s="7">
        <f t="shared" si="57"/>
        <v>300</v>
      </c>
      <c r="L573" s="7">
        <f t="shared" si="58"/>
        <v>289.77</v>
      </c>
      <c r="M573" s="7">
        <f t="shared" si="59"/>
        <v>10.229999999999997</v>
      </c>
      <c r="N573" s="7">
        <f t="shared" si="60"/>
        <v>8610.23</v>
      </c>
      <c r="O573" s="7">
        <f t="shared" si="61"/>
        <v>9189.77</v>
      </c>
      <c r="P573" s="15">
        <f t="shared" si="62"/>
        <v>28.325513196480944</v>
      </c>
      <c r="Q573" s="7">
        <f>J573*'Model inputs'!$B$8</f>
        <v>1022.9999999999997</v>
      </c>
      <c r="R573" s="1" t="s">
        <v>162</v>
      </c>
      <c r="S573" s="1">
        <v>399</v>
      </c>
      <c r="T573" s="1">
        <v>418</v>
      </c>
    </row>
    <row r="574" spans="1:20" ht="21" customHeight="1">
      <c r="A574" s="8">
        <v>46273</v>
      </c>
      <c r="B574" s="1" t="s">
        <v>34</v>
      </c>
      <c r="C574" s="1" t="s">
        <v>90</v>
      </c>
      <c r="D574" s="7">
        <v>4800</v>
      </c>
      <c r="E574" s="7">
        <v>5000</v>
      </c>
      <c r="F574" s="7">
        <v>5200</v>
      </c>
      <c r="G574" s="7">
        <f>'Option source'!B556</f>
        <v>1.68</v>
      </c>
      <c r="H574" s="7">
        <f>'Option source'!B575</f>
        <v>2.3199999999999998</v>
      </c>
      <c r="I574" s="7">
        <f>'Option source'!B594</f>
        <v>4</v>
      </c>
      <c r="J574" s="7">
        <f t="shared" si="56"/>
        <v>1.04</v>
      </c>
      <c r="K574" s="7">
        <f t="shared" si="57"/>
        <v>200</v>
      </c>
      <c r="L574" s="7">
        <f t="shared" si="58"/>
        <v>198.96</v>
      </c>
      <c r="M574" s="7">
        <f t="shared" si="59"/>
        <v>1.04</v>
      </c>
      <c r="N574" s="7">
        <f t="shared" si="60"/>
        <v>4801.04</v>
      </c>
      <c r="O574" s="7">
        <f t="shared" si="61"/>
        <v>5198.96</v>
      </c>
      <c r="P574" s="15">
        <f t="shared" si="62"/>
        <v>191.30769230769232</v>
      </c>
      <c r="Q574" s="7">
        <f>J574*'Model inputs'!$B$8</f>
        <v>104</v>
      </c>
      <c r="R574" s="1" t="s">
        <v>162</v>
      </c>
      <c r="S574" s="1">
        <v>551</v>
      </c>
      <c r="T574" s="1">
        <v>570</v>
      </c>
    </row>
    <row r="575" spans="1:20" ht="21" customHeight="1">
      <c r="A575" s="8">
        <v>46273</v>
      </c>
      <c r="B575" s="1" t="s">
        <v>34</v>
      </c>
      <c r="C575" s="1" t="s">
        <v>87</v>
      </c>
      <c r="D575" s="7">
        <v>8900</v>
      </c>
      <c r="E575" s="7">
        <v>9200</v>
      </c>
      <c r="F575" s="7">
        <v>9500</v>
      </c>
      <c r="G575" s="7">
        <f>'Option source'!B423</f>
        <v>29.55</v>
      </c>
      <c r="H575" s="7">
        <f>'Option source'!B442</f>
        <v>17.97</v>
      </c>
      <c r="I575" s="7">
        <f>'Option source'!B461</f>
        <v>11.36</v>
      </c>
      <c r="J575" s="7">
        <f t="shared" si="56"/>
        <v>4.9700000000000024</v>
      </c>
      <c r="K575" s="7">
        <f t="shared" si="57"/>
        <v>300</v>
      </c>
      <c r="L575" s="7">
        <f t="shared" si="58"/>
        <v>295.02999999999997</v>
      </c>
      <c r="M575" s="7">
        <f t="shared" si="59"/>
        <v>4.9700000000000024</v>
      </c>
      <c r="N575" s="7">
        <f t="shared" si="60"/>
        <v>8904.9699999999993</v>
      </c>
      <c r="O575" s="7">
        <f t="shared" si="61"/>
        <v>9495.0300000000007</v>
      </c>
      <c r="P575" s="15">
        <f t="shared" si="62"/>
        <v>59.362173038229344</v>
      </c>
      <c r="Q575" s="7">
        <f>J575*'Model inputs'!$B$8</f>
        <v>497.00000000000023</v>
      </c>
      <c r="R575" s="1" t="s">
        <v>162</v>
      </c>
      <c r="S575" s="1">
        <v>418</v>
      </c>
      <c r="T575" s="1">
        <v>437</v>
      </c>
    </row>
    <row r="576" spans="1:20" ht="21" customHeight="1">
      <c r="A576" s="8">
        <v>46273</v>
      </c>
      <c r="B576" s="1" t="s">
        <v>34</v>
      </c>
      <c r="C576" s="1" t="s">
        <v>90</v>
      </c>
      <c r="D576" s="7">
        <v>4600</v>
      </c>
      <c r="E576" s="7">
        <v>4800</v>
      </c>
      <c r="F576" s="7">
        <v>5000</v>
      </c>
      <c r="G576" s="7">
        <f>'Option source'!B537</f>
        <v>1.45</v>
      </c>
      <c r="H576" s="7">
        <f>'Option source'!B556</f>
        <v>1.68</v>
      </c>
      <c r="I576" s="7">
        <f>'Option source'!B575</f>
        <v>2.3199999999999998</v>
      </c>
      <c r="J576" s="7">
        <f t="shared" si="56"/>
        <v>0.40999999999999992</v>
      </c>
      <c r="K576" s="7">
        <f t="shared" si="57"/>
        <v>200</v>
      </c>
      <c r="L576" s="7">
        <f t="shared" si="58"/>
        <v>199.59</v>
      </c>
      <c r="M576" s="7">
        <f t="shared" si="59"/>
        <v>0.40999999999999992</v>
      </c>
      <c r="N576" s="7">
        <f t="shared" si="60"/>
        <v>4600.41</v>
      </c>
      <c r="O576" s="7">
        <f t="shared" si="61"/>
        <v>4999.59</v>
      </c>
      <c r="P576" s="15">
        <f t="shared" si="62"/>
        <v>486.80487804878061</v>
      </c>
      <c r="Q576" s="7">
        <f>J576*'Model inputs'!$B$8</f>
        <v>40.999999999999993</v>
      </c>
      <c r="R576" s="1" t="s">
        <v>162</v>
      </c>
      <c r="S576" s="1">
        <v>532</v>
      </c>
      <c r="T576" s="1">
        <v>551</v>
      </c>
    </row>
    <row r="577" spans="1:20" ht="21" customHeight="1">
      <c r="A577" s="8">
        <v>46273</v>
      </c>
      <c r="B577" s="1" t="s">
        <v>34</v>
      </c>
      <c r="C577" s="1" t="s">
        <v>90</v>
      </c>
      <c r="D577" s="7">
        <v>4200</v>
      </c>
      <c r="E577" s="7">
        <v>4400</v>
      </c>
      <c r="F577" s="7">
        <v>4600</v>
      </c>
      <c r="G577" s="7">
        <f>'Option source'!B499</f>
        <v>0.98</v>
      </c>
      <c r="H577" s="7">
        <f>'Option source'!B518</f>
        <v>1.0900000000000001</v>
      </c>
      <c r="I577" s="7">
        <f>'Option source'!B537</f>
        <v>1.45</v>
      </c>
      <c r="J577" s="7">
        <f t="shared" si="56"/>
        <v>0.24999999999999978</v>
      </c>
      <c r="K577" s="7">
        <f t="shared" si="57"/>
        <v>200</v>
      </c>
      <c r="L577" s="7">
        <f t="shared" si="58"/>
        <v>199.75</v>
      </c>
      <c r="M577" s="7">
        <f t="shared" si="59"/>
        <v>0.24999999999999978</v>
      </c>
      <c r="N577" s="7">
        <f t="shared" si="60"/>
        <v>4200.25</v>
      </c>
      <c r="O577" s="7">
        <f t="shared" si="61"/>
        <v>4599.75</v>
      </c>
      <c r="P577" s="15">
        <f t="shared" si="62"/>
        <v>799.00000000000068</v>
      </c>
      <c r="Q577" s="7">
        <f>J577*'Model inputs'!$B$8</f>
        <v>24.999999999999979</v>
      </c>
      <c r="R577" s="1" t="s">
        <v>162</v>
      </c>
      <c r="S577" s="1">
        <v>494</v>
      </c>
      <c r="T577" s="1">
        <v>513</v>
      </c>
    </row>
    <row r="578" spans="1:20" ht="21" customHeight="1">
      <c r="A578" s="8">
        <v>46273</v>
      </c>
      <c r="B578" s="1" t="s">
        <v>34</v>
      </c>
      <c r="C578" s="1" t="s">
        <v>90</v>
      </c>
      <c r="D578" s="7">
        <v>7200</v>
      </c>
      <c r="E578" s="7">
        <v>7400</v>
      </c>
      <c r="F578" s="7">
        <v>7600</v>
      </c>
      <c r="G578" s="7">
        <f>'Option source'!B784</f>
        <v>419.99</v>
      </c>
      <c r="H578" s="7">
        <f>'Option source'!B803</f>
        <v>535.47</v>
      </c>
      <c r="I578" s="7">
        <f>'Option source'!B822</f>
        <v>643.01</v>
      </c>
      <c r="J578" s="7">
        <f t="shared" si="56"/>
        <v>-7.9400000000000546</v>
      </c>
      <c r="K578" s="7">
        <f t="shared" si="57"/>
        <v>200</v>
      </c>
      <c r="L578" s="7">
        <f t="shared" si="58"/>
        <v>207.94000000000005</v>
      </c>
      <c r="M578" s="7">
        <f t="shared" si="59"/>
        <v>0</v>
      </c>
      <c r="N578" s="7" t="str">
        <f t="shared" si="60"/>
        <v>n.a.</v>
      </c>
      <c r="O578" s="7" t="str">
        <f t="shared" si="61"/>
        <v>n.a.</v>
      </c>
      <c r="P578" s="15" t="str">
        <f t="shared" si="62"/>
        <v>n.a.</v>
      </c>
      <c r="Q578" s="7">
        <f>J578*'Model inputs'!$B$8</f>
        <v>-794.00000000000546</v>
      </c>
      <c r="R578" s="1" t="s">
        <v>163</v>
      </c>
      <c r="S578" s="1">
        <v>779</v>
      </c>
      <c r="T578" s="1">
        <v>798</v>
      </c>
    </row>
    <row r="579" spans="1:20" ht="21" customHeight="1">
      <c r="A579" s="8">
        <v>46273</v>
      </c>
      <c r="B579" s="1" t="s">
        <v>34</v>
      </c>
      <c r="C579" s="1" t="s">
        <v>90</v>
      </c>
      <c r="D579" s="7">
        <v>7400</v>
      </c>
      <c r="E579" s="7">
        <v>7600</v>
      </c>
      <c r="F579" s="7">
        <v>7800</v>
      </c>
      <c r="G579" s="7">
        <f>'Option source'!B803</f>
        <v>535.47</v>
      </c>
      <c r="H579" s="7">
        <f>'Option source'!B822</f>
        <v>643.01</v>
      </c>
      <c r="I579" s="7">
        <f>'Option source'!B841</f>
        <v>780</v>
      </c>
      <c r="J579" s="7">
        <f t="shared" si="56"/>
        <v>29.450000000000045</v>
      </c>
      <c r="K579" s="7">
        <f t="shared" si="57"/>
        <v>200</v>
      </c>
      <c r="L579" s="7">
        <f t="shared" si="58"/>
        <v>170.54999999999995</v>
      </c>
      <c r="M579" s="7">
        <f t="shared" si="59"/>
        <v>29.450000000000045</v>
      </c>
      <c r="N579" s="7">
        <f t="shared" si="60"/>
        <v>7429.45</v>
      </c>
      <c r="O579" s="7">
        <f t="shared" si="61"/>
        <v>7770.55</v>
      </c>
      <c r="P579" s="15">
        <f t="shared" si="62"/>
        <v>5.7911714770797857</v>
      </c>
      <c r="Q579" s="7">
        <f>J579*'Model inputs'!$B$8</f>
        <v>2945.0000000000045</v>
      </c>
      <c r="R579" s="1" t="s">
        <v>164</v>
      </c>
      <c r="S579" s="1">
        <v>798</v>
      </c>
      <c r="T579" s="1">
        <v>817</v>
      </c>
    </row>
    <row r="580" spans="1:20" ht="21" customHeight="1">
      <c r="A580" s="8">
        <v>46273</v>
      </c>
      <c r="B580" s="1" t="s">
        <v>34</v>
      </c>
      <c r="C580" s="1" t="s">
        <v>87</v>
      </c>
      <c r="D580" s="7">
        <v>6200</v>
      </c>
      <c r="E580" s="7">
        <v>6400</v>
      </c>
      <c r="F580" s="7">
        <v>6600</v>
      </c>
      <c r="G580" s="7">
        <f>'Option source'!B195</f>
        <v>1065</v>
      </c>
      <c r="H580" s="7">
        <f>'Option source'!B214</f>
        <v>900</v>
      </c>
      <c r="I580" s="7">
        <f>'Option source'!B233</f>
        <v>731.04</v>
      </c>
      <c r="J580" s="7">
        <f t="shared" si="56"/>
        <v>-3.9600000000000364</v>
      </c>
      <c r="K580" s="7">
        <f t="shared" si="57"/>
        <v>200</v>
      </c>
      <c r="L580" s="7">
        <f t="shared" si="58"/>
        <v>203.96000000000004</v>
      </c>
      <c r="M580" s="7">
        <f t="shared" si="59"/>
        <v>0</v>
      </c>
      <c r="N580" s="7" t="str">
        <f t="shared" si="60"/>
        <v>n.a.</v>
      </c>
      <c r="O580" s="7" t="str">
        <f t="shared" si="61"/>
        <v>n.a.</v>
      </c>
      <c r="P580" s="15" t="str">
        <f t="shared" si="62"/>
        <v>n.a.</v>
      </c>
      <c r="Q580" s="7">
        <f>J580*'Model inputs'!$B$8</f>
        <v>-396.00000000000364</v>
      </c>
      <c r="R580" s="1" t="s">
        <v>163</v>
      </c>
      <c r="S580" s="1">
        <v>190</v>
      </c>
      <c r="T580" s="1">
        <v>209</v>
      </c>
    </row>
    <row r="581" spans="1:20" ht="21" customHeight="1">
      <c r="A581" s="8">
        <v>46273</v>
      </c>
      <c r="B581" s="1" t="s">
        <v>34</v>
      </c>
      <c r="C581" s="1" t="s">
        <v>90</v>
      </c>
      <c r="D581" s="7">
        <v>7600</v>
      </c>
      <c r="E581" s="7">
        <v>7800</v>
      </c>
      <c r="F581" s="7">
        <v>8000</v>
      </c>
      <c r="G581" s="7">
        <f>'Option source'!B822</f>
        <v>643.01</v>
      </c>
      <c r="H581" s="7">
        <f>'Option source'!B841</f>
        <v>780</v>
      </c>
      <c r="I581" s="7">
        <f>'Option source'!B860</f>
        <v>960</v>
      </c>
      <c r="J581" s="7">
        <f t="shared" si="56"/>
        <v>43.009999999999991</v>
      </c>
      <c r="K581" s="7">
        <f t="shared" si="57"/>
        <v>200</v>
      </c>
      <c r="L581" s="7">
        <f t="shared" si="58"/>
        <v>156.99</v>
      </c>
      <c r="M581" s="7">
        <f t="shared" si="59"/>
        <v>43.009999999999991</v>
      </c>
      <c r="N581" s="7">
        <f t="shared" si="60"/>
        <v>7643.01</v>
      </c>
      <c r="O581" s="7">
        <f t="shared" si="61"/>
        <v>7956.99</v>
      </c>
      <c r="P581" s="15">
        <f t="shared" si="62"/>
        <v>3.6500813764240885</v>
      </c>
      <c r="Q581" s="7">
        <f>J581*'Model inputs'!$B$8</f>
        <v>4300.9999999999991</v>
      </c>
      <c r="R581" s="1" t="s">
        <v>164</v>
      </c>
      <c r="S581" s="1">
        <v>817</v>
      </c>
      <c r="T581" s="1">
        <v>836</v>
      </c>
    </row>
    <row r="582" spans="1:20" ht="21" customHeight="1">
      <c r="A582" s="8">
        <v>46273</v>
      </c>
      <c r="B582" s="1" t="s">
        <v>34</v>
      </c>
      <c r="C582" s="1" t="s">
        <v>87</v>
      </c>
      <c r="D582" s="7">
        <v>6000</v>
      </c>
      <c r="E582" s="7">
        <v>6200</v>
      </c>
      <c r="F582" s="7">
        <v>6400</v>
      </c>
      <c r="G582" s="7">
        <f>'Option source'!B176</f>
        <v>1200</v>
      </c>
      <c r="H582" s="7">
        <f>'Option source'!B195</f>
        <v>1065</v>
      </c>
      <c r="I582" s="7">
        <f>'Option source'!B214</f>
        <v>900</v>
      </c>
      <c r="J582" s="7">
        <f t="shared" si="56"/>
        <v>-30</v>
      </c>
      <c r="K582" s="7">
        <f t="shared" si="57"/>
        <v>200</v>
      </c>
      <c r="L582" s="7">
        <f t="shared" si="58"/>
        <v>230</v>
      </c>
      <c r="M582" s="7">
        <f t="shared" si="59"/>
        <v>0</v>
      </c>
      <c r="N582" s="7" t="str">
        <f t="shared" si="60"/>
        <v>n.a.</v>
      </c>
      <c r="O582" s="7" t="str">
        <f t="shared" si="61"/>
        <v>n.a.</v>
      </c>
      <c r="P582" s="15" t="str">
        <f t="shared" si="62"/>
        <v>n.a.</v>
      </c>
      <c r="Q582" s="7">
        <f>J582*'Model inputs'!$B$8</f>
        <v>-3000</v>
      </c>
      <c r="R582" s="1" t="s">
        <v>163</v>
      </c>
      <c r="S582" s="1">
        <v>171</v>
      </c>
      <c r="T582" s="1">
        <v>190</v>
      </c>
    </row>
    <row r="583" spans="1:20" ht="21" customHeight="1">
      <c r="A583" s="8">
        <v>46273</v>
      </c>
      <c r="B583" s="1" t="s">
        <v>34</v>
      </c>
      <c r="C583" s="1" t="s">
        <v>87</v>
      </c>
      <c r="D583" s="7">
        <v>5800</v>
      </c>
      <c r="E583" s="7">
        <v>6000</v>
      </c>
      <c r="F583" s="7">
        <v>6200</v>
      </c>
      <c r="G583" s="7">
        <f>'Option source'!B157</f>
        <v>1310</v>
      </c>
      <c r="H583" s="7">
        <f>'Option source'!B176</f>
        <v>1200</v>
      </c>
      <c r="I583" s="7">
        <f>'Option source'!B195</f>
        <v>1065</v>
      </c>
      <c r="J583" s="7">
        <f t="shared" ref="J583:J646" si="63">G583-2*H583+IF(B583="Butterfly",I583,0)</f>
        <v>-25</v>
      </c>
      <c r="K583" s="7">
        <f t="shared" ref="K583:K646" si="64">ABS(E583-D583)</f>
        <v>200</v>
      </c>
      <c r="L583" s="7">
        <f t="shared" ref="L583:L646" si="65">K583-J583</f>
        <v>225</v>
      </c>
      <c r="M583" s="7">
        <f t="shared" ref="M583:M646" si="66">IF(B583="Butterfly",MAX(J583,0),IF(C583="call","Unlimited",MAX(2*E583-D583+J583,J583,0)))</f>
        <v>0</v>
      </c>
      <c r="N583" s="7" t="str">
        <f t="shared" ref="N583:N646" si="67">IF(B583="Butterfly",IF(AND(J583&gt;0,J583&lt;K583),D583+J583,"n.a."),IF(C583="call",IF(AND(J583&gt;0,J583&lt;K583),D583+J583,"n.a."),IF(AND(K583&gt;J583,2*E583-D583+J583&gt;=0),2*E583-D583+J583,"n.a.")))</f>
        <v>n.a.</v>
      </c>
      <c r="O583" s="7" t="str">
        <f t="shared" ref="O583:O646" si="68">IF(B583="Butterfly",IF(AND(J583&gt;0,J583&lt;K583),F583-J583,"n.a."),IF(C583="call",IF(K583&gt;J583,2*E583-D583-J583,"n.a."),IF(AND(J583&gt;0,J583&lt;K583),D583-J583,"n.a.")))</f>
        <v>n.a.</v>
      </c>
      <c r="P583" s="15" t="str">
        <f t="shared" ref="P583:P646" si="69">IF(AND(B583="Butterfly",J583&gt;0,J583&lt;K583),L583/J583,"n.a.")</f>
        <v>n.a.</v>
      </c>
      <c r="Q583" s="7">
        <f>J583*'Model inputs'!$B$8</f>
        <v>-2500</v>
      </c>
      <c r="R583" s="1" t="s">
        <v>163</v>
      </c>
      <c r="S583" s="1">
        <v>152</v>
      </c>
      <c r="T583" s="1">
        <v>171</v>
      </c>
    </row>
    <row r="584" spans="1:20" ht="21" customHeight="1">
      <c r="A584" s="8">
        <v>46273</v>
      </c>
      <c r="B584" s="1" t="s">
        <v>34</v>
      </c>
      <c r="C584" s="1" t="s">
        <v>87</v>
      </c>
      <c r="D584" s="7">
        <v>5600</v>
      </c>
      <c r="E584" s="7">
        <v>5800</v>
      </c>
      <c r="F584" s="7">
        <v>6000</v>
      </c>
      <c r="G584" s="7">
        <f>'Option source'!B147</f>
        <v>1490</v>
      </c>
      <c r="H584" s="7">
        <f>'Option source'!B157</f>
        <v>1310</v>
      </c>
      <c r="I584" s="7">
        <f>'Option source'!B176</f>
        <v>1200</v>
      </c>
      <c r="J584" s="7">
        <f t="shared" si="63"/>
        <v>70</v>
      </c>
      <c r="K584" s="7">
        <f t="shared" si="64"/>
        <v>200</v>
      </c>
      <c r="L584" s="7">
        <f t="shared" si="65"/>
        <v>130</v>
      </c>
      <c r="M584" s="7">
        <f t="shared" si="66"/>
        <v>70</v>
      </c>
      <c r="N584" s="7">
        <f t="shared" si="67"/>
        <v>5670</v>
      </c>
      <c r="O584" s="7">
        <f t="shared" si="68"/>
        <v>5930</v>
      </c>
      <c r="P584" s="15">
        <f t="shared" si="69"/>
        <v>1.8571428571428572</v>
      </c>
      <c r="Q584" s="7">
        <f>J584*'Model inputs'!$B$8</f>
        <v>7000</v>
      </c>
      <c r="R584" s="1" t="s">
        <v>164</v>
      </c>
      <c r="S584" s="1">
        <v>142</v>
      </c>
      <c r="T584" s="1">
        <v>152</v>
      </c>
    </row>
    <row r="585" spans="1:20" ht="21" customHeight="1">
      <c r="A585" s="8">
        <v>46273</v>
      </c>
      <c r="B585" s="1" t="s">
        <v>34</v>
      </c>
      <c r="C585" s="1" t="s">
        <v>90</v>
      </c>
      <c r="D585" s="7">
        <v>8000</v>
      </c>
      <c r="E585" s="7">
        <v>8300</v>
      </c>
      <c r="F585" s="7">
        <v>8600</v>
      </c>
      <c r="G585" s="7">
        <f>'Option source'!B860</f>
        <v>960</v>
      </c>
      <c r="H585" s="7">
        <f>'Option source'!B879</f>
        <v>1350</v>
      </c>
      <c r="I585" s="7">
        <f>'Option source'!B898</f>
        <v>1463.59</v>
      </c>
      <c r="J585" s="7">
        <f t="shared" si="63"/>
        <v>-276.41000000000008</v>
      </c>
      <c r="K585" s="7">
        <f t="shared" si="64"/>
        <v>300</v>
      </c>
      <c r="L585" s="7">
        <f t="shared" si="65"/>
        <v>576.41000000000008</v>
      </c>
      <c r="M585" s="7">
        <f t="shared" si="66"/>
        <v>0</v>
      </c>
      <c r="N585" s="7" t="str">
        <f t="shared" si="67"/>
        <v>n.a.</v>
      </c>
      <c r="O585" s="7" t="str">
        <f t="shared" si="68"/>
        <v>n.a.</v>
      </c>
      <c r="P585" s="15" t="str">
        <f t="shared" si="69"/>
        <v>n.a.</v>
      </c>
      <c r="Q585" s="7">
        <f>J585*'Model inputs'!$B$8</f>
        <v>-27641.000000000007</v>
      </c>
      <c r="R585" s="1" t="s">
        <v>163</v>
      </c>
      <c r="S585" s="1">
        <v>855</v>
      </c>
      <c r="T585" s="1">
        <v>874</v>
      </c>
    </row>
    <row r="586" spans="1:20" ht="21" customHeight="1">
      <c r="A586" s="8">
        <v>46273</v>
      </c>
      <c r="B586" s="1" t="s">
        <v>34</v>
      </c>
      <c r="C586" s="1" t="s">
        <v>87</v>
      </c>
      <c r="D586" s="7">
        <v>5400</v>
      </c>
      <c r="E586" s="7">
        <v>5600</v>
      </c>
      <c r="F586" s="7">
        <v>5800</v>
      </c>
      <c r="G586" s="7">
        <f>'Option source'!B129</f>
        <v>1636.72</v>
      </c>
      <c r="H586" s="7">
        <f>'Option source'!B147</f>
        <v>1490</v>
      </c>
      <c r="I586" s="7">
        <f>'Option source'!B157</f>
        <v>1310</v>
      </c>
      <c r="J586" s="7">
        <f t="shared" si="63"/>
        <v>-33.279999999999973</v>
      </c>
      <c r="K586" s="7">
        <f t="shared" si="64"/>
        <v>200</v>
      </c>
      <c r="L586" s="7">
        <f t="shared" si="65"/>
        <v>233.27999999999997</v>
      </c>
      <c r="M586" s="7">
        <f t="shared" si="66"/>
        <v>0</v>
      </c>
      <c r="N586" s="7" t="str">
        <f t="shared" si="67"/>
        <v>n.a.</v>
      </c>
      <c r="O586" s="7" t="str">
        <f t="shared" si="68"/>
        <v>n.a.</v>
      </c>
      <c r="P586" s="15" t="str">
        <f t="shared" si="69"/>
        <v>n.a.</v>
      </c>
      <c r="Q586" s="7">
        <f>J586*'Model inputs'!$B$8</f>
        <v>-3327.9999999999973</v>
      </c>
      <c r="R586" s="1" t="s">
        <v>163</v>
      </c>
      <c r="S586" s="1">
        <v>124</v>
      </c>
      <c r="T586" s="1">
        <v>142</v>
      </c>
    </row>
    <row r="587" spans="1:20" ht="21" customHeight="1">
      <c r="A587" s="8">
        <v>46273</v>
      </c>
      <c r="B587" s="1" t="s">
        <v>34</v>
      </c>
      <c r="C587" s="1" t="s">
        <v>90</v>
      </c>
      <c r="D587" s="7">
        <v>8300</v>
      </c>
      <c r="E587" s="7">
        <v>8600</v>
      </c>
      <c r="F587" s="7">
        <v>8900</v>
      </c>
      <c r="G587" s="7">
        <f>'Option source'!B879</f>
        <v>1350</v>
      </c>
      <c r="H587" s="7">
        <f>'Option source'!B898</f>
        <v>1463.59</v>
      </c>
      <c r="I587" s="7">
        <f>'Option source'!B913</f>
        <v>2022.5</v>
      </c>
      <c r="J587" s="7">
        <f t="shared" si="63"/>
        <v>445.32000000000016</v>
      </c>
      <c r="K587" s="7">
        <f t="shared" si="64"/>
        <v>300</v>
      </c>
      <c r="L587" s="7">
        <f t="shared" si="65"/>
        <v>-145.32000000000016</v>
      </c>
      <c r="M587" s="7">
        <f t="shared" si="66"/>
        <v>445.32000000000016</v>
      </c>
      <c r="N587" s="7" t="str">
        <f t="shared" si="67"/>
        <v>n.a.</v>
      </c>
      <c r="O587" s="7" t="str">
        <f t="shared" si="68"/>
        <v>n.a.</v>
      </c>
      <c r="P587" s="15" t="str">
        <f t="shared" si="69"/>
        <v>n.a.</v>
      </c>
      <c r="Q587" s="7">
        <f>J587*'Model inputs'!$B$8</f>
        <v>44532.000000000015</v>
      </c>
      <c r="R587" s="1" t="s">
        <v>163</v>
      </c>
      <c r="S587" s="1">
        <v>874</v>
      </c>
      <c r="T587" s="1">
        <v>893</v>
      </c>
    </row>
    <row r="588" spans="1:20" ht="21" customHeight="1">
      <c r="A588" s="8">
        <v>46273</v>
      </c>
      <c r="B588" s="1" t="s">
        <v>34</v>
      </c>
      <c r="C588" s="1" t="s">
        <v>87</v>
      </c>
      <c r="D588" s="7">
        <v>5200</v>
      </c>
      <c r="E588" s="7">
        <v>5400</v>
      </c>
      <c r="F588" s="7">
        <v>5600</v>
      </c>
      <c r="G588" s="7">
        <f>'Option source'!B110</f>
        <v>1880.26</v>
      </c>
      <c r="H588" s="7">
        <f>'Option source'!B129</f>
        <v>1636.72</v>
      </c>
      <c r="I588" s="7">
        <f>'Option source'!B147</f>
        <v>1490</v>
      </c>
      <c r="J588" s="7">
        <f t="shared" si="63"/>
        <v>96.819999999999936</v>
      </c>
      <c r="K588" s="7">
        <f t="shared" si="64"/>
        <v>200</v>
      </c>
      <c r="L588" s="7">
        <f t="shared" si="65"/>
        <v>103.18000000000006</v>
      </c>
      <c r="M588" s="7">
        <f t="shared" si="66"/>
        <v>96.819999999999936</v>
      </c>
      <c r="N588" s="7">
        <f t="shared" si="67"/>
        <v>5296.82</v>
      </c>
      <c r="O588" s="7">
        <f t="shared" si="68"/>
        <v>5503.18</v>
      </c>
      <c r="P588" s="15">
        <f t="shared" si="69"/>
        <v>1.0656889072505695</v>
      </c>
      <c r="Q588" s="7">
        <f>J588*'Model inputs'!$B$8</f>
        <v>9681.9999999999927</v>
      </c>
      <c r="R588" s="1" t="s">
        <v>164</v>
      </c>
      <c r="S588" s="1">
        <v>105</v>
      </c>
      <c r="T588" s="1">
        <v>124</v>
      </c>
    </row>
    <row r="589" spans="1:20" ht="21" customHeight="1">
      <c r="A589" s="8">
        <v>46273</v>
      </c>
      <c r="B589" s="1" t="s">
        <v>34</v>
      </c>
      <c r="C589" s="1" t="s">
        <v>87</v>
      </c>
      <c r="D589" s="7">
        <v>5000</v>
      </c>
      <c r="E589" s="7">
        <v>5200</v>
      </c>
      <c r="F589" s="7">
        <v>5400</v>
      </c>
      <c r="G589" s="7">
        <f>'Option source'!B91</f>
        <v>2094.25</v>
      </c>
      <c r="H589" s="7">
        <f>'Option source'!B110</f>
        <v>1880.26</v>
      </c>
      <c r="I589" s="7">
        <f>'Option source'!B129</f>
        <v>1636.72</v>
      </c>
      <c r="J589" s="7">
        <f t="shared" si="63"/>
        <v>-29.549999999999955</v>
      </c>
      <c r="K589" s="7">
        <f t="shared" si="64"/>
        <v>200</v>
      </c>
      <c r="L589" s="7">
        <f t="shared" si="65"/>
        <v>229.54999999999995</v>
      </c>
      <c r="M589" s="7">
        <f t="shared" si="66"/>
        <v>0</v>
      </c>
      <c r="N589" s="7" t="str">
        <f t="shared" si="67"/>
        <v>n.a.</v>
      </c>
      <c r="O589" s="7" t="str">
        <f t="shared" si="68"/>
        <v>n.a.</v>
      </c>
      <c r="P589" s="15" t="str">
        <f t="shared" si="69"/>
        <v>n.a.</v>
      </c>
      <c r="Q589" s="7">
        <f>J589*'Model inputs'!$B$8</f>
        <v>-2954.9999999999955</v>
      </c>
      <c r="R589" s="1" t="s">
        <v>163</v>
      </c>
      <c r="S589" s="1">
        <v>86</v>
      </c>
      <c r="T589" s="1">
        <v>105</v>
      </c>
    </row>
    <row r="590" spans="1:20" ht="21" customHeight="1">
      <c r="A590" s="8">
        <v>46273</v>
      </c>
      <c r="B590" s="1" t="s">
        <v>34</v>
      </c>
      <c r="C590" s="1" t="s">
        <v>90</v>
      </c>
      <c r="D590" s="7">
        <v>8600</v>
      </c>
      <c r="E590" s="7">
        <v>8900</v>
      </c>
      <c r="F590" s="7">
        <v>9200</v>
      </c>
      <c r="G590" s="7">
        <f>'Option source'!B898</f>
        <v>1463.59</v>
      </c>
      <c r="H590" s="7">
        <f>'Option source'!B913</f>
        <v>2022.5</v>
      </c>
      <c r="I590" s="7">
        <f>'Option source'!B920</f>
        <v>2000</v>
      </c>
      <c r="J590" s="7">
        <f t="shared" si="63"/>
        <v>-581.40999999999985</v>
      </c>
      <c r="K590" s="7">
        <f t="shared" si="64"/>
        <v>300</v>
      </c>
      <c r="L590" s="7">
        <f t="shared" si="65"/>
        <v>881.40999999999985</v>
      </c>
      <c r="M590" s="7">
        <f t="shared" si="66"/>
        <v>0</v>
      </c>
      <c r="N590" s="7" t="str">
        <f t="shared" si="67"/>
        <v>n.a.</v>
      </c>
      <c r="O590" s="7" t="str">
        <f t="shared" si="68"/>
        <v>n.a.</v>
      </c>
      <c r="P590" s="15" t="str">
        <f t="shared" si="69"/>
        <v>n.a.</v>
      </c>
      <c r="Q590" s="7">
        <f>J590*'Model inputs'!$B$8</f>
        <v>-58140.999999999985</v>
      </c>
      <c r="R590" s="1" t="s">
        <v>163</v>
      </c>
      <c r="S590" s="1">
        <v>893</v>
      </c>
      <c r="T590" s="1">
        <v>908</v>
      </c>
    </row>
    <row r="591" spans="1:20" ht="21" customHeight="1">
      <c r="A591" s="8">
        <v>46273</v>
      </c>
      <c r="B591" s="1" t="s">
        <v>34</v>
      </c>
      <c r="C591" s="1" t="s">
        <v>87</v>
      </c>
      <c r="D591" s="7">
        <v>4800</v>
      </c>
      <c r="E591" s="7">
        <v>5000</v>
      </c>
      <c r="F591" s="7">
        <v>5200</v>
      </c>
      <c r="G591" s="7">
        <f>'Option source'!B74</f>
        <v>2347.98</v>
      </c>
      <c r="H591" s="7">
        <f>'Option source'!B91</f>
        <v>2094.25</v>
      </c>
      <c r="I591" s="7">
        <f>'Option source'!B110</f>
        <v>1880.26</v>
      </c>
      <c r="J591" s="7">
        <f t="shared" si="63"/>
        <v>39.740000000000009</v>
      </c>
      <c r="K591" s="7">
        <f t="shared" si="64"/>
        <v>200</v>
      </c>
      <c r="L591" s="7">
        <f t="shared" si="65"/>
        <v>160.26</v>
      </c>
      <c r="M591" s="7">
        <f t="shared" si="66"/>
        <v>39.740000000000009</v>
      </c>
      <c r="N591" s="7">
        <f t="shared" si="67"/>
        <v>4839.74</v>
      </c>
      <c r="O591" s="7">
        <f t="shared" si="68"/>
        <v>5160.26</v>
      </c>
      <c r="P591" s="15">
        <f t="shared" si="69"/>
        <v>4.032712632108705</v>
      </c>
      <c r="Q591" s="7">
        <f>J591*'Model inputs'!$B$8</f>
        <v>3974.0000000000009</v>
      </c>
      <c r="R591" s="1" t="s">
        <v>164</v>
      </c>
      <c r="S591" s="1">
        <v>69</v>
      </c>
      <c r="T591" s="1">
        <v>86</v>
      </c>
    </row>
    <row r="592" spans="1:20" ht="21" customHeight="1">
      <c r="A592" s="8">
        <v>46273</v>
      </c>
      <c r="B592" s="1" t="s">
        <v>34</v>
      </c>
      <c r="C592" s="1" t="s">
        <v>87</v>
      </c>
      <c r="D592" s="7">
        <v>4600</v>
      </c>
      <c r="E592" s="7">
        <v>4800</v>
      </c>
      <c r="F592" s="7">
        <v>5000</v>
      </c>
      <c r="G592" s="7">
        <f>'Option source'!B57</f>
        <v>2453.9</v>
      </c>
      <c r="H592" s="7">
        <f>'Option source'!B74</f>
        <v>2347.98</v>
      </c>
      <c r="I592" s="7">
        <f>'Option source'!B91</f>
        <v>2094.25</v>
      </c>
      <c r="J592" s="7">
        <f t="shared" si="63"/>
        <v>-147.80999999999995</v>
      </c>
      <c r="K592" s="7">
        <f t="shared" si="64"/>
        <v>200</v>
      </c>
      <c r="L592" s="7">
        <f t="shared" si="65"/>
        <v>347.80999999999995</v>
      </c>
      <c r="M592" s="7">
        <f t="shared" si="66"/>
        <v>0</v>
      </c>
      <c r="N592" s="7" t="str">
        <f t="shared" si="67"/>
        <v>n.a.</v>
      </c>
      <c r="O592" s="7" t="str">
        <f t="shared" si="68"/>
        <v>n.a.</v>
      </c>
      <c r="P592" s="15" t="str">
        <f t="shared" si="69"/>
        <v>n.a.</v>
      </c>
      <c r="Q592" s="7">
        <f>J592*'Model inputs'!$B$8</f>
        <v>-14780.999999999995</v>
      </c>
      <c r="R592" s="1" t="s">
        <v>163</v>
      </c>
      <c r="S592" s="1">
        <v>52</v>
      </c>
      <c r="T592" s="1">
        <v>69</v>
      </c>
    </row>
    <row r="593" spans="1:20" ht="21" customHeight="1">
      <c r="A593" s="8">
        <v>46273</v>
      </c>
      <c r="B593" s="1" t="s">
        <v>34</v>
      </c>
      <c r="C593" s="1" t="s">
        <v>87</v>
      </c>
      <c r="D593" s="7">
        <v>4400</v>
      </c>
      <c r="E593" s="7">
        <v>4600</v>
      </c>
      <c r="F593" s="7">
        <v>4800</v>
      </c>
      <c r="G593" s="7">
        <f>'Option source'!B38</f>
        <v>2762.2</v>
      </c>
      <c r="H593" s="7">
        <f>'Option source'!B57</f>
        <v>2453.9</v>
      </c>
      <c r="I593" s="7">
        <f>'Option source'!B74</f>
        <v>2347.98</v>
      </c>
      <c r="J593" s="7">
        <f t="shared" si="63"/>
        <v>202.37999999999965</v>
      </c>
      <c r="K593" s="7">
        <f t="shared" si="64"/>
        <v>200</v>
      </c>
      <c r="L593" s="7">
        <f t="shared" si="65"/>
        <v>-2.3799999999996544</v>
      </c>
      <c r="M593" s="7">
        <f t="shared" si="66"/>
        <v>202.37999999999965</v>
      </c>
      <c r="N593" s="7" t="str">
        <f t="shared" si="67"/>
        <v>n.a.</v>
      </c>
      <c r="O593" s="7" t="str">
        <f t="shared" si="68"/>
        <v>n.a.</v>
      </c>
      <c r="P593" s="15" t="str">
        <f t="shared" si="69"/>
        <v>n.a.</v>
      </c>
      <c r="Q593" s="7">
        <f>J593*'Model inputs'!$B$8</f>
        <v>20237.999999999964</v>
      </c>
      <c r="R593" s="1" t="s">
        <v>163</v>
      </c>
      <c r="S593" s="1">
        <v>33</v>
      </c>
      <c r="T593" s="1">
        <v>52</v>
      </c>
    </row>
    <row r="594" spans="1:20" ht="21" customHeight="1">
      <c r="A594" s="8">
        <v>46273</v>
      </c>
      <c r="B594" s="1" t="s">
        <v>34</v>
      </c>
      <c r="C594" s="1" t="s">
        <v>90</v>
      </c>
      <c r="D594" s="7">
        <v>4400</v>
      </c>
      <c r="E594" s="7">
        <v>4600</v>
      </c>
      <c r="F594" s="7">
        <v>4800</v>
      </c>
      <c r="G594" s="7">
        <f>'Option source'!B518</f>
        <v>1.0900000000000001</v>
      </c>
      <c r="H594" s="7">
        <f>'Option source'!B537</f>
        <v>1.45</v>
      </c>
      <c r="I594" s="7">
        <f>'Option source'!B556</f>
        <v>1.68</v>
      </c>
      <c r="J594" s="7">
        <f t="shared" si="63"/>
        <v>-0.12999999999999989</v>
      </c>
      <c r="K594" s="7">
        <f t="shared" si="64"/>
        <v>200</v>
      </c>
      <c r="L594" s="7">
        <f t="shared" si="65"/>
        <v>200.13</v>
      </c>
      <c r="M594" s="7">
        <f t="shared" si="66"/>
        <v>0</v>
      </c>
      <c r="N594" s="7" t="str">
        <f t="shared" si="67"/>
        <v>n.a.</v>
      </c>
      <c r="O594" s="7" t="str">
        <f t="shared" si="68"/>
        <v>n.a.</v>
      </c>
      <c r="P594" s="15" t="str">
        <f t="shared" si="69"/>
        <v>n.a.</v>
      </c>
      <c r="Q594" s="7">
        <f>J594*'Model inputs'!$B$8</f>
        <v>-12.999999999999989</v>
      </c>
      <c r="R594" s="1" t="s">
        <v>163</v>
      </c>
      <c r="S594" s="1">
        <v>513</v>
      </c>
      <c r="T594" s="1">
        <v>532</v>
      </c>
    </row>
    <row r="595" spans="1:20" ht="21" customHeight="1">
      <c r="A595" s="8">
        <v>46273</v>
      </c>
      <c r="B595" s="1" t="s">
        <v>34</v>
      </c>
      <c r="C595" s="1" t="s">
        <v>87</v>
      </c>
      <c r="D595" s="7">
        <v>4200</v>
      </c>
      <c r="E595" s="7">
        <v>4400</v>
      </c>
      <c r="F595" s="7">
        <v>4600</v>
      </c>
      <c r="G595" s="7">
        <f>'Option source'!B19</f>
        <v>2845.62</v>
      </c>
      <c r="H595" s="7">
        <f>'Option source'!B38</f>
        <v>2762.2</v>
      </c>
      <c r="I595" s="7">
        <f>'Option source'!B57</f>
        <v>2453.9</v>
      </c>
      <c r="J595" s="7">
        <f t="shared" si="63"/>
        <v>-224.87999999999965</v>
      </c>
      <c r="K595" s="7">
        <f t="shared" si="64"/>
        <v>200</v>
      </c>
      <c r="L595" s="7">
        <f t="shared" si="65"/>
        <v>424.87999999999965</v>
      </c>
      <c r="M595" s="7">
        <f t="shared" si="66"/>
        <v>0</v>
      </c>
      <c r="N595" s="7" t="str">
        <f t="shared" si="67"/>
        <v>n.a.</v>
      </c>
      <c r="O595" s="7" t="str">
        <f t="shared" si="68"/>
        <v>n.a.</v>
      </c>
      <c r="P595" s="15" t="str">
        <f t="shared" si="69"/>
        <v>n.a.</v>
      </c>
      <c r="Q595" s="7">
        <f>J595*'Model inputs'!$B$8</f>
        <v>-22487.999999999964</v>
      </c>
      <c r="R595" s="1" t="s">
        <v>163</v>
      </c>
      <c r="S595" s="1">
        <v>14</v>
      </c>
      <c r="T595" s="1">
        <v>33</v>
      </c>
    </row>
    <row r="596" spans="1:20" ht="21" customHeight="1">
      <c r="A596" s="8">
        <v>46273</v>
      </c>
      <c r="B596" s="1" t="s">
        <v>36</v>
      </c>
      <c r="C596" s="1" t="s">
        <v>87</v>
      </c>
      <c r="D596" s="7">
        <v>6800</v>
      </c>
      <c r="E596" s="7">
        <v>7000</v>
      </c>
      <c r="F596" s="7"/>
      <c r="G596" s="7">
        <f>'Option source'!B252</f>
        <v>595.26</v>
      </c>
      <c r="H596" s="7">
        <f>'Option source'!B271</f>
        <v>485.45</v>
      </c>
      <c r="I596" s="7"/>
      <c r="J596" s="7">
        <f t="shared" si="63"/>
        <v>-375.64</v>
      </c>
      <c r="K596" s="7">
        <f t="shared" si="64"/>
        <v>200</v>
      </c>
      <c r="L596" s="7">
        <f t="shared" si="65"/>
        <v>575.64</v>
      </c>
      <c r="M596" s="7" t="str">
        <f t="shared" si="66"/>
        <v>Unlimited</v>
      </c>
      <c r="N596" s="7" t="str">
        <f t="shared" si="67"/>
        <v>n.a.</v>
      </c>
      <c r="O596" s="7">
        <f t="shared" si="68"/>
        <v>7575.64</v>
      </c>
      <c r="P596" s="15" t="str">
        <f t="shared" si="69"/>
        <v>n.a.</v>
      </c>
      <c r="Q596" s="7">
        <f>J596*'Model inputs'!$B$8</f>
        <v>-37564</v>
      </c>
      <c r="R596" s="1" t="s">
        <v>162</v>
      </c>
      <c r="S596" s="1">
        <v>247</v>
      </c>
      <c r="T596" s="1">
        <v>266</v>
      </c>
    </row>
    <row r="597" spans="1:20" ht="21" customHeight="1">
      <c r="A597" s="8">
        <v>46273</v>
      </c>
      <c r="B597" s="1" t="s">
        <v>36</v>
      </c>
      <c r="C597" s="1" t="s">
        <v>90</v>
      </c>
      <c r="D597" s="7">
        <v>7200</v>
      </c>
      <c r="E597" s="7">
        <v>7000</v>
      </c>
      <c r="F597" s="7"/>
      <c r="G597" s="7">
        <f>'Option source'!B784</f>
        <v>419.99</v>
      </c>
      <c r="H597" s="7">
        <f>'Option source'!B765</f>
        <v>317.07</v>
      </c>
      <c r="I597" s="7"/>
      <c r="J597" s="7">
        <f t="shared" si="63"/>
        <v>-214.14999999999998</v>
      </c>
      <c r="K597" s="7">
        <f t="shared" si="64"/>
        <v>200</v>
      </c>
      <c r="L597" s="7">
        <f t="shared" si="65"/>
        <v>414.15</v>
      </c>
      <c r="M597" s="7">
        <f t="shared" si="66"/>
        <v>6585.85</v>
      </c>
      <c r="N597" s="7">
        <f t="shared" si="67"/>
        <v>6585.85</v>
      </c>
      <c r="O597" s="7" t="str">
        <f t="shared" si="68"/>
        <v>n.a.</v>
      </c>
      <c r="P597" s="15" t="str">
        <f t="shared" si="69"/>
        <v>n.a.</v>
      </c>
      <c r="Q597" s="7">
        <f>J597*'Model inputs'!$B$8</f>
        <v>-21414.999999999996</v>
      </c>
      <c r="R597" s="1" t="s">
        <v>162</v>
      </c>
      <c r="S597" s="1">
        <v>779</v>
      </c>
      <c r="T597" s="1">
        <v>760</v>
      </c>
    </row>
    <row r="598" spans="1:20" ht="21" customHeight="1">
      <c r="A598" s="8">
        <v>46273</v>
      </c>
      <c r="B598" s="1" t="s">
        <v>36</v>
      </c>
      <c r="C598" s="1" t="s">
        <v>87</v>
      </c>
      <c r="D598" s="7">
        <v>7000</v>
      </c>
      <c r="E598" s="7">
        <v>7200</v>
      </c>
      <c r="F598" s="7"/>
      <c r="G598" s="7">
        <f>'Option source'!B271</f>
        <v>485.45</v>
      </c>
      <c r="H598" s="7">
        <f>'Option source'!B290</f>
        <v>385.82</v>
      </c>
      <c r="I598" s="7"/>
      <c r="J598" s="7">
        <f t="shared" si="63"/>
        <v>-286.19</v>
      </c>
      <c r="K598" s="7">
        <f t="shared" si="64"/>
        <v>200</v>
      </c>
      <c r="L598" s="7">
        <f t="shared" si="65"/>
        <v>486.19</v>
      </c>
      <c r="M598" s="7" t="str">
        <f t="shared" si="66"/>
        <v>Unlimited</v>
      </c>
      <c r="N598" s="7" t="str">
        <f t="shared" si="67"/>
        <v>n.a.</v>
      </c>
      <c r="O598" s="7">
        <f t="shared" si="68"/>
        <v>7686.19</v>
      </c>
      <c r="P598" s="15" t="str">
        <f t="shared" si="69"/>
        <v>n.a.</v>
      </c>
      <c r="Q598" s="7">
        <f>J598*'Model inputs'!$B$8</f>
        <v>-28619</v>
      </c>
      <c r="R598" s="1" t="s">
        <v>162</v>
      </c>
      <c r="S598" s="1">
        <v>266</v>
      </c>
      <c r="T598" s="1">
        <v>285</v>
      </c>
    </row>
    <row r="599" spans="1:20" ht="21" customHeight="1">
      <c r="A599" s="8">
        <v>46273</v>
      </c>
      <c r="B599" s="1" t="s">
        <v>36</v>
      </c>
      <c r="C599" s="1" t="s">
        <v>90</v>
      </c>
      <c r="D599" s="7">
        <v>7400</v>
      </c>
      <c r="E599" s="7">
        <v>7200</v>
      </c>
      <c r="F599" s="7"/>
      <c r="G599" s="7">
        <f>'Option source'!B803</f>
        <v>535.47</v>
      </c>
      <c r="H599" s="7">
        <f>'Option source'!B784</f>
        <v>419.99</v>
      </c>
      <c r="I599" s="7"/>
      <c r="J599" s="7">
        <f t="shared" si="63"/>
        <v>-304.51</v>
      </c>
      <c r="K599" s="7">
        <f t="shared" si="64"/>
        <v>200</v>
      </c>
      <c r="L599" s="7">
        <f t="shared" si="65"/>
        <v>504.51</v>
      </c>
      <c r="M599" s="7">
        <f t="shared" si="66"/>
        <v>6695.49</v>
      </c>
      <c r="N599" s="7">
        <f t="shared" si="67"/>
        <v>6695.49</v>
      </c>
      <c r="O599" s="7" t="str">
        <f t="shared" si="68"/>
        <v>n.a.</v>
      </c>
      <c r="P599" s="15" t="str">
        <f t="shared" si="69"/>
        <v>n.a.</v>
      </c>
      <c r="Q599" s="7">
        <f>J599*'Model inputs'!$B$8</f>
        <v>-30451</v>
      </c>
      <c r="R599" s="1" t="s">
        <v>162</v>
      </c>
      <c r="S599" s="1">
        <v>798</v>
      </c>
      <c r="T599" s="1">
        <v>779</v>
      </c>
    </row>
    <row r="600" spans="1:20" ht="21" customHeight="1">
      <c r="A600" s="8">
        <v>46273</v>
      </c>
      <c r="B600" s="1" t="s">
        <v>36</v>
      </c>
      <c r="C600" s="1" t="s">
        <v>87</v>
      </c>
      <c r="D600" s="7">
        <v>6600</v>
      </c>
      <c r="E600" s="7">
        <v>6800</v>
      </c>
      <c r="F600" s="7"/>
      <c r="G600" s="7">
        <f>'Option source'!B233</f>
        <v>731.04</v>
      </c>
      <c r="H600" s="7">
        <f>'Option source'!B252</f>
        <v>595.26</v>
      </c>
      <c r="I600" s="7"/>
      <c r="J600" s="7">
        <f t="shared" si="63"/>
        <v>-459.48</v>
      </c>
      <c r="K600" s="7">
        <f t="shared" si="64"/>
        <v>200</v>
      </c>
      <c r="L600" s="7">
        <f t="shared" si="65"/>
        <v>659.48</v>
      </c>
      <c r="M600" s="7" t="str">
        <f t="shared" si="66"/>
        <v>Unlimited</v>
      </c>
      <c r="N600" s="7" t="str">
        <f t="shared" si="67"/>
        <v>n.a.</v>
      </c>
      <c r="O600" s="7">
        <f t="shared" si="68"/>
        <v>7459.48</v>
      </c>
      <c r="P600" s="15" t="str">
        <f t="shared" si="69"/>
        <v>n.a.</v>
      </c>
      <c r="Q600" s="7">
        <f>J600*'Model inputs'!$B$8</f>
        <v>-45948</v>
      </c>
      <c r="R600" s="1" t="s">
        <v>162</v>
      </c>
      <c r="S600" s="1">
        <v>228</v>
      </c>
      <c r="T600" s="1">
        <v>247</v>
      </c>
    </row>
    <row r="601" spans="1:20" ht="21" customHeight="1">
      <c r="A601" s="8">
        <v>46273</v>
      </c>
      <c r="B601" s="1" t="s">
        <v>36</v>
      </c>
      <c r="C601" s="1" t="s">
        <v>90</v>
      </c>
      <c r="D601" s="7">
        <v>7000</v>
      </c>
      <c r="E601" s="7">
        <v>6800</v>
      </c>
      <c r="F601" s="7"/>
      <c r="G601" s="7">
        <f>'Option source'!B765</f>
        <v>317.07</v>
      </c>
      <c r="H601" s="7">
        <f>'Option source'!B746</f>
        <v>224.24</v>
      </c>
      <c r="I601" s="7"/>
      <c r="J601" s="7">
        <f t="shared" si="63"/>
        <v>-131.41000000000003</v>
      </c>
      <c r="K601" s="7">
        <f t="shared" si="64"/>
        <v>200</v>
      </c>
      <c r="L601" s="7">
        <f t="shared" si="65"/>
        <v>331.41</v>
      </c>
      <c r="M601" s="7">
        <f t="shared" si="66"/>
        <v>6468.59</v>
      </c>
      <c r="N601" s="7">
        <f t="shared" si="67"/>
        <v>6468.59</v>
      </c>
      <c r="O601" s="7" t="str">
        <f t="shared" si="68"/>
        <v>n.a.</v>
      </c>
      <c r="P601" s="15" t="str">
        <f t="shared" si="69"/>
        <v>n.a.</v>
      </c>
      <c r="Q601" s="7">
        <f>J601*'Model inputs'!$B$8</f>
        <v>-13141.000000000002</v>
      </c>
      <c r="R601" s="1" t="s">
        <v>162</v>
      </c>
      <c r="S601" s="1">
        <v>760</v>
      </c>
      <c r="T601" s="1">
        <v>741</v>
      </c>
    </row>
    <row r="602" spans="1:20" ht="21" customHeight="1">
      <c r="A602" s="8">
        <v>46273</v>
      </c>
      <c r="B602" s="1" t="s">
        <v>36</v>
      </c>
      <c r="C602" s="1" t="s">
        <v>87</v>
      </c>
      <c r="D602" s="7">
        <v>7200</v>
      </c>
      <c r="E602" s="7">
        <v>7400</v>
      </c>
      <c r="F602" s="7"/>
      <c r="G602" s="7">
        <f>'Option source'!B290</f>
        <v>385.82</v>
      </c>
      <c r="H602" s="7">
        <f>'Option source'!B309</f>
        <v>298.68</v>
      </c>
      <c r="I602" s="7"/>
      <c r="J602" s="7">
        <f t="shared" si="63"/>
        <v>-211.54000000000002</v>
      </c>
      <c r="K602" s="7">
        <f t="shared" si="64"/>
        <v>200</v>
      </c>
      <c r="L602" s="7">
        <f t="shared" si="65"/>
        <v>411.54</v>
      </c>
      <c r="M602" s="7" t="str">
        <f t="shared" si="66"/>
        <v>Unlimited</v>
      </c>
      <c r="N602" s="7" t="str">
        <f t="shared" si="67"/>
        <v>n.a.</v>
      </c>
      <c r="O602" s="7">
        <f t="shared" si="68"/>
        <v>7811.54</v>
      </c>
      <c r="P602" s="15" t="str">
        <f t="shared" si="69"/>
        <v>n.a.</v>
      </c>
      <c r="Q602" s="7">
        <f>J602*'Model inputs'!$B$8</f>
        <v>-21154.000000000004</v>
      </c>
      <c r="R602" s="1" t="s">
        <v>162</v>
      </c>
      <c r="S602" s="1">
        <v>285</v>
      </c>
      <c r="T602" s="1">
        <v>304</v>
      </c>
    </row>
    <row r="603" spans="1:20" ht="21" customHeight="1">
      <c r="A603" s="8">
        <v>46273</v>
      </c>
      <c r="B603" s="1" t="s">
        <v>36</v>
      </c>
      <c r="C603" s="1" t="s">
        <v>87</v>
      </c>
      <c r="D603" s="7">
        <v>6400</v>
      </c>
      <c r="E603" s="7">
        <v>6600</v>
      </c>
      <c r="F603" s="7"/>
      <c r="G603" s="7">
        <f>'Option source'!B214</f>
        <v>900</v>
      </c>
      <c r="H603" s="7">
        <f>'Option source'!B233</f>
        <v>731.04</v>
      </c>
      <c r="I603" s="7"/>
      <c r="J603" s="7">
        <f t="shared" si="63"/>
        <v>-562.07999999999993</v>
      </c>
      <c r="K603" s="7">
        <f t="shared" si="64"/>
        <v>200</v>
      </c>
      <c r="L603" s="7">
        <f t="shared" si="65"/>
        <v>762.07999999999993</v>
      </c>
      <c r="M603" s="7" t="str">
        <f t="shared" si="66"/>
        <v>Unlimited</v>
      </c>
      <c r="N603" s="7" t="str">
        <f t="shared" si="67"/>
        <v>n.a.</v>
      </c>
      <c r="O603" s="7">
        <f t="shared" si="68"/>
        <v>7362.08</v>
      </c>
      <c r="P603" s="15" t="str">
        <f t="shared" si="69"/>
        <v>n.a.</v>
      </c>
      <c r="Q603" s="7">
        <f>J603*'Model inputs'!$B$8</f>
        <v>-56207.999999999993</v>
      </c>
      <c r="R603" s="1" t="s">
        <v>162</v>
      </c>
      <c r="S603" s="1">
        <v>209</v>
      </c>
      <c r="T603" s="1">
        <v>228</v>
      </c>
    </row>
    <row r="604" spans="1:20" ht="21" customHeight="1">
      <c r="A604" s="8">
        <v>46273</v>
      </c>
      <c r="B604" s="1" t="s">
        <v>36</v>
      </c>
      <c r="C604" s="1" t="s">
        <v>90</v>
      </c>
      <c r="D604" s="7">
        <v>6800</v>
      </c>
      <c r="E604" s="7">
        <v>6600</v>
      </c>
      <c r="F604" s="7"/>
      <c r="G604" s="7">
        <f>'Option source'!B746</f>
        <v>224.24</v>
      </c>
      <c r="H604" s="7">
        <f>'Option source'!B727</f>
        <v>164.7</v>
      </c>
      <c r="I604" s="7"/>
      <c r="J604" s="7">
        <f t="shared" si="63"/>
        <v>-105.15999999999997</v>
      </c>
      <c r="K604" s="7">
        <f t="shared" si="64"/>
        <v>200</v>
      </c>
      <c r="L604" s="7">
        <f t="shared" si="65"/>
        <v>305.15999999999997</v>
      </c>
      <c r="M604" s="7">
        <f t="shared" si="66"/>
        <v>6294.84</v>
      </c>
      <c r="N604" s="7">
        <f t="shared" si="67"/>
        <v>6294.84</v>
      </c>
      <c r="O604" s="7" t="str">
        <f t="shared" si="68"/>
        <v>n.a.</v>
      </c>
      <c r="P604" s="15" t="str">
        <f t="shared" si="69"/>
        <v>n.a.</v>
      </c>
      <c r="Q604" s="7">
        <f>J604*'Model inputs'!$B$8</f>
        <v>-10515.999999999996</v>
      </c>
      <c r="R604" s="1" t="s">
        <v>162</v>
      </c>
      <c r="S604" s="1">
        <v>741</v>
      </c>
      <c r="T604" s="1">
        <v>722</v>
      </c>
    </row>
    <row r="605" spans="1:20" ht="21" customHeight="1">
      <c r="A605" s="8">
        <v>46273</v>
      </c>
      <c r="B605" s="1" t="s">
        <v>36</v>
      </c>
      <c r="C605" s="1" t="s">
        <v>87</v>
      </c>
      <c r="D605" s="7">
        <v>7400</v>
      </c>
      <c r="E605" s="7">
        <v>7600</v>
      </c>
      <c r="F605" s="7"/>
      <c r="G605" s="7">
        <f>'Option source'!B309</f>
        <v>298.68</v>
      </c>
      <c r="H605" s="7">
        <f>'Option source'!B328</f>
        <v>227.39</v>
      </c>
      <c r="I605" s="7"/>
      <c r="J605" s="7">
        <f t="shared" si="63"/>
        <v>-156.09999999999997</v>
      </c>
      <c r="K605" s="7">
        <f t="shared" si="64"/>
        <v>200</v>
      </c>
      <c r="L605" s="7">
        <f t="shared" si="65"/>
        <v>356.09999999999997</v>
      </c>
      <c r="M605" s="7" t="str">
        <f t="shared" si="66"/>
        <v>Unlimited</v>
      </c>
      <c r="N605" s="7" t="str">
        <f t="shared" si="67"/>
        <v>n.a.</v>
      </c>
      <c r="O605" s="7">
        <f t="shared" si="68"/>
        <v>7956.1</v>
      </c>
      <c r="P605" s="15" t="str">
        <f t="shared" si="69"/>
        <v>n.a.</v>
      </c>
      <c r="Q605" s="7">
        <f>J605*'Model inputs'!$B$8</f>
        <v>-15609.999999999996</v>
      </c>
      <c r="R605" s="1" t="s">
        <v>162</v>
      </c>
      <c r="S605" s="1">
        <v>304</v>
      </c>
      <c r="T605" s="1">
        <v>323</v>
      </c>
    </row>
    <row r="606" spans="1:20" ht="21" customHeight="1">
      <c r="A606" s="8">
        <v>46273</v>
      </c>
      <c r="B606" s="1" t="s">
        <v>36</v>
      </c>
      <c r="C606" s="1" t="s">
        <v>87</v>
      </c>
      <c r="D606" s="7">
        <v>6200</v>
      </c>
      <c r="E606" s="7">
        <v>6400</v>
      </c>
      <c r="F606" s="7"/>
      <c r="G606" s="7">
        <f>'Option source'!B195</f>
        <v>1065</v>
      </c>
      <c r="H606" s="7">
        <f>'Option source'!B214</f>
        <v>900</v>
      </c>
      <c r="I606" s="7"/>
      <c r="J606" s="7">
        <f t="shared" si="63"/>
        <v>-735</v>
      </c>
      <c r="K606" s="7">
        <f t="shared" si="64"/>
        <v>200</v>
      </c>
      <c r="L606" s="7">
        <f t="shared" si="65"/>
        <v>935</v>
      </c>
      <c r="M606" s="7" t="str">
        <f t="shared" si="66"/>
        <v>Unlimited</v>
      </c>
      <c r="N606" s="7" t="str">
        <f t="shared" si="67"/>
        <v>n.a.</v>
      </c>
      <c r="O606" s="7">
        <f t="shared" si="68"/>
        <v>7335</v>
      </c>
      <c r="P606" s="15" t="str">
        <f t="shared" si="69"/>
        <v>n.a.</v>
      </c>
      <c r="Q606" s="7">
        <f>J606*'Model inputs'!$B$8</f>
        <v>-73500</v>
      </c>
      <c r="R606" s="1" t="s">
        <v>162</v>
      </c>
      <c r="S606" s="1">
        <v>190</v>
      </c>
      <c r="T606" s="1">
        <v>209</v>
      </c>
    </row>
    <row r="607" spans="1:20" ht="21" customHeight="1">
      <c r="A607" s="8">
        <v>46273</v>
      </c>
      <c r="B607" s="1" t="s">
        <v>36</v>
      </c>
      <c r="C607" s="1" t="s">
        <v>90</v>
      </c>
      <c r="D607" s="7">
        <v>6600</v>
      </c>
      <c r="E607" s="7">
        <v>6400</v>
      </c>
      <c r="F607" s="7"/>
      <c r="G607" s="7">
        <f>'Option source'!B727</f>
        <v>164.7</v>
      </c>
      <c r="H607" s="7">
        <f>'Option source'!B708</f>
        <v>109.53</v>
      </c>
      <c r="I607" s="7"/>
      <c r="J607" s="7">
        <f t="shared" si="63"/>
        <v>-54.360000000000014</v>
      </c>
      <c r="K607" s="7">
        <f t="shared" si="64"/>
        <v>200</v>
      </c>
      <c r="L607" s="7">
        <f t="shared" si="65"/>
        <v>254.36</v>
      </c>
      <c r="M607" s="7">
        <f t="shared" si="66"/>
        <v>6145.64</v>
      </c>
      <c r="N607" s="7">
        <f t="shared" si="67"/>
        <v>6145.64</v>
      </c>
      <c r="O607" s="7" t="str">
        <f t="shared" si="68"/>
        <v>n.a.</v>
      </c>
      <c r="P607" s="15" t="str">
        <f t="shared" si="69"/>
        <v>n.a.</v>
      </c>
      <c r="Q607" s="7">
        <f>J607*'Model inputs'!$B$8</f>
        <v>-5436.0000000000018</v>
      </c>
      <c r="R607" s="1" t="s">
        <v>162</v>
      </c>
      <c r="S607" s="1">
        <v>722</v>
      </c>
      <c r="T607" s="1">
        <v>703</v>
      </c>
    </row>
    <row r="608" spans="1:20" ht="21" customHeight="1">
      <c r="A608" s="8">
        <v>46273</v>
      </c>
      <c r="B608" s="1" t="s">
        <v>36</v>
      </c>
      <c r="C608" s="1" t="s">
        <v>87</v>
      </c>
      <c r="D608" s="7">
        <v>7600</v>
      </c>
      <c r="E608" s="7">
        <v>7800</v>
      </c>
      <c r="F608" s="7"/>
      <c r="G608" s="7">
        <f>'Option source'!B328</f>
        <v>227.39</v>
      </c>
      <c r="H608" s="7">
        <f>'Option source'!B347</f>
        <v>174.8</v>
      </c>
      <c r="I608" s="7"/>
      <c r="J608" s="7">
        <f t="shared" si="63"/>
        <v>-122.21000000000004</v>
      </c>
      <c r="K608" s="7">
        <f t="shared" si="64"/>
        <v>200</v>
      </c>
      <c r="L608" s="7">
        <f t="shared" si="65"/>
        <v>322.21000000000004</v>
      </c>
      <c r="M608" s="7" t="str">
        <f t="shared" si="66"/>
        <v>Unlimited</v>
      </c>
      <c r="N608" s="7" t="str">
        <f t="shared" si="67"/>
        <v>n.a.</v>
      </c>
      <c r="O608" s="7">
        <f t="shared" si="68"/>
        <v>8122.21</v>
      </c>
      <c r="P608" s="15" t="str">
        <f t="shared" si="69"/>
        <v>n.a.</v>
      </c>
      <c r="Q608" s="7">
        <f>J608*'Model inputs'!$B$8</f>
        <v>-12221.000000000004</v>
      </c>
      <c r="R608" s="1" t="s">
        <v>162</v>
      </c>
      <c r="S608" s="1">
        <v>323</v>
      </c>
      <c r="T608" s="1">
        <v>342</v>
      </c>
    </row>
    <row r="609" spans="1:20" ht="21" customHeight="1">
      <c r="A609" s="8">
        <v>46273</v>
      </c>
      <c r="B609" s="1" t="s">
        <v>36</v>
      </c>
      <c r="C609" s="1" t="s">
        <v>87</v>
      </c>
      <c r="D609" s="7">
        <v>6000</v>
      </c>
      <c r="E609" s="7">
        <v>6200</v>
      </c>
      <c r="F609" s="7"/>
      <c r="G609" s="7">
        <f>'Option source'!B176</f>
        <v>1200</v>
      </c>
      <c r="H609" s="7">
        <f>'Option source'!B195</f>
        <v>1065</v>
      </c>
      <c r="I609" s="7"/>
      <c r="J609" s="7">
        <f t="shared" si="63"/>
        <v>-930</v>
      </c>
      <c r="K609" s="7">
        <f t="shared" si="64"/>
        <v>200</v>
      </c>
      <c r="L609" s="7">
        <f t="shared" si="65"/>
        <v>1130</v>
      </c>
      <c r="M609" s="7" t="str">
        <f t="shared" si="66"/>
        <v>Unlimited</v>
      </c>
      <c r="N609" s="7" t="str">
        <f t="shared" si="67"/>
        <v>n.a.</v>
      </c>
      <c r="O609" s="7">
        <f t="shared" si="68"/>
        <v>7330</v>
      </c>
      <c r="P609" s="15" t="str">
        <f t="shared" si="69"/>
        <v>n.a.</v>
      </c>
      <c r="Q609" s="7">
        <f>J609*'Model inputs'!$B$8</f>
        <v>-93000</v>
      </c>
      <c r="R609" s="1" t="s">
        <v>162</v>
      </c>
      <c r="S609" s="1">
        <v>171</v>
      </c>
      <c r="T609" s="1">
        <v>190</v>
      </c>
    </row>
    <row r="610" spans="1:20" ht="21" customHeight="1">
      <c r="A610" s="8">
        <v>46273</v>
      </c>
      <c r="B610" s="1" t="s">
        <v>36</v>
      </c>
      <c r="C610" s="1" t="s">
        <v>90</v>
      </c>
      <c r="D610" s="7">
        <v>6400</v>
      </c>
      <c r="E610" s="7">
        <v>6200</v>
      </c>
      <c r="F610" s="7"/>
      <c r="G610" s="7">
        <f>'Option source'!B708</f>
        <v>109.53</v>
      </c>
      <c r="H610" s="7">
        <f>'Option source'!B689</f>
        <v>68.23</v>
      </c>
      <c r="I610" s="7"/>
      <c r="J610" s="7">
        <f t="shared" si="63"/>
        <v>-26.930000000000007</v>
      </c>
      <c r="K610" s="7">
        <f t="shared" si="64"/>
        <v>200</v>
      </c>
      <c r="L610" s="7">
        <f t="shared" si="65"/>
        <v>226.93</v>
      </c>
      <c r="M610" s="7">
        <f t="shared" si="66"/>
        <v>5973.07</v>
      </c>
      <c r="N610" s="7">
        <f t="shared" si="67"/>
        <v>5973.07</v>
      </c>
      <c r="O610" s="7" t="str">
        <f t="shared" si="68"/>
        <v>n.a.</v>
      </c>
      <c r="P610" s="15" t="str">
        <f t="shared" si="69"/>
        <v>n.a.</v>
      </c>
      <c r="Q610" s="7">
        <f>J610*'Model inputs'!$B$8</f>
        <v>-2693.0000000000009</v>
      </c>
      <c r="R610" s="1" t="s">
        <v>162</v>
      </c>
      <c r="S610" s="1">
        <v>703</v>
      </c>
      <c r="T610" s="1">
        <v>684</v>
      </c>
    </row>
    <row r="611" spans="1:20" ht="21" customHeight="1">
      <c r="A611" s="8">
        <v>46273</v>
      </c>
      <c r="B611" s="1" t="s">
        <v>36</v>
      </c>
      <c r="C611" s="1" t="s">
        <v>87</v>
      </c>
      <c r="D611" s="7">
        <v>7800</v>
      </c>
      <c r="E611" s="7">
        <v>8000</v>
      </c>
      <c r="F611" s="7"/>
      <c r="G611" s="7">
        <f>'Option source'!B347</f>
        <v>174.8</v>
      </c>
      <c r="H611" s="7">
        <f>'Option source'!B366</f>
        <v>128.68</v>
      </c>
      <c r="I611" s="7"/>
      <c r="J611" s="7">
        <f t="shared" si="63"/>
        <v>-82.56</v>
      </c>
      <c r="K611" s="7">
        <f t="shared" si="64"/>
        <v>200</v>
      </c>
      <c r="L611" s="7">
        <f t="shared" si="65"/>
        <v>282.56</v>
      </c>
      <c r="M611" s="7" t="str">
        <f t="shared" si="66"/>
        <v>Unlimited</v>
      </c>
      <c r="N611" s="7" t="str">
        <f t="shared" si="67"/>
        <v>n.a.</v>
      </c>
      <c r="O611" s="7">
        <f t="shared" si="68"/>
        <v>8282.56</v>
      </c>
      <c r="P611" s="15" t="str">
        <f t="shared" si="69"/>
        <v>n.a.</v>
      </c>
      <c r="Q611" s="7">
        <f>J611*'Model inputs'!$B$8</f>
        <v>-8256</v>
      </c>
      <c r="R611" s="1" t="s">
        <v>162</v>
      </c>
      <c r="S611" s="1">
        <v>342</v>
      </c>
      <c r="T611" s="1">
        <v>361</v>
      </c>
    </row>
    <row r="612" spans="1:20" ht="21" customHeight="1">
      <c r="A612" s="8">
        <v>46273</v>
      </c>
      <c r="B612" s="1" t="s">
        <v>36</v>
      </c>
      <c r="C612" s="1" t="s">
        <v>90</v>
      </c>
      <c r="D612" s="7">
        <v>6200</v>
      </c>
      <c r="E612" s="7">
        <v>6000</v>
      </c>
      <c r="F612" s="7"/>
      <c r="G612" s="7">
        <f>'Option source'!B689</f>
        <v>68.23</v>
      </c>
      <c r="H612" s="7">
        <f>'Option source'!B670</f>
        <v>42.06</v>
      </c>
      <c r="I612" s="7"/>
      <c r="J612" s="7">
        <f t="shared" si="63"/>
        <v>-15.89</v>
      </c>
      <c r="K612" s="7">
        <f t="shared" si="64"/>
        <v>200</v>
      </c>
      <c r="L612" s="7">
        <f t="shared" si="65"/>
        <v>215.89</v>
      </c>
      <c r="M612" s="7">
        <f t="shared" si="66"/>
        <v>5784.11</v>
      </c>
      <c r="N612" s="7">
        <f t="shared" si="67"/>
        <v>5784.11</v>
      </c>
      <c r="O612" s="7" t="str">
        <f t="shared" si="68"/>
        <v>n.a.</v>
      </c>
      <c r="P612" s="15" t="str">
        <f t="shared" si="69"/>
        <v>n.a.</v>
      </c>
      <c r="Q612" s="7">
        <f>J612*'Model inputs'!$B$8</f>
        <v>-1589</v>
      </c>
      <c r="R612" s="1" t="s">
        <v>162</v>
      </c>
      <c r="S612" s="1">
        <v>684</v>
      </c>
      <c r="T612" s="1">
        <v>665</v>
      </c>
    </row>
    <row r="613" spans="1:20" ht="21" customHeight="1">
      <c r="A613" s="8">
        <v>46273</v>
      </c>
      <c r="B613" s="1" t="s">
        <v>36</v>
      </c>
      <c r="C613" s="1" t="s">
        <v>90</v>
      </c>
      <c r="D613" s="7">
        <v>6000</v>
      </c>
      <c r="E613" s="7">
        <v>5800</v>
      </c>
      <c r="F613" s="7"/>
      <c r="G613" s="7">
        <f>'Option source'!B670</f>
        <v>42.06</v>
      </c>
      <c r="H613" s="7">
        <f>'Option source'!B651</f>
        <v>23.9</v>
      </c>
      <c r="I613" s="7"/>
      <c r="J613" s="7">
        <f t="shared" si="63"/>
        <v>-5.7399999999999949</v>
      </c>
      <c r="K613" s="7">
        <f t="shared" si="64"/>
        <v>200</v>
      </c>
      <c r="L613" s="7">
        <f t="shared" si="65"/>
        <v>205.74</v>
      </c>
      <c r="M613" s="7">
        <f t="shared" si="66"/>
        <v>5594.26</v>
      </c>
      <c r="N613" s="7">
        <f t="shared" si="67"/>
        <v>5594.26</v>
      </c>
      <c r="O613" s="7" t="str">
        <f t="shared" si="68"/>
        <v>n.a.</v>
      </c>
      <c r="P613" s="15" t="str">
        <f t="shared" si="69"/>
        <v>n.a.</v>
      </c>
      <c r="Q613" s="7">
        <f>J613*'Model inputs'!$B$8</f>
        <v>-573.99999999999955</v>
      </c>
      <c r="R613" s="1" t="s">
        <v>162</v>
      </c>
      <c r="S613" s="1">
        <v>665</v>
      </c>
      <c r="T613" s="1">
        <v>646</v>
      </c>
    </row>
    <row r="614" spans="1:20" ht="21" customHeight="1">
      <c r="A614" s="8">
        <v>46273</v>
      </c>
      <c r="B614" s="1" t="s">
        <v>36</v>
      </c>
      <c r="C614" s="1" t="s">
        <v>87</v>
      </c>
      <c r="D614" s="7">
        <v>8000</v>
      </c>
      <c r="E614" s="7">
        <v>8300</v>
      </c>
      <c r="F614" s="7"/>
      <c r="G614" s="7">
        <f>'Option source'!B366</f>
        <v>128.68</v>
      </c>
      <c r="H614" s="7">
        <f>'Option source'!B385</f>
        <v>81.94</v>
      </c>
      <c r="I614" s="7"/>
      <c r="J614" s="7">
        <f t="shared" si="63"/>
        <v>-35.199999999999989</v>
      </c>
      <c r="K614" s="7">
        <f t="shared" si="64"/>
        <v>300</v>
      </c>
      <c r="L614" s="7">
        <f t="shared" si="65"/>
        <v>335.2</v>
      </c>
      <c r="M614" s="7" t="str">
        <f t="shared" si="66"/>
        <v>Unlimited</v>
      </c>
      <c r="N614" s="7" t="str">
        <f t="shared" si="67"/>
        <v>n.a.</v>
      </c>
      <c r="O614" s="7">
        <f t="shared" si="68"/>
        <v>8635.2000000000007</v>
      </c>
      <c r="P614" s="15" t="str">
        <f t="shared" si="69"/>
        <v>n.a.</v>
      </c>
      <c r="Q614" s="7">
        <f>J614*'Model inputs'!$B$8</f>
        <v>-3519.9999999999991</v>
      </c>
      <c r="R614" s="1" t="s">
        <v>162</v>
      </c>
      <c r="S614" s="1">
        <v>361</v>
      </c>
      <c r="T614" s="1">
        <v>380</v>
      </c>
    </row>
    <row r="615" spans="1:20" ht="21" customHeight="1">
      <c r="A615" s="8">
        <v>46273</v>
      </c>
      <c r="B615" s="1" t="s">
        <v>36</v>
      </c>
      <c r="C615" s="1" t="s">
        <v>90</v>
      </c>
      <c r="D615" s="7">
        <v>5800</v>
      </c>
      <c r="E615" s="7">
        <v>5600</v>
      </c>
      <c r="F615" s="7"/>
      <c r="G615" s="7">
        <f>'Option source'!B651</f>
        <v>23.9</v>
      </c>
      <c r="H615" s="7">
        <f>'Option source'!B632</f>
        <v>13.29</v>
      </c>
      <c r="I615" s="7"/>
      <c r="J615" s="7">
        <f t="shared" si="63"/>
        <v>-2.6799999999999997</v>
      </c>
      <c r="K615" s="7">
        <f t="shared" si="64"/>
        <v>200</v>
      </c>
      <c r="L615" s="7">
        <f t="shared" si="65"/>
        <v>202.68</v>
      </c>
      <c r="M615" s="7">
        <f t="shared" si="66"/>
        <v>5397.32</v>
      </c>
      <c r="N615" s="7">
        <f t="shared" si="67"/>
        <v>5397.32</v>
      </c>
      <c r="O615" s="7" t="str">
        <f t="shared" si="68"/>
        <v>n.a.</v>
      </c>
      <c r="P615" s="15" t="str">
        <f t="shared" si="69"/>
        <v>n.a.</v>
      </c>
      <c r="Q615" s="7">
        <f>J615*'Model inputs'!$B$8</f>
        <v>-268</v>
      </c>
      <c r="R615" s="1" t="s">
        <v>162</v>
      </c>
      <c r="S615" s="1">
        <v>646</v>
      </c>
      <c r="T615" s="1">
        <v>627</v>
      </c>
    </row>
    <row r="616" spans="1:20" ht="21" customHeight="1">
      <c r="A616" s="8">
        <v>46273</v>
      </c>
      <c r="B616" s="1" t="s">
        <v>36</v>
      </c>
      <c r="C616" s="1" t="s">
        <v>87</v>
      </c>
      <c r="D616" s="7">
        <v>8300</v>
      </c>
      <c r="E616" s="7">
        <v>8600</v>
      </c>
      <c r="F616" s="7"/>
      <c r="G616" s="7">
        <f>'Option source'!B385</f>
        <v>81.94</v>
      </c>
      <c r="H616" s="7">
        <f>'Option source'!B404</f>
        <v>51.36</v>
      </c>
      <c r="I616" s="7"/>
      <c r="J616" s="7">
        <f t="shared" si="63"/>
        <v>-20.78</v>
      </c>
      <c r="K616" s="7">
        <f t="shared" si="64"/>
        <v>300</v>
      </c>
      <c r="L616" s="7">
        <f t="shared" si="65"/>
        <v>320.77999999999997</v>
      </c>
      <c r="M616" s="7" t="str">
        <f t="shared" si="66"/>
        <v>Unlimited</v>
      </c>
      <c r="N616" s="7" t="str">
        <f t="shared" si="67"/>
        <v>n.a.</v>
      </c>
      <c r="O616" s="7">
        <f t="shared" si="68"/>
        <v>8920.7800000000007</v>
      </c>
      <c r="P616" s="15" t="str">
        <f t="shared" si="69"/>
        <v>n.a.</v>
      </c>
      <c r="Q616" s="7">
        <f>J616*'Model inputs'!$B$8</f>
        <v>-2078</v>
      </c>
      <c r="R616" s="1" t="s">
        <v>162</v>
      </c>
      <c r="S616" s="1">
        <v>380</v>
      </c>
      <c r="T616" s="1">
        <v>399</v>
      </c>
    </row>
    <row r="617" spans="1:20" ht="21" customHeight="1">
      <c r="A617" s="8">
        <v>46273</v>
      </c>
      <c r="B617" s="1" t="s">
        <v>36</v>
      </c>
      <c r="C617" s="1" t="s">
        <v>90</v>
      </c>
      <c r="D617" s="7">
        <v>5600</v>
      </c>
      <c r="E617" s="7">
        <v>5400</v>
      </c>
      <c r="F617" s="7"/>
      <c r="G617" s="7">
        <f>'Option source'!B632</f>
        <v>13.29</v>
      </c>
      <c r="H617" s="7">
        <f>'Option source'!B613</f>
        <v>7.99</v>
      </c>
      <c r="I617" s="7"/>
      <c r="J617" s="7">
        <f t="shared" si="63"/>
        <v>-2.6900000000000013</v>
      </c>
      <c r="K617" s="7">
        <f t="shared" si="64"/>
        <v>200</v>
      </c>
      <c r="L617" s="7">
        <f t="shared" si="65"/>
        <v>202.69</v>
      </c>
      <c r="M617" s="7">
        <f t="shared" si="66"/>
        <v>5197.3100000000004</v>
      </c>
      <c r="N617" s="7">
        <f t="shared" si="67"/>
        <v>5197.3100000000004</v>
      </c>
      <c r="O617" s="7" t="str">
        <f t="shared" si="68"/>
        <v>n.a.</v>
      </c>
      <c r="P617" s="15" t="str">
        <f t="shared" si="69"/>
        <v>n.a.</v>
      </c>
      <c r="Q617" s="7">
        <f>J617*'Model inputs'!$B$8</f>
        <v>-269.00000000000011</v>
      </c>
      <c r="R617" s="1" t="s">
        <v>162</v>
      </c>
      <c r="S617" s="1">
        <v>627</v>
      </c>
      <c r="T617" s="1">
        <v>608</v>
      </c>
    </row>
    <row r="618" spans="1:20" ht="21" customHeight="1">
      <c r="A618" s="8">
        <v>46273</v>
      </c>
      <c r="B618" s="1" t="s">
        <v>36</v>
      </c>
      <c r="C618" s="1" t="s">
        <v>90</v>
      </c>
      <c r="D618" s="7">
        <v>5400</v>
      </c>
      <c r="E618" s="7">
        <v>5200</v>
      </c>
      <c r="F618" s="7"/>
      <c r="G618" s="7">
        <f>'Option source'!B613</f>
        <v>7.99</v>
      </c>
      <c r="H618" s="7">
        <f>'Option source'!B594</f>
        <v>4</v>
      </c>
      <c r="I618" s="7"/>
      <c r="J618" s="7">
        <f t="shared" si="63"/>
        <v>-9.9999999999997868E-3</v>
      </c>
      <c r="K618" s="7">
        <f t="shared" si="64"/>
        <v>200</v>
      </c>
      <c r="L618" s="7">
        <f t="shared" si="65"/>
        <v>200.01</v>
      </c>
      <c r="M618" s="7">
        <f t="shared" si="66"/>
        <v>4999.99</v>
      </c>
      <c r="N618" s="7">
        <f t="shared" si="67"/>
        <v>4999.99</v>
      </c>
      <c r="O618" s="7" t="str">
        <f t="shared" si="68"/>
        <v>n.a.</v>
      </c>
      <c r="P618" s="15" t="str">
        <f t="shared" si="69"/>
        <v>n.a.</v>
      </c>
      <c r="Q618" s="7">
        <f>J618*'Model inputs'!$B$8</f>
        <v>-0.99999999999997868</v>
      </c>
      <c r="R618" s="1" t="s">
        <v>162</v>
      </c>
      <c r="S618" s="1">
        <v>608</v>
      </c>
      <c r="T618" s="1">
        <v>589</v>
      </c>
    </row>
    <row r="619" spans="1:20" ht="21" customHeight="1">
      <c r="A619" s="8">
        <v>46273</v>
      </c>
      <c r="B619" s="1" t="s">
        <v>36</v>
      </c>
      <c r="C619" s="1" t="s">
        <v>87</v>
      </c>
      <c r="D619" s="7">
        <v>8600</v>
      </c>
      <c r="E619" s="7">
        <v>8900</v>
      </c>
      <c r="F619" s="7"/>
      <c r="G619" s="7">
        <f>'Option source'!B404</f>
        <v>51.36</v>
      </c>
      <c r="H619" s="7">
        <f>'Option source'!B423</f>
        <v>29.55</v>
      </c>
      <c r="I619" s="7"/>
      <c r="J619" s="7">
        <f t="shared" si="63"/>
        <v>-7.740000000000002</v>
      </c>
      <c r="K619" s="7">
        <f t="shared" si="64"/>
        <v>300</v>
      </c>
      <c r="L619" s="7">
        <f t="shared" si="65"/>
        <v>307.74</v>
      </c>
      <c r="M619" s="7" t="str">
        <f t="shared" si="66"/>
        <v>Unlimited</v>
      </c>
      <c r="N619" s="7" t="str">
        <f t="shared" si="67"/>
        <v>n.a.</v>
      </c>
      <c r="O619" s="7">
        <f t="shared" si="68"/>
        <v>9207.74</v>
      </c>
      <c r="P619" s="15" t="str">
        <f t="shared" si="69"/>
        <v>n.a.</v>
      </c>
      <c r="Q619" s="7">
        <f>J619*'Model inputs'!$B$8</f>
        <v>-774.00000000000023</v>
      </c>
      <c r="R619" s="1" t="s">
        <v>162</v>
      </c>
      <c r="S619" s="1">
        <v>399</v>
      </c>
      <c r="T619" s="1">
        <v>418</v>
      </c>
    </row>
    <row r="620" spans="1:20" ht="21" customHeight="1">
      <c r="A620" s="8">
        <v>46273</v>
      </c>
      <c r="B620" s="1" t="s">
        <v>36</v>
      </c>
      <c r="C620" s="1" t="s">
        <v>90</v>
      </c>
      <c r="D620" s="7">
        <v>5200</v>
      </c>
      <c r="E620" s="7">
        <v>5000</v>
      </c>
      <c r="F620" s="7"/>
      <c r="G620" s="7">
        <f>'Option source'!B594</f>
        <v>4</v>
      </c>
      <c r="H620" s="7">
        <f>'Option source'!B575</f>
        <v>2.3199999999999998</v>
      </c>
      <c r="I620" s="7"/>
      <c r="J620" s="7">
        <f t="shared" si="63"/>
        <v>-0.63999999999999968</v>
      </c>
      <c r="K620" s="7">
        <f t="shared" si="64"/>
        <v>200</v>
      </c>
      <c r="L620" s="7">
        <f t="shared" si="65"/>
        <v>200.64</v>
      </c>
      <c r="M620" s="7">
        <f t="shared" si="66"/>
        <v>4799.3599999999997</v>
      </c>
      <c r="N620" s="7">
        <f t="shared" si="67"/>
        <v>4799.3599999999997</v>
      </c>
      <c r="O620" s="7" t="str">
        <f t="shared" si="68"/>
        <v>n.a.</v>
      </c>
      <c r="P620" s="15" t="str">
        <f t="shared" si="69"/>
        <v>n.a.</v>
      </c>
      <c r="Q620" s="7">
        <f>J620*'Model inputs'!$B$8</f>
        <v>-63.999999999999972</v>
      </c>
      <c r="R620" s="1" t="s">
        <v>162</v>
      </c>
      <c r="S620" s="1">
        <v>589</v>
      </c>
      <c r="T620" s="1">
        <v>570</v>
      </c>
    </row>
    <row r="621" spans="1:20" ht="21" customHeight="1">
      <c r="A621" s="8">
        <v>46273</v>
      </c>
      <c r="B621" s="1" t="s">
        <v>36</v>
      </c>
      <c r="C621" s="1" t="s">
        <v>87</v>
      </c>
      <c r="D621" s="7">
        <v>8900</v>
      </c>
      <c r="E621" s="7">
        <v>9200</v>
      </c>
      <c r="F621" s="7"/>
      <c r="G621" s="7">
        <f>'Option source'!B423</f>
        <v>29.55</v>
      </c>
      <c r="H621" s="7">
        <f>'Option source'!B442</f>
        <v>17.97</v>
      </c>
      <c r="I621" s="7"/>
      <c r="J621" s="7">
        <f t="shared" si="63"/>
        <v>-6.389999999999997</v>
      </c>
      <c r="K621" s="7">
        <f t="shared" si="64"/>
        <v>300</v>
      </c>
      <c r="L621" s="7">
        <f t="shared" si="65"/>
        <v>306.39</v>
      </c>
      <c r="M621" s="7" t="str">
        <f t="shared" si="66"/>
        <v>Unlimited</v>
      </c>
      <c r="N621" s="7" t="str">
        <f t="shared" si="67"/>
        <v>n.a.</v>
      </c>
      <c r="O621" s="7">
        <f t="shared" si="68"/>
        <v>9506.39</v>
      </c>
      <c r="P621" s="15" t="str">
        <f t="shared" si="69"/>
        <v>n.a.</v>
      </c>
      <c r="Q621" s="7">
        <f>J621*'Model inputs'!$B$8</f>
        <v>-638.99999999999966</v>
      </c>
      <c r="R621" s="1" t="s">
        <v>162</v>
      </c>
      <c r="S621" s="1">
        <v>418</v>
      </c>
      <c r="T621" s="1">
        <v>437</v>
      </c>
    </row>
    <row r="622" spans="1:20" ht="21" customHeight="1">
      <c r="A622" s="8">
        <v>46273</v>
      </c>
      <c r="B622" s="1" t="s">
        <v>36</v>
      </c>
      <c r="C622" s="1" t="s">
        <v>90</v>
      </c>
      <c r="D622" s="7">
        <v>5000</v>
      </c>
      <c r="E622" s="7">
        <v>4800</v>
      </c>
      <c r="F622" s="7"/>
      <c r="G622" s="7">
        <f>'Option source'!B575</f>
        <v>2.3199999999999998</v>
      </c>
      <c r="H622" s="7">
        <f>'Option source'!B556</f>
        <v>1.68</v>
      </c>
      <c r="I622" s="7"/>
      <c r="J622" s="7">
        <f t="shared" si="63"/>
        <v>-1.04</v>
      </c>
      <c r="K622" s="7">
        <f t="shared" si="64"/>
        <v>200</v>
      </c>
      <c r="L622" s="7">
        <f t="shared" si="65"/>
        <v>201.04</v>
      </c>
      <c r="M622" s="7">
        <f t="shared" si="66"/>
        <v>4598.96</v>
      </c>
      <c r="N622" s="7">
        <f t="shared" si="67"/>
        <v>4598.96</v>
      </c>
      <c r="O622" s="7" t="str">
        <f t="shared" si="68"/>
        <v>n.a.</v>
      </c>
      <c r="P622" s="15" t="str">
        <f t="shared" si="69"/>
        <v>n.a.</v>
      </c>
      <c r="Q622" s="7">
        <f>J622*'Model inputs'!$B$8</f>
        <v>-104</v>
      </c>
      <c r="R622" s="1" t="s">
        <v>162</v>
      </c>
      <c r="S622" s="1">
        <v>570</v>
      </c>
      <c r="T622" s="1">
        <v>551</v>
      </c>
    </row>
    <row r="623" spans="1:20" ht="21" customHeight="1">
      <c r="A623" s="8">
        <v>46273</v>
      </c>
      <c r="B623" s="1" t="s">
        <v>36</v>
      </c>
      <c r="C623" s="1" t="s">
        <v>90</v>
      </c>
      <c r="D623" s="7">
        <v>4800</v>
      </c>
      <c r="E623" s="7">
        <v>4600</v>
      </c>
      <c r="F623" s="7"/>
      <c r="G623" s="7">
        <f>'Option source'!B556</f>
        <v>1.68</v>
      </c>
      <c r="H623" s="7">
        <f>'Option source'!B537</f>
        <v>1.45</v>
      </c>
      <c r="I623" s="7"/>
      <c r="J623" s="7">
        <f t="shared" si="63"/>
        <v>-1.22</v>
      </c>
      <c r="K623" s="7">
        <f t="shared" si="64"/>
        <v>200</v>
      </c>
      <c r="L623" s="7">
        <f t="shared" si="65"/>
        <v>201.22</v>
      </c>
      <c r="M623" s="7">
        <f t="shared" si="66"/>
        <v>4398.78</v>
      </c>
      <c r="N623" s="7">
        <f t="shared" si="67"/>
        <v>4398.78</v>
      </c>
      <c r="O623" s="7" t="str">
        <f t="shared" si="68"/>
        <v>n.a.</v>
      </c>
      <c r="P623" s="15" t="str">
        <f t="shared" si="69"/>
        <v>n.a.</v>
      </c>
      <c r="Q623" s="7">
        <f>J623*'Model inputs'!$B$8</f>
        <v>-122</v>
      </c>
      <c r="R623" s="1" t="s">
        <v>162</v>
      </c>
      <c r="S623" s="1">
        <v>551</v>
      </c>
      <c r="T623" s="1">
        <v>532</v>
      </c>
    </row>
    <row r="624" spans="1:20" ht="21" customHeight="1">
      <c r="A624" s="8">
        <v>46273</v>
      </c>
      <c r="B624" s="1" t="s">
        <v>36</v>
      </c>
      <c r="C624" s="1" t="s">
        <v>87</v>
      </c>
      <c r="D624" s="7">
        <v>9200</v>
      </c>
      <c r="E624" s="7">
        <v>9500</v>
      </c>
      <c r="F624" s="7"/>
      <c r="G624" s="7">
        <f>'Option source'!B442</f>
        <v>17.97</v>
      </c>
      <c r="H624" s="7">
        <f>'Option source'!B461</f>
        <v>11.36</v>
      </c>
      <c r="I624" s="7"/>
      <c r="J624" s="7">
        <f t="shared" si="63"/>
        <v>-4.75</v>
      </c>
      <c r="K624" s="7">
        <f t="shared" si="64"/>
        <v>300</v>
      </c>
      <c r="L624" s="7">
        <f t="shared" si="65"/>
        <v>304.75</v>
      </c>
      <c r="M624" s="7" t="str">
        <f t="shared" si="66"/>
        <v>Unlimited</v>
      </c>
      <c r="N624" s="7" t="str">
        <f t="shared" si="67"/>
        <v>n.a.</v>
      </c>
      <c r="O624" s="7">
        <f t="shared" si="68"/>
        <v>9804.75</v>
      </c>
      <c r="P624" s="15" t="str">
        <f t="shared" si="69"/>
        <v>n.a.</v>
      </c>
      <c r="Q624" s="7">
        <f>J624*'Model inputs'!$B$8</f>
        <v>-475</v>
      </c>
      <c r="R624" s="1" t="s">
        <v>162</v>
      </c>
      <c r="S624" s="1">
        <v>437</v>
      </c>
      <c r="T624" s="1">
        <v>456</v>
      </c>
    </row>
    <row r="625" spans="1:20" ht="21" customHeight="1">
      <c r="A625" s="8">
        <v>46273</v>
      </c>
      <c r="B625" s="1" t="s">
        <v>36</v>
      </c>
      <c r="C625" s="1" t="s">
        <v>90</v>
      </c>
      <c r="D625" s="7">
        <v>4600</v>
      </c>
      <c r="E625" s="7">
        <v>4400</v>
      </c>
      <c r="F625" s="7"/>
      <c r="G625" s="7">
        <f>'Option source'!B537</f>
        <v>1.45</v>
      </c>
      <c r="H625" s="7">
        <f>'Option source'!B518</f>
        <v>1.0900000000000001</v>
      </c>
      <c r="I625" s="7"/>
      <c r="J625" s="7">
        <f t="shared" si="63"/>
        <v>-0.7300000000000002</v>
      </c>
      <c r="K625" s="7">
        <f t="shared" si="64"/>
        <v>200</v>
      </c>
      <c r="L625" s="7">
        <f t="shared" si="65"/>
        <v>200.73</v>
      </c>
      <c r="M625" s="7">
        <f t="shared" si="66"/>
        <v>4199.2700000000004</v>
      </c>
      <c r="N625" s="7">
        <f t="shared" si="67"/>
        <v>4199.2700000000004</v>
      </c>
      <c r="O625" s="7" t="str">
        <f t="shared" si="68"/>
        <v>n.a.</v>
      </c>
      <c r="P625" s="15" t="str">
        <f t="shared" si="69"/>
        <v>n.a.</v>
      </c>
      <c r="Q625" s="7">
        <f>J625*'Model inputs'!$B$8</f>
        <v>-73.000000000000014</v>
      </c>
      <c r="R625" s="1" t="s">
        <v>162</v>
      </c>
      <c r="S625" s="1">
        <v>532</v>
      </c>
      <c r="T625" s="1">
        <v>513</v>
      </c>
    </row>
    <row r="626" spans="1:20" ht="21" customHeight="1">
      <c r="A626" s="8">
        <v>46273</v>
      </c>
      <c r="B626" s="1" t="s">
        <v>36</v>
      </c>
      <c r="C626" s="1" t="s">
        <v>90</v>
      </c>
      <c r="D626" s="7">
        <v>4400</v>
      </c>
      <c r="E626" s="7">
        <v>4200</v>
      </c>
      <c r="F626" s="7"/>
      <c r="G626" s="7">
        <f>'Option source'!B518</f>
        <v>1.0900000000000001</v>
      </c>
      <c r="H626" s="7">
        <f>'Option source'!B499</f>
        <v>0.98</v>
      </c>
      <c r="I626" s="7"/>
      <c r="J626" s="7">
        <f t="shared" si="63"/>
        <v>-0.86999999999999988</v>
      </c>
      <c r="K626" s="7">
        <f t="shared" si="64"/>
        <v>200</v>
      </c>
      <c r="L626" s="7">
        <f t="shared" si="65"/>
        <v>200.87</v>
      </c>
      <c r="M626" s="7">
        <f t="shared" si="66"/>
        <v>3999.13</v>
      </c>
      <c r="N626" s="7">
        <f t="shared" si="67"/>
        <v>3999.13</v>
      </c>
      <c r="O626" s="7" t="str">
        <f t="shared" si="68"/>
        <v>n.a.</v>
      </c>
      <c r="P626" s="15" t="str">
        <f t="shared" si="69"/>
        <v>n.a.</v>
      </c>
      <c r="Q626" s="7">
        <f>J626*'Model inputs'!$B$8</f>
        <v>-86.999999999999986</v>
      </c>
      <c r="R626" s="1" t="s">
        <v>162</v>
      </c>
      <c r="S626" s="1">
        <v>513</v>
      </c>
      <c r="T626" s="1">
        <v>494</v>
      </c>
    </row>
    <row r="627" spans="1:20" ht="21" customHeight="1">
      <c r="A627" s="8">
        <v>46273</v>
      </c>
      <c r="B627" s="1" t="s">
        <v>36</v>
      </c>
      <c r="C627" s="1" t="s">
        <v>87</v>
      </c>
      <c r="D627" s="7">
        <v>9500</v>
      </c>
      <c r="E627" s="7">
        <v>9900</v>
      </c>
      <c r="F627" s="7"/>
      <c r="G627" s="7">
        <f>'Option source'!B461</f>
        <v>11.36</v>
      </c>
      <c r="H627" s="7">
        <f>'Option source'!B480</f>
        <v>6.97</v>
      </c>
      <c r="I627" s="7"/>
      <c r="J627" s="7">
        <f t="shared" si="63"/>
        <v>-2.58</v>
      </c>
      <c r="K627" s="7">
        <f t="shared" si="64"/>
        <v>400</v>
      </c>
      <c r="L627" s="7">
        <f t="shared" si="65"/>
        <v>402.58</v>
      </c>
      <c r="M627" s="7" t="str">
        <f t="shared" si="66"/>
        <v>Unlimited</v>
      </c>
      <c r="N627" s="7" t="str">
        <f t="shared" si="67"/>
        <v>n.a.</v>
      </c>
      <c r="O627" s="7">
        <f t="shared" si="68"/>
        <v>10302.58</v>
      </c>
      <c r="P627" s="15" t="str">
        <f t="shared" si="69"/>
        <v>n.a.</v>
      </c>
      <c r="Q627" s="7">
        <f>J627*'Model inputs'!$B$8</f>
        <v>-258</v>
      </c>
      <c r="R627" s="1" t="s">
        <v>162</v>
      </c>
      <c r="S627" s="1">
        <v>456</v>
      </c>
      <c r="T627" s="1">
        <v>475</v>
      </c>
    </row>
    <row r="628" spans="1:20" ht="21" customHeight="1">
      <c r="A628" s="8">
        <v>46273</v>
      </c>
      <c r="B628" s="1" t="s">
        <v>36</v>
      </c>
      <c r="C628" s="1" t="s">
        <v>90</v>
      </c>
      <c r="D628" s="7">
        <v>7600</v>
      </c>
      <c r="E628" s="7">
        <v>7400</v>
      </c>
      <c r="F628" s="7"/>
      <c r="G628" s="7">
        <f>'Option source'!B822</f>
        <v>643.01</v>
      </c>
      <c r="H628" s="7">
        <f>'Option source'!B803</f>
        <v>535.47</v>
      </c>
      <c r="I628" s="7"/>
      <c r="J628" s="7">
        <f t="shared" si="63"/>
        <v>-427.93000000000006</v>
      </c>
      <c r="K628" s="7">
        <f t="shared" si="64"/>
        <v>200</v>
      </c>
      <c r="L628" s="7">
        <f t="shared" si="65"/>
        <v>627.93000000000006</v>
      </c>
      <c r="M628" s="7">
        <f t="shared" si="66"/>
        <v>6772.07</v>
      </c>
      <c r="N628" s="7">
        <f t="shared" si="67"/>
        <v>6772.07</v>
      </c>
      <c r="O628" s="7" t="str">
        <f t="shared" si="68"/>
        <v>n.a.</v>
      </c>
      <c r="P628" s="15" t="str">
        <f t="shared" si="69"/>
        <v>n.a.</v>
      </c>
      <c r="Q628" s="7">
        <f>J628*'Model inputs'!$B$8</f>
        <v>-42793.000000000007</v>
      </c>
      <c r="R628" s="1" t="s">
        <v>164</v>
      </c>
      <c r="S628" s="1">
        <v>817</v>
      </c>
      <c r="T628" s="1">
        <v>798</v>
      </c>
    </row>
    <row r="629" spans="1:20" ht="21" customHeight="1">
      <c r="A629" s="8">
        <v>46273</v>
      </c>
      <c r="B629" s="1" t="s">
        <v>36</v>
      </c>
      <c r="C629" s="1" t="s">
        <v>90</v>
      </c>
      <c r="D629" s="7">
        <v>7800</v>
      </c>
      <c r="E629" s="7">
        <v>7600</v>
      </c>
      <c r="F629" s="7"/>
      <c r="G629" s="7">
        <f>'Option source'!B841</f>
        <v>780</v>
      </c>
      <c r="H629" s="7">
        <f>'Option source'!B822</f>
        <v>643.01</v>
      </c>
      <c r="I629" s="7"/>
      <c r="J629" s="7">
        <f t="shared" si="63"/>
        <v>-506.02</v>
      </c>
      <c r="K629" s="7">
        <f t="shared" si="64"/>
        <v>200</v>
      </c>
      <c r="L629" s="7">
        <f t="shared" si="65"/>
        <v>706.02</v>
      </c>
      <c r="M629" s="7">
        <f t="shared" si="66"/>
        <v>6893.98</v>
      </c>
      <c r="N629" s="7">
        <f t="shared" si="67"/>
        <v>6893.98</v>
      </c>
      <c r="O629" s="7" t="str">
        <f t="shared" si="68"/>
        <v>n.a.</v>
      </c>
      <c r="P629" s="15" t="str">
        <f t="shared" si="69"/>
        <v>n.a.</v>
      </c>
      <c r="Q629" s="7">
        <f>J629*'Model inputs'!$B$8</f>
        <v>-50602</v>
      </c>
      <c r="R629" s="1" t="s">
        <v>164</v>
      </c>
      <c r="S629" s="1">
        <v>836</v>
      </c>
      <c r="T629" s="1">
        <v>817</v>
      </c>
    </row>
    <row r="630" spans="1:20" ht="21" customHeight="1">
      <c r="A630" s="8">
        <v>46273</v>
      </c>
      <c r="B630" s="1" t="s">
        <v>36</v>
      </c>
      <c r="C630" s="1" t="s">
        <v>90</v>
      </c>
      <c r="D630" s="7">
        <v>8000</v>
      </c>
      <c r="E630" s="7">
        <v>7800</v>
      </c>
      <c r="F630" s="7"/>
      <c r="G630" s="7">
        <f>'Option source'!B860</f>
        <v>960</v>
      </c>
      <c r="H630" s="7">
        <f>'Option source'!B841</f>
        <v>780</v>
      </c>
      <c r="I630" s="7"/>
      <c r="J630" s="7">
        <f t="shared" si="63"/>
        <v>-600</v>
      </c>
      <c r="K630" s="7">
        <f t="shared" si="64"/>
        <v>200</v>
      </c>
      <c r="L630" s="7">
        <f t="shared" si="65"/>
        <v>800</v>
      </c>
      <c r="M630" s="7">
        <f t="shared" si="66"/>
        <v>7000</v>
      </c>
      <c r="N630" s="7">
        <f t="shared" si="67"/>
        <v>7000</v>
      </c>
      <c r="O630" s="7" t="str">
        <f t="shared" si="68"/>
        <v>n.a.</v>
      </c>
      <c r="P630" s="15" t="str">
        <f t="shared" si="69"/>
        <v>n.a.</v>
      </c>
      <c r="Q630" s="7">
        <f>J630*'Model inputs'!$B$8</f>
        <v>-60000</v>
      </c>
      <c r="R630" s="1" t="s">
        <v>164</v>
      </c>
      <c r="S630" s="1">
        <v>855</v>
      </c>
      <c r="T630" s="1">
        <v>836</v>
      </c>
    </row>
    <row r="631" spans="1:20" ht="21" customHeight="1">
      <c r="A631" s="8">
        <v>46273</v>
      </c>
      <c r="B631" s="1" t="s">
        <v>36</v>
      </c>
      <c r="C631" s="1" t="s">
        <v>90</v>
      </c>
      <c r="D631" s="7">
        <v>8300</v>
      </c>
      <c r="E631" s="7">
        <v>8000</v>
      </c>
      <c r="F631" s="7"/>
      <c r="G631" s="7">
        <f>'Option source'!B879</f>
        <v>1350</v>
      </c>
      <c r="H631" s="7">
        <f>'Option source'!B860</f>
        <v>960</v>
      </c>
      <c r="I631" s="7"/>
      <c r="J631" s="7">
        <f t="shared" si="63"/>
        <v>-570</v>
      </c>
      <c r="K631" s="7">
        <f t="shared" si="64"/>
        <v>300</v>
      </c>
      <c r="L631" s="7">
        <f t="shared" si="65"/>
        <v>870</v>
      </c>
      <c r="M631" s="7">
        <f t="shared" si="66"/>
        <v>7130</v>
      </c>
      <c r="N631" s="7">
        <f t="shared" si="67"/>
        <v>7130</v>
      </c>
      <c r="O631" s="7" t="str">
        <f t="shared" si="68"/>
        <v>n.a.</v>
      </c>
      <c r="P631" s="15" t="str">
        <f t="shared" si="69"/>
        <v>n.a.</v>
      </c>
      <c r="Q631" s="7">
        <f>J631*'Model inputs'!$B$8</f>
        <v>-57000</v>
      </c>
      <c r="R631" s="1" t="s">
        <v>164</v>
      </c>
      <c r="S631" s="1">
        <v>874</v>
      </c>
      <c r="T631" s="1">
        <v>855</v>
      </c>
    </row>
    <row r="632" spans="1:20" ht="21" customHeight="1">
      <c r="A632" s="8">
        <v>46273</v>
      </c>
      <c r="B632" s="1" t="s">
        <v>36</v>
      </c>
      <c r="C632" s="1" t="s">
        <v>87</v>
      </c>
      <c r="D632" s="7">
        <v>5800</v>
      </c>
      <c r="E632" s="7">
        <v>6000</v>
      </c>
      <c r="F632" s="7"/>
      <c r="G632" s="7">
        <f>'Option source'!B157</f>
        <v>1310</v>
      </c>
      <c r="H632" s="7">
        <f>'Option source'!B176</f>
        <v>1200</v>
      </c>
      <c r="I632" s="7"/>
      <c r="J632" s="7">
        <f t="shared" si="63"/>
        <v>-1090</v>
      </c>
      <c r="K632" s="7">
        <f t="shared" si="64"/>
        <v>200</v>
      </c>
      <c r="L632" s="7">
        <f t="shared" si="65"/>
        <v>1290</v>
      </c>
      <c r="M632" s="7" t="str">
        <f t="shared" si="66"/>
        <v>Unlimited</v>
      </c>
      <c r="N632" s="7" t="str">
        <f t="shared" si="67"/>
        <v>n.a.</v>
      </c>
      <c r="O632" s="7">
        <f t="shared" si="68"/>
        <v>7290</v>
      </c>
      <c r="P632" s="15" t="str">
        <f t="shared" si="69"/>
        <v>n.a.</v>
      </c>
      <c r="Q632" s="7">
        <f>J632*'Model inputs'!$B$8</f>
        <v>-109000</v>
      </c>
      <c r="R632" s="1" t="s">
        <v>164</v>
      </c>
      <c r="S632" s="1">
        <v>152</v>
      </c>
      <c r="T632" s="1">
        <v>171</v>
      </c>
    </row>
    <row r="633" spans="1:20" ht="21" customHeight="1">
      <c r="A633" s="8">
        <v>46273</v>
      </c>
      <c r="B633" s="1" t="s">
        <v>36</v>
      </c>
      <c r="C633" s="1" t="s">
        <v>87</v>
      </c>
      <c r="D633" s="7">
        <v>5600</v>
      </c>
      <c r="E633" s="7">
        <v>5800</v>
      </c>
      <c r="F633" s="7"/>
      <c r="G633" s="7">
        <f>'Option source'!B147</f>
        <v>1490</v>
      </c>
      <c r="H633" s="7">
        <f>'Option source'!B157</f>
        <v>1310</v>
      </c>
      <c r="I633" s="7"/>
      <c r="J633" s="7">
        <f t="shared" si="63"/>
        <v>-1130</v>
      </c>
      <c r="K633" s="7">
        <f t="shared" si="64"/>
        <v>200</v>
      </c>
      <c r="L633" s="7">
        <f t="shared" si="65"/>
        <v>1330</v>
      </c>
      <c r="M633" s="7" t="str">
        <f t="shared" si="66"/>
        <v>Unlimited</v>
      </c>
      <c r="N633" s="7" t="str">
        <f t="shared" si="67"/>
        <v>n.a.</v>
      </c>
      <c r="O633" s="7">
        <f t="shared" si="68"/>
        <v>7130</v>
      </c>
      <c r="P633" s="15" t="str">
        <f t="shared" si="69"/>
        <v>n.a.</v>
      </c>
      <c r="Q633" s="7">
        <f>J633*'Model inputs'!$B$8</f>
        <v>-113000</v>
      </c>
      <c r="R633" s="1" t="s">
        <v>164</v>
      </c>
      <c r="S633" s="1">
        <v>142</v>
      </c>
      <c r="T633" s="1">
        <v>152</v>
      </c>
    </row>
    <row r="634" spans="1:20" ht="21" customHeight="1">
      <c r="A634" s="8">
        <v>46273</v>
      </c>
      <c r="B634" s="1" t="s">
        <v>36</v>
      </c>
      <c r="C634" s="1" t="s">
        <v>90</v>
      </c>
      <c r="D634" s="7">
        <v>8600</v>
      </c>
      <c r="E634" s="7">
        <v>8300</v>
      </c>
      <c r="F634" s="7"/>
      <c r="G634" s="7">
        <f>'Option source'!B898</f>
        <v>1463.59</v>
      </c>
      <c r="H634" s="7">
        <f>'Option source'!B879</f>
        <v>1350</v>
      </c>
      <c r="I634" s="7"/>
      <c r="J634" s="7">
        <f t="shared" si="63"/>
        <v>-1236.4100000000001</v>
      </c>
      <c r="K634" s="7">
        <f t="shared" si="64"/>
        <v>300</v>
      </c>
      <c r="L634" s="7">
        <f t="shared" si="65"/>
        <v>1536.41</v>
      </c>
      <c r="M634" s="7">
        <f t="shared" si="66"/>
        <v>6763.59</v>
      </c>
      <c r="N634" s="7">
        <f t="shared" si="67"/>
        <v>6763.59</v>
      </c>
      <c r="O634" s="7" t="str">
        <f t="shared" si="68"/>
        <v>n.a.</v>
      </c>
      <c r="P634" s="15" t="str">
        <f t="shared" si="69"/>
        <v>n.a.</v>
      </c>
      <c r="Q634" s="7">
        <f>J634*'Model inputs'!$B$8</f>
        <v>-123641.00000000001</v>
      </c>
      <c r="R634" s="1" t="s">
        <v>164</v>
      </c>
      <c r="S634" s="1">
        <v>893</v>
      </c>
      <c r="T634" s="1">
        <v>874</v>
      </c>
    </row>
    <row r="635" spans="1:20" ht="21" customHeight="1">
      <c r="A635" s="8">
        <v>46273</v>
      </c>
      <c r="B635" s="1" t="s">
        <v>36</v>
      </c>
      <c r="C635" s="1" t="s">
        <v>87</v>
      </c>
      <c r="D635" s="7">
        <v>5400</v>
      </c>
      <c r="E635" s="7">
        <v>5600</v>
      </c>
      <c r="F635" s="7"/>
      <c r="G635" s="7">
        <f>'Option source'!B129</f>
        <v>1636.72</v>
      </c>
      <c r="H635" s="7">
        <f>'Option source'!B147</f>
        <v>1490</v>
      </c>
      <c r="I635" s="7"/>
      <c r="J635" s="7">
        <f t="shared" si="63"/>
        <v>-1343.28</v>
      </c>
      <c r="K635" s="7">
        <f t="shared" si="64"/>
        <v>200</v>
      </c>
      <c r="L635" s="7">
        <f t="shared" si="65"/>
        <v>1543.28</v>
      </c>
      <c r="M635" s="7" t="str">
        <f t="shared" si="66"/>
        <v>Unlimited</v>
      </c>
      <c r="N635" s="7" t="str">
        <f t="shared" si="67"/>
        <v>n.a.</v>
      </c>
      <c r="O635" s="7">
        <f t="shared" si="68"/>
        <v>7143.28</v>
      </c>
      <c r="P635" s="15" t="str">
        <f t="shared" si="69"/>
        <v>n.a.</v>
      </c>
      <c r="Q635" s="7">
        <f>J635*'Model inputs'!$B$8</f>
        <v>-134328</v>
      </c>
      <c r="R635" s="1" t="s">
        <v>164</v>
      </c>
      <c r="S635" s="1">
        <v>124</v>
      </c>
      <c r="T635" s="1">
        <v>142</v>
      </c>
    </row>
    <row r="636" spans="1:20" ht="21" customHeight="1">
      <c r="A636" s="8">
        <v>46273</v>
      </c>
      <c r="B636" s="1" t="s">
        <v>36</v>
      </c>
      <c r="C636" s="1" t="s">
        <v>90</v>
      </c>
      <c r="D636" s="7">
        <v>8900</v>
      </c>
      <c r="E636" s="7">
        <v>8600</v>
      </c>
      <c r="F636" s="7"/>
      <c r="G636" s="7">
        <f>'Option source'!B913</f>
        <v>2022.5</v>
      </c>
      <c r="H636" s="7">
        <f>'Option source'!B898</f>
        <v>1463.59</v>
      </c>
      <c r="I636" s="7"/>
      <c r="J636" s="7">
        <f t="shared" si="63"/>
        <v>-904.67999999999984</v>
      </c>
      <c r="K636" s="7">
        <f t="shared" si="64"/>
        <v>300</v>
      </c>
      <c r="L636" s="7">
        <f t="shared" si="65"/>
        <v>1204.6799999999998</v>
      </c>
      <c r="M636" s="7">
        <f t="shared" si="66"/>
        <v>7395.32</v>
      </c>
      <c r="N636" s="7">
        <f t="shared" si="67"/>
        <v>7395.32</v>
      </c>
      <c r="O636" s="7" t="str">
        <f t="shared" si="68"/>
        <v>n.a.</v>
      </c>
      <c r="P636" s="15" t="str">
        <f t="shared" si="69"/>
        <v>n.a.</v>
      </c>
      <c r="Q636" s="7">
        <f>J636*'Model inputs'!$B$8</f>
        <v>-90467.999999999985</v>
      </c>
      <c r="R636" s="1" t="s">
        <v>164</v>
      </c>
      <c r="S636" s="1">
        <v>908</v>
      </c>
      <c r="T636" s="1">
        <v>893</v>
      </c>
    </row>
    <row r="637" spans="1:20" ht="21" customHeight="1">
      <c r="A637" s="8">
        <v>46273</v>
      </c>
      <c r="B637" s="1" t="s">
        <v>36</v>
      </c>
      <c r="C637" s="1" t="s">
        <v>87</v>
      </c>
      <c r="D637" s="7">
        <v>5200</v>
      </c>
      <c r="E637" s="7">
        <v>5400</v>
      </c>
      <c r="F637" s="7"/>
      <c r="G637" s="7">
        <f>'Option source'!B110</f>
        <v>1880.26</v>
      </c>
      <c r="H637" s="7">
        <f>'Option source'!B129</f>
        <v>1636.72</v>
      </c>
      <c r="I637" s="7"/>
      <c r="J637" s="7">
        <f t="shared" si="63"/>
        <v>-1393.18</v>
      </c>
      <c r="K637" s="7">
        <f t="shared" si="64"/>
        <v>200</v>
      </c>
      <c r="L637" s="7">
        <f t="shared" si="65"/>
        <v>1593.18</v>
      </c>
      <c r="M637" s="7" t="str">
        <f t="shared" si="66"/>
        <v>Unlimited</v>
      </c>
      <c r="N637" s="7" t="str">
        <f t="shared" si="67"/>
        <v>n.a.</v>
      </c>
      <c r="O637" s="7">
        <f t="shared" si="68"/>
        <v>6993.18</v>
      </c>
      <c r="P637" s="15" t="str">
        <f t="shared" si="69"/>
        <v>n.a.</v>
      </c>
      <c r="Q637" s="7">
        <f>J637*'Model inputs'!$B$8</f>
        <v>-139318</v>
      </c>
      <c r="R637" s="1" t="s">
        <v>164</v>
      </c>
      <c r="S637" s="1">
        <v>105</v>
      </c>
      <c r="T637" s="1">
        <v>124</v>
      </c>
    </row>
    <row r="638" spans="1:20" ht="21" customHeight="1">
      <c r="A638" s="8">
        <v>46273</v>
      </c>
      <c r="B638" s="1" t="s">
        <v>36</v>
      </c>
      <c r="C638" s="1" t="s">
        <v>87</v>
      </c>
      <c r="D638" s="7">
        <v>5000</v>
      </c>
      <c r="E638" s="7">
        <v>5200</v>
      </c>
      <c r="F638" s="7"/>
      <c r="G638" s="7">
        <f>'Option source'!B91</f>
        <v>2094.25</v>
      </c>
      <c r="H638" s="7">
        <f>'Option source'!B110</f>
        <v>1880.26</v>
      </c>
      <c r="I638" s="7"/>
      <c r="J638" s="7">
        <f t="shared" si="63"/>
        <v>-1666.27</v>
      </c>
      <c r="K638" s="7">
        <f t="shared" si="64"/>
        <v>200</v>
      </c>
      <c r="L638" s="7">
        <f t="shared" si="65"/>
        <v>1866.27</v>
      </c>
      <c r="M638" s="7" t="str">
        <f t="shared" si="66"/>
        <v>Unlimited</v>
      </c>
      <c r="N638" s="7" t="str">
        <f t="shared" si="67"/>
        <v>n.a.</v>
      </c>
      <c r="O638" s="7">
        <f t="shared" si="68"/>
        <v>7066.27</v>
      </c>
      <c r="P638" s="15" t="str">
        <f t="shared" si="69"/>
        <v>n.a.</v>
      </c>
      <c r="Q638" s="7">
        <f>J638*'Model inputs'!$B$8</f>
        <v>-166627</v>
      </c>
      <c r="R638" s="1" t="s">
        <v>164</v>
      </c>
      <c r="S638" s="1">
        <v>86</v>
      </c>
      <c r="T638" s="1">
        <v>105</v>
      </c>
    </row>
    <row r="639" spans="1:20" ht="21" customHeight="1">
      <c r="A639" s="8">
        <v>46273</v>
      </c>
      <c r="B639" s="1" t="s">
        <v>36</v>
      </c>
      <c r="C639" s="1" t="s">
        <v>90</v>
      </c>
      <c r="D639" s="7">
        <v>9200</v>
      </c>
      <c r="E639" s="7">
        <v>8900</v>
      </c>
      <c r="F639" s="7"/>
      <c r="G639" s="7">
        <f>'Option source'!B920</f>
        <v>2000</v>
      </c>
      <c r="H639" s="7">
        <f>'Option source'!B913</f>
        <v>2022.5</v>
      </c>
      <c r="I639" s="7"/>
      <c r="J639" s="7">
        <f t="shared" si="63"/>
        <v>-2045</v>
      </c>
      <c r="K639" s="7">
        <f t="shared" si="64"/>
        <v>300</v>
      </c>
      <c r="L639" s="7">
        <f t="shared" si="65"/>
        <v>2345</v>
      </c>
      <c r="M639" s="7">
        <f t="shared" si="66"/>
        <v>6555</v>
      </c>
      <c r="N639" s="7">
        <f t="shared" si="67"/>
        <v>6555</v>
      </c>
      <c r="O639" s="7" t="str">
        <f t="shared" si="68"/>
        <v>n.a.</v>
      </c>
      <c r="P639" s="15" t="str">
        <f t="shared" si="69"/>
        <v>n.a.</v>
      </c>
      <c r="Q639" s="7">
        <f>J639*'Model inputs'!$B$8</f>
        <v>-204500</v>
      </c>
      <c r="R639" s="1" t="s">
        <v>164</v>
      </c>
      <c r="S639" s="1">
        <v>915</v>
      </c>
      <c r="T639" s="1">
        <v>908</v>
      </c>
    </row>
    <row r="640" spans="1:20" ht="21" customHeight="1">
      <c r="A640" s="8">
        <v>46273</v>
      </c>
      <c r="B640" s="1" t="s">
        <v>36</v>
      </c>
      <c r="C640" s="1" t="s">
        <v>87</v>
      </c>
      <c r="D640" s="7">
        <v>4800</v>
      </c>
      <c r="E640" s="7">
        <v>5000</v>
      </c>
      <c r="F640" s="7"/>
      <c r="G640" s="7">
        <f>'Option source'!B74</f>
        <v>2347.98</v>
      </c>
      <c r="H640" s="7">
        <f>'Option source'!B91</f>
        <v>2094.25</v>
      </c>
      <c r="I640" s="7"/>
      <c r="J640" s="7">
        <f t="shared" si="63"/>
        <v>-1840.52</v>
      </c>
      <c r="K640" s="7">
        <f t="shared" si="64"/>
        <v>200</v>
      </c>
      <c r="L640" s="7">
        <f t="shared" si="65"/>
        <v>2040.52</v>
      </c>
      <c r="M640" s="7" t="str">
        <f t="shared" si="66"/>
        <v>Unlimited</v>
      </c>
      <c r="N640" s="7" t="str">
        <f t="shared" si="67"/>
        <v>n.a.</v>
      </c>
      <c r="O640" s="7">
        <f t="shared" si="68"/>
        <v>7040.52</v>
      </c>
      <c r="P640" s="15" t="str">
        <f t="shared" si="69"/>
        <v>n.a.</v>
      </c>
      <c r="Q640" s="7">
        <f>J640*'Model inputs'!$B$8</f>
        <v>-184052</v>
      </c>
      <c r="R640" s="1" t="s">
        <v>164</v>
      </c>
      <c r="S640" s="1">
        <v>69</v>
      </c>
      <c r="T640" s="1">
        <v>86</v>
      </c>
    </row>
    <row r="641" spans="1:20" ht="21" customHeight="1">
      <c r="A641" s="8">
        <v>46273</v>
      </c>
      <c r="B641" s="1" t="s">
        <v>36</v>
      </c>
      <c r="C641" s="1" t="s">
        <v>87</v>
      </c>
      <c r="D641" s="7">
        <v>4600</v>
      </c>
      <c r="E641" s="7">
        <v>4800</v>
      </c>
      <c r="F641" s="7"/>
      <c r="G641" s="7">
        <f>'Option source'!B57</f>
        <v>2453.9</v>
      </c>
      <c r="H641" s="7">
        <f>'Option source'!B74</f>
        <v>2347.98</v>
      </c>
      <c r="I641" s="7"/>
      <c r="J641" s="7">
        <f t="shared" si="63"/>
        <v>-2242.06</v>
      </c>
      <c r="K641" s="7">
        <f t="shared" si="64"/>
        <v>200</v>
      </c>
      <c r="L641" s="7">
        <f t="shared" si="65"/>
        <v>2442.06</v>
      </c>
      <c r="M641" s="7" t="str">
        <f t="shared" si="66"/>
        <v>Unlimited</v>
      </c>
      <c r="N641" s="7" t="str">
        <f t="shared" si="67"/>
        <v>n.a.</v>
      </c>
      <c r="O641" s="7">
        <f t="shared" si="68"/>
        <v>7242.0599999999995</v>
      </c>
      <c r="P641" s="15" t="str">
        <f t="shared" si="69"/>
        <v>n.a.</v>
      </c>
      <c r="Q641" s="7">
        <f>J641*'Model inputs'!$B$8</f>
        <v>-224206</v>
      </c>
      <c r="R641" s="1" t="s">
        <v>164</v>
      </c>
      <c r="S641" s="1">
        <v>52</v>
      </c>
      <c r="T641" s="1">
        <v>69</v>
      </c>
    </row>
    <row r="642" spans="1:20" ht="21" customHeight="1">
      <c r="A642" s="8">
        <v>46273</v>
      </c>
      <c r="B642" s="1" t="s">
        <v>36</v>
      </c>
      <c r="C642" s="1" t="s">
        <v>87</v>
      </c>
      <c r="D642" s="7">
        <v>4400</v>
      </c>
      <c r="E642" s="7">
        <v>4600</v>
      </c>
      <c r="F642" s="7"/>
      <c r="G642" s="7">
        <f>'Option source'!B38</f>
        <v>2762.2</v>
      </c>
      <c r="H642" s="7">
        <f>'Option source'!B57</f>
        <v>2453.9</v>
      </c>
      <c r="I642" s="7"/>
      <c r="J642" s="7">
        <f t="shared" si="63"/>
        <v>-2145.6000000000004</v>
      </c>
      <c r="K642" s="7">
        <f t="shared" si="64"/>
        <v>200</v>
      </c>
      <c r="L642" s="7">
        <f t="shared" si="65"/>
        <v>2345.6000000000004</v>
      </c>
      <c r="M642" s="7" t="str">
        <f t="shared" si="66"/>
        <v>Unlimited</v>
      </c>
      <c r="N642" s="7" t="str">
        <f t="shared" si="67"/>
        <v>n.a.</v>
      </c>
      <c r="O642" s="7">
        <f t="shared" si="68"/>
        <v>6945.6</v>
      </c>
      <c r="P642" s="15" t="str">
        <f t="shared" si="69"/>
        <v>n.a.</v>
      </c>
      <c r="Q642" s="7">
        <f>J642*'Model inputs'!$B$8</f>
        <v>-214560.00000000003</v>
      </c>
      <c r="R642" s="1" t="s">
        <v>164</v>
      </c>
      <c r="S642" s="1">
        <v>33</v>
      </c>
      <c r="T642" s="1">
        <v>52</v>
      </c>
    </row>
    <row r="643" spans="1:20" ht="21" customHeight="1">
      <c r="A643" s="8">
        <v>46273</v>
      </c>
      <c r="B643" s="1" t="s">
        <v>36</v>
      </c>
      <c r="C643" s="1" t="s">
        <v>87</v>
      </c>
      <c r="D643" s="7">
        <v>4200</v>
      </c>
      <c r="E643" s="7">
        <v>4400</v>
      </c>
      <c r="F643" s="7"/>
      <c r="G643" s="7">
        <f>'Option source'!B19</f>
        <v>2845.62</v>
      </c>
      <c r="H643" s="7">
        <f>'Option source'!B38</f>
        <v>2762.2</v>
      </c>
      <c r="I643" s="7"/>
      <c r="J643" s="7">
        <f t="shared" si="63"/>
        <v>-2678.7799999999997</v>
      </c>
      <c r="K643" s="7">
        <f t="shared" si="64"/>
        <v>200</v>
      </c>
      <c r="L643" s="7">
        <f t="shared" si="65"/>
        <v>2878.7799999999997</v>
      </c>
      <c r="M643" s="7" t="str">
        <f t="shared" si="66"/>
        <v>Unlimited</v>
      </c>
      <c r="N643" s="7" t="str">
        <f t="shared" si="67"/>
        <v>n.a.</v>
      </c>
      <c r="O643" s="7">
        <f t="shared" si="68"/>
        <v>7278.78</v>
      </c>
      <c r="P643" s="15" t="str">
        <f t="shared" si="69"/>
        <v>n.a.</v>
      </c>
      <c r="Q643" s="7">
        <f>J643*'Model inputs'!$B$8</f>
        <v>-267878</v>
      </c>
      <c r="R643" s="1" t="s">
        <v>164</v>
      </c>
      <c r="S643" s="1">
        <v>14</v>
      </c>
      <c r="T643" s="1">
        <v>33</v>
      </c>
    </row>
    <row r="644" spans="1:20" ht="21" customHeight="1">
      <c r="A644" s="8">
        <v>46272</v>
      </c>
      <c r="B644" s="1" t="s">
        <v>34</v>
      </c>
      <c r="C644" s="1" t="s">
        <v>87</v>
      </c>
      <c r="D644" s="7">
        <v>6800</v>
      </c>
      <c r="E644" s="7">
        <v>7000</v>
      </c>
      <c r="F644" s="7">
        <v>7200</v>
      </c>
      <c r="G644" s="7">
        <f>'Option source'!B251</f>
        <v>567</v>
      </c>
      <c r="H644" s="7">
        <f>'Option source'!B270</f>
        <v>460.71</v>
      </c>
      <c r="I644" s="7">
        <f>'Option source'!B289</f>
        <v>366.28</v>
      </c>
      <c r="J644" s="7">
        <f t="shared" si="63"/>
        <v>11.860000000000014</v>
      </c>
      <c r="K644" s="7">
        <f t="shared" si="64"/>
        <v>200</v>
      </c>
      <c r="L644" s="7">
        <f t="shared" si="65"/>
        <v>188.14</v>
      </c>
      <c r="M644" s="7">
        <f t="shared" si="66"/>
        <v>11.860000000000014</v>
      </c>
      <c r="N644" s="7">
        <f t="shared" si="67"/>
        <v>6811.86</v>
      </c>
      <c r="O644" s="7">
        <f t="shared" si="68"/>
        <v>7188.14</v>
      </c>
      <c r="P644" s="15">
        <f t="shared" si="69"/>
        <v>15.863406408094416</v>
      </c>
      <c r="Q644" s="7">
        <f>J644*'Model inputs'!$B$8</f>
        <v>1186.0000000000014</v>
      </c>
      <c r="R644" s="1" t="s">
        <v>162</v>
      </c>
      <c r="S644" s="1">
        <v>246</v>
      </c>
      <c r="T644" s="1">
        <v>265</v>
      </c>
    </row>
    <row r="645" spans="1:20" ht="21" customHeight="1">
      <c r="A645" s="8">
        <v>46272</v>
      </c>
      <c r="B645" s="1" t="s">
        <v>34</v>
      </c>
      <c r="C645" s="1" t="s">
        <v>90</v>
      </c>
      <c r="D645" s="7">
        <v>6800</v>
      </c>
      <c r="E645" s="7">
        <v>7000</v>
      </c>
      <c r="F645" s="7">
        <v>7200</v>
      </c>
      <c r="G645" s="7">
        <f>'Option source'!B745</f>
        <v>254.66</v>
      </c>
      <c r="H645" s="7">
        <f>'Option source'!B764</f>
        <v>341.02</v>
      </c>
      <c r="I645" s="7">
        <f>'Option source'!B783</f>
        <v>455</v>
      </c>
      <c r="J645" s="7">
        <f t="shared" si="63"/>
        <v>27.620000000000005</v>
      </c>
      <c r="K645" s="7">
        <f t="shared" si="64"/>
        <v>200</v>
      </c>
      <c r="L645" s="7">
        <f t="shared" si="65"/>
        <v>172.38</v>
      </c>
      <c r="M645" s="7">
        <f t="shared" si="66"/>
        <v>27.620000000000005</v>
      </c>
      <c r="N645" s="7">
        <f t="shared" si="67"/>
        <v>6827.62</v>
      </c>
      <c r="O645" s="7">
        <f t="shared" si="68"/>
        <v>7172.38</v>
      </c>
      <c r="P645" s="15">
        <f t="shared" si="69"/>
        <v>6.2411296162201291</v>
      </c>
      <c r="Q645" s="7">
        <f>J645*'Model inputs'!$B$8</f>
        <v>2762.0000000000005</v>
      </c>
      <c r="R645" s="1" t="s">
        <v>162</v>
      </c>
      <c r="S645" s="1">
        <v>740</v>
      </c>
      <c r="T645" s="1">
        <v>759</v>
      </c>
    </row>
    <row r="646" spans="1:20" ht="21" customHeight="1">
      <c r="A646" s="8">
        <v>46272</v>
      </c>
      <c r="B646" s="1" t="s">
        <v>34</v>
      </c>
      <c r="C646" s="1" t="s">
        <v>87</v>
      </c>
      <c r="D646" s="7">
        <v>6600</v>
      </c>
      <c r="E646" s="7">
        <v>6800</v>
      </c>
      <c r="F646" s="7">
        <v>7000</v>
      </c>
      <c r="G646" s="7">
        <f>'Option source'!B232</f>
        <v>687.1</v>
      </c>
      <c r="H646" s="7">
        <f>'Option source'!B251</f>
        <v>567</v>
      </c>
      <c r="I646" s="7">
        <f>'Option source'!B270</f>
        <v>460.71</v>
      </c>
      <c r="J646" s="7">
        <f t="shared" si="63"/>
        <v>13.810000000000002</v>
      </c>
      <c r="K646" s="7">
        <f t="shared" si="64"/>
        <v>200</v>
      </c>
      <c r="L646" s="7">
        <f t="shared" si="65"/>
        <v>186.19</v>
      </c>
      <c r="M646" s="7">
        <f t="shared" si="66"/>
        <v>13.810000000000002</v>
      </c>
      <c r="N646" s="7">
        <f t="shared" si="67"/>
        <v>6613.81</v>
      </c>
      <c r="O646" s="7">
        <f t="shared" si="68"/>
        <v>6986.19</v>
      </c>
      <c r="P646" s="15">
        <f t="shared" si="69"/>
        <v>13.482259232440258</v>
      </c>
      <c r="Q646" s="7">
        <f>J646*'Model inputs'!$B$8</f>
        <v>1381.0000000000002</v>
      </c>
      <c r="R646" s="1" t="s">
        <v>162</v>
      </c>
      <c r="S646" s="1">
        <v>227</v>
      </c>
      <c r="T646" s="1">
        <v>246</v>
      </c>
    </row>
    <row r="647" spans="1:20" ht="21" customHeight="1">
      <c r="A647" s="8">
        <v>46272</v>
      </c>
      <c r="B647" s="1" t="s">
        <v>34</v>
      </c>
      <c r="C647" s="1" t="s">
        <v>90</v>
      </c>
      <c r="D647" s="7">
        <v>6600</v>
      </c>
      <c r="E647" s="7">
        <v>6800</v>
      </c>
      <c r="F647" s="7">
        <v>7000</v>
      </c>
      <c r="G647" s="7">
        <f>'Option source'!B726</f>
        <v>180.32</v>
      </c>
      <c r="H647" s="7">
        <f>'Option source'!B745</f>
        <v>254.66</v>
      </c>
      <c r="I647" s="7">
        <f>'Option source'!B764</f>
        <v>341.02</v>
      </c>
      <c r="J647" s="7">
        <f t="shared" ref="J647:J710" si="70">G647-2*H647+IF(B647="Butterfly",I647,0)</f>
        <v>12.019999999999982</v>
      </c>
      <c r="K647" s="7">
        <f t="shared" ref="K647:K710" si="71">ABS(E647-D647)</f>
        <v>200</v>
      </c>
      <c r="L647" s="7">
        <f t="shared" ref="L647:L710" si="72">K647-J647</f>
        <v>187.98000000000002</v>
      </c>
      <c r="M647" s="7">
        <f t="shared" ref="M647:M710" si="73">IF(B647="Butterfly",MAX(J647,0),IF(C647="call","Unlimited",MAX(2*E647-D647+J647,J647,0)))</f>
        <v>12.019999999999982</v>
      </c>
      <c r="N647" s="7">
        <f t="shared" ref="N647:N710" si="74">IF(B647="Butterfly",IF(AND(J647&gt;0,J647&lt;K647),D647+J647,"n.a."),IF(C647="call",IF(AND(J647&gt;0,J647&lt;K647),D647+J647,"n.a."),IF(AND(K647&gt;J647,2*E647-D647+J647&gt;=0),2*E647-D647+J647,"n.a.")))</f>
        <v>6612.02</v>
      </c>
      <c r="O647" s="7">
        <f t="shared" ref="O647:O710" si="75">IF(B647="Butterfly",IF(AND(J647&gt;0,J647&lt;K647),F647-J647,"n.a."),IF(C647="call",IF(K647&gt;J647,2*E647-D647-J647,"n.a."),IF(AND(J647&gt;0,J647&lt;K647),D647-J647,"n.a.")))</f>
        <v>6987.98</v>
      </c>
      <c r="P647" s="15">
        <f t="shared" ref="P647:P710" si="76">IF(AND(B647="Butterfly",J647&gt;0,J647&lt;K647),L647/J647,"n.a.")</f>
        <v>15.638935108153103</v>
      </c>
      <c r="Q647" s="7">
        <f>J647*'Model inputs'!$B$8</f>
        <v>1201.9999999999982</v>
      </c>
      <c r="R647" s="1" t="s">
        <v>162</v>
      </c>
      <c r="S647" s="1">
        <v>721</v>
      </c>
      <c r="T647" s="1">
        <v>740</v>
      </c>
    </row>
    <row r="648" spans="1:20" ht="21" customHeight="1">
      <c r="A648" s="8">
        <v>46272</v>
      </c>
      <c r="B648" s="1" t="s">
        <v>34</v>
      </c>
      <c r="C648" s="1" t="s">
        <v>87</v>
      </c>
      <c r="D648" s="7">
        <v>7000</v>
      </c>
      <c r="E648" s="7">
        <v>7200</v>
      </c>
      <c r="F648" s="7">
        <v>7400</v>
      </c>
      <c r="G648" s="7">
        <f>'Option source'!B270</f>
        <v>460.71</v>
      </c>
      <c r="H648" s="7">
        <f>'Option source'!B289</f>
        <v>366.28</v>
      </c>
      <c r="I648" s="7">
        <f>'Option source'!B308</f>
        <v>286.38</v>
      </c>
      <c r="J648" s="7">
        <f t="shared" si="70"/>
        <v>14.53000000000003</v>
      </c>
      <c r="K648" s="7">
        <f t="shared" si="71"/>
        <v>200</v>
      </c>
      <c r="L648" s="7">
        <f t="shared" si="72"/>
        <v>185.46999999999997</v>
      </c>
      <c r="M648" s="7">
        <f t="shared" si="73"/>
        <v>14.53000000000003</v>
      </c>
      <c r="N648" s="7">
        <f t="shared" si="74"/>
        <v>7014.53</v>
      </c>
      <c r="O648" s="7">
        <f t="shared" si="75"/>
        <v>7385.47</v>
      </c>
      <c r="P648" s="15">
        <f t="shared" si="76"/>
        <v>12.764624913971065</v>
      </c>
      <c r="Q648" s="7">
        <f>J648*'Model inputs'!$B$8</f>
        <v>1453.000000000003</v>
      </c>
      <c r="R648" s="1" t="s">
        <v>162</v>
      </c>
      <c r="S648" s="1">
        <v>265</v>
      </c>
      <c r="T648" s="1">
        <v>284</v>
      </c>
    </row>
    <row r="649" spans="1:20" ht="21" customHeight="1">
      <c r="A649" s="8">
        <v>46272</v>
      </c>
      <c r="B649" s="1" t="s">
        <v>34</v>
      </c>
      <c r="C649" s="1" t="s">
        <v>87</v>
      </c>
      <c r="D649" s="7">
        <v>6400</v>
      </c>
      <c r="E649" s="7">
        <v>6600</v>
      </c>
      <c r="F649" s="7">
        <v>6800</v>
      </c>
      <c r="G649" s="7">
        <f>'Option source'!B213</f>
        <v>829</v>
      </c>
      <c r="H649" s="7">
        <f>'Option source'!B232</f>
        <v>687.1</v>
      </c>
      <c r="I649" s="7">
        <f>'Option source'!B251</f>
        <v>567</v>
      </c>
      <c r="J649" s="7">
        <f t="shared" si="70"/>
        <v>21.799999999999955</v>
      </c>
      <c r="K649" s="7">
        <f t="shared" si="71"/>
        <v>200</v>
      </c>
      <c r="L649" s="7">
        <f t="shared" si="72"/>
        <v>178.20000000000005</v>
      </c>
      <c r="M649" s="7">
        <f t="shared" si="73"/>
        <v>21.799999999999955</v>
      </c>
      <c r="N649" s="7">
        <f t="shared" si="74"/>
        <v>6421.8</v>
      </c>
      <c r="O649" s="7">
        <f t="shared" si="75"/>
        <v>6778.2</v>
      </c>
      <c r="P649" s="15">
        <f t="shared" si="76"/>
        <v>8.1743119266055242</v>
      </c>
      <c r="Q649" s="7">
        <f>J649*'Model inputs'!$B$8</f>
        <v>2179.9999999999955</v>
      </c>
      <c r="R649" s="1" t="s">
        <v>162</v>
      </c>
      <c r="S649" s="1">
        <v>208</v>
      </c>
      <c r="T649" s="1">
        <v>227</v>
      </c>
    </row>
    <row r="650" spans="1:20" ht="21" customHeight="1">
      <c r="A650" s="8">
        <v>46272</v>
      </c>
      <c r="B650" s="1" t="s">
        <v>34</v>
      </c>
      <c r="C650" s="1" t="s">
        <v>90</v>
      </c>
      <c r="D650" s="7">
        <v>6400</v>
      </c>
      <c r="E650" s="7">
        <v>6600</v>
      </c>
      <c r="F650" s="7">
        <v>6800</v>
      </c>
      <c r="G650" s="7">
        <f>'Option source'!B707</f>
        <v>124.24</v>
      </c>
      <c r="H650" s="7">
        <f>'Option source'!B726</f>
        <v>180.32</v>
      </c>
      <c r="I650" s="7">
        <f>'Option source'!B745</f>
        <v>254.66</v>
      </c>
      <c r="J650" s="7">
        <f t="shared" si="70"/>
        <v>18.260000000000019</v>
      </c>
      <c r="K650" s="7">
        <f t="shared" si="71"/>
        <v>200</v>
      </c>
      <c r="L650" s="7">
        <f t="shared" si="72"/>
        <v>181.73999999999998</v>
      </c>
      <c r="M650" s="7">
        <f t="shared" si="73"/>
        <v>18.260000000000019</v>
      </c>
      <c r="N650" s="7">
        <f t="shared" si="74"/>
        <v>6418.26</v>
      </c>
      <c r="O650" s="7">
        <f t="shared" si="75"/>
        <v>6781.74</v>
      </c>
      <c r="P650" s="15">
        <f t="shared" si="76"/>
        <v>9.9529025191675675</v>
      </c>
      <c r="Q650" s="7">
        <f>J650*'Model inputs'!$B$8</f>
        <v>1826.0000000000018</v>
      </c>
      <c r="R650" s="1" t="s">
        <v>162</v>
      </c>
      <c r="S650" s="1">
        <v>702</v>
      </c>
      <c r="T650" s="1">
        <v>721</v>
      </c>
    </row>
    <row r="651" spans="1:20" ht="21" customHeight="1">
      <c r="A651" s="8">
        <v>46272</v>
      </c>
      <c r="B651" s="1" t="s">
        <v>34</v>
      </c>
      <c r="C651" s="1" t="s">
        <v>87</v>
      </c>
      <c r="D651" s="7">
        <v>7200</v>
      </c>
      <c r="E651" s="7">
        <v>7400</v>
      </c>
      <c r="F651" s="7">
        <v>7600</v>
      </c>
      <c r="G651" s="7">
        <f>'Option source'!B289</f>
        <v>366.28</v>
      </c>
      <c r="H651" s="7">
        <f>'Option source'!B308</f>
        <v>286.38</v>
      </c>
      <c r="I651" s="7">
        <f>'Option source'!B327</f>
        <v>221.81</v>
      </c>
      <c r="J651" s="7">
        <f t="shared" si="70"/>
        <v>15.329999999999984</v>
      </c>
      <c r="K651" s="7">
        <f t="shared" si="71"/>
        <v>200</v>
      </c>
      <c r="L651" s="7">
        <f t="shared" si="72"/>
        <v>184.67000000000002</v>
      </c>
      <c r="M651" s="7">
        <f t="shared" si="73"/>
        <v>15.329999999999984</v>
      </c>
      <c r="N651" s="7">
        <f t="shared" si="74"/>
        <v>7215.33</v>
      </c>
      <c r="O651" s="7">
        <f t="shared" si="75"/>
        <v>7584.67</v>
      </c>
      <c r="P651" s="15">
        <f t="shared" si="76"/>
        <v>12.046314416177443</v>
      </c>
      <c r="Q651" s="7">
        <f>J651*'Model inputs'!$B$8</f>
        <v>1532.9999999999984</v>
      </c>
      <c r="R651" s="1" t="s">
        <v>162</v>
      </c>
      <c r="S651" s="1">
        <v>284</v>
      </c>
      <c r="T651" s="1">
        <v>303</v>
      </c>
    </row>
    <row r="652" spans="1:20" ht="21" customHeight="1">
      <c r="A652" s="8">
        <v>46272</v>
      </c>
      <c r="B652" s="1" t="s">
        <v>34</v>
      </c>
      <c r="C652" s="1" t="s">
        <v>90</v>
      </c>
      <c r="D652" s="7">
        <v>6200</v>
      </c>
      <c r="E652" s="7">
        <v>6400</v>
      </c>
      <c r="F652" s="7">
        <v>6600</v>
      </c>
      <c r="G652" s="7">
        <f>'Option source'!B688</f>
        <v>81.09</v>
      </c>
      <c r="H652" s="7">
        <f>'Option source'!B707</f>
        <v>124.24</v>
      </c>
      <c r="I652" s="7">
        <f>'Option source'!B726</f>
        <v>180.32</v>
      </c>
      <c r="J652" s="7">
        <f t="shared" si="70"/>
        <v>12.930000000000007</v>
      </c>
      <c r="K652" s="7">
        <f t="shared" si="71"/>
        <v>200</v>
      </c>
      <c r="L652" s="7">
        <f t="shared" si="72"/>
        <v>187.07</v>
      </c>
      <c r="M652" s="7">
        <f t="shared" si="73"/>
        <v>12.930000000000007</v>
      </c>
      <c r="N652" s="7">
        <f t="shared" si="74"/>
        <v>6212.93</v>
      </c>
      <c r="O652" s="7">
        <f t="shared" si="75"/>
        <v>6587.07</v>
      </c>
      <c r="P652" s="15">
        <f t="shared" si="76"/>
        <v>14.467904098994579</v>
      </c>
      <c r="Q652" s="7">
        <f>J652*'Model inputs'!$B$8</f>
        <v>1293.0000000000007</v>
      </c>
      <c r="R652" s="1" t="s">
        <v>162</v>
      </c>
      <c r="S652" s="1">
        <v>683</v>
      </c>
      <c r="T652" s="1">
        <v>702</v>
      </c>
    </row>
    <row r="653" spans="1:20" ht="21" customHeight="1">
      <c r="A653" s="8">
        <v>46272</v>
      </c>
      <c r="B653" s="1" t="s">
        <v>34</v>
      </c>
      <c r="C653" s="1" t="s">
        <v>87</v>
      </c>
      <c r="D653" s="7">
        <v>7400</v>
      </c>
      <c r="E653" s="7">
        <v>7600</v>
      </c>
      <c r="F653" s="7">
        <v>7800</v>
      </c>
      <c r="G653" s="7">
        <f>'Option source'!B308</f>
        <v>286.38</v>
      </c>
      <c r="H653" s="7">
        <f>'Option source'!B327</f>
        <v>221.81</v>
      </c>
      <c r="I653" s="7">
        <f>'Option source'!B346</f>
        <v>170.27</v>
      </c>
      <c r="J653" s="7">
        <f t="shared" si="70"/>
        <v>13.030000000000001</v>
      </c>
      <c r="K653" s="7">
        <f t="shared" si="71"/>
        <v>200</v>
      </c>
      <c r="L653" s="7">
        <f t="shared" si="72"/>
        <v>186.97</v>
      </c>
      <c r="M653" s="7">
        <f t="shared" si="73"/>
        <v>13.030000000000001</v>
      </c>
      <c r="N653" s="7">
        <f t="shared" si="74"/>
        <v>7413.03</v>
      </c>
      <c r="O653" s="7">
        <f t="shared" si="75"/>
        <v>7786.97</v>
      </c>
      <c r="P653" s="15">
        <f t="shared" si="76"/>
        <v>14.349194167306216</v>
      </c>
      <c r="Q653" s="7">
        <f>J653*'Model inputs'!$B$8</f>
        <v>1303</v>
      </c>
      <c r="R653" s="1" t="s">
        <v>162</v>
      </c>
      <c r="S653" s="1">
        <v>303</v>
      </c>
      <c r="T653" s="1">
        <v>322</v>
      </c>
    </row>
    <row r="654" spans="1:20" ht="21" customHeight="1">
      <c r="A654" s="8">
        <v>46272</v>
      </c>
      <c r="B654" s="1" t="s">
        <v>34</v>
      </c>
      <c r="C654" s="1" t="s">
        <v>90</v>
      </c>
      <c r="D654" s="7">
        <v>6000</v>
      </c>
      <c r="E654" s="7">
        <v>6200</v>
      </c>
      <c r="F654" s="7">
        <v>6400</v>
      </c>
      <c r="G654" s="7">
        <f>'Option source'!B669</f>
        <v>49.14</v>
      </c>
      <c r="H654" s="7">
        <f>'Option source'!B688</f>
        <v>81.09</v>
      </c>
      <c r="I654" s="7">
        <f>'Option source'!B707</f>
        <v>124.24</v>
      </c>
      <c r="J654" s="7">
        <f t="shared" si="70"/>
        <v>11.199999999999989</v>
      </c>
      <c r="K654" s="7">
        <f t="shared" si="71"/>
        <v>200</v>
      </c>
      <c r="L654" s="7">
        <f t="shared" si="72"/>
        <v>188.8</v>
      </c>
      <c r="M654" s="7">
        <f t="shared" si="73"/>
        <v>11.199999999999989</v>
      </c>
      <c r="N654" s="7">
        <f t="shared" si="74"/>
        <v>6011.2</v>
      </c>
      <c r="O654" s="7">
        <f t="shared" si="75"/>
        <v>6388.8</v>
      </c>
      <c r="P654" s="15">
        <f t="shared" si="76"/>
        <v>16.857142857142875</v>
      </c>
      <c r="Q654" s="7">
        <f>J654*'Model inputs'!$B$8</f>
        <v>1119.9999999999989</v>
      </c>
      <c r="R654" s="1" t="s">
        <v>162</v>
      </c>
      <c r="S654" s="1">
        <v>664</v>
      </c>
      <c r="T654" s="1">
        <v>683</v>
      </c>
    </row>
    <row r="655" spans="1:20" ht="21" customHeight="1">
      <c r="A655" s="8">
        <v>46272</v>
      </c>
      <c r="B655" s="1" t="s">
        <v>34</v>
      </c>
      <c r="C655" s="1" t="s">
        <v>87</v>
      </c>
      <c r="D655" s="7">
        <v>7600</v>
      </c>
      <c r="E655" s="7">
        <v>7800</v>
      </c>
      <c r="F655" s="7">
        <v>8000</v>
      </c>
      <c r="G655" s="7">
        <f>'Option source'!B327</f>
        <v>221.81</v>
      </c>
      <c r="H655" s="7">
        <f>'Option source'!B346</f>
        <v>170.27</v>
      </c>
      <c r="I655" s="7">
        <f>'Option source'!B365</f>
        <v>129.99</v>
      </c>
      <c r="J655" s="7">
        <f t="shared" si="70"/>
        <v>11.259999999999991</v>
      </c>
      <c r="K655" s="7">
        <f t="shared" si="71"/>
        <v>200</v>
      </c>
      <c r="L655" s="7">
        <f t="shared" si="72"/>
        <v>188.74</v>
      </c>
      <c r="M655" s="7">
        <f t="shared" si="73"/>
        <v>11.259999999999991</v>
      </c>
      <c r="N655" s="7">
        <f t="shared" si="74"/>
        <v>7611.26</v>
      </c>
      <c r="O655" s="7">
        <f t="shared" si="75"/>
        <v>7988.74</v>
      </c>
      <c r="P655" s="15">
        <f t="shared" si="76"/>
        <v>16.761989342806409</v>
      </c>
      <c r="Q655" s="7">
        <f>J655*'Model inputs'!$B$8</f>
        <v>1125.9999999999991</v>
      </c>
      <c r="R655" s="1" t="s">
        <v>162</v>
      </c>
      <c r="S655" s="1">
        <v>322</v>
      </c>
      <c r="T655" s="1">
        <v>341</v>
      </c>
    </row>
    <row r="656" spans="1:20" ht="21" customHeight="1">
      <c r="A656" s="8">
        <v>46272</v>
      </c>
      <c r="B656" s="1" t="s">
        <v>34</v>
      </c>
      <c r="C656" s="1" t="s">
        <v>90</v>
      </c>
      <c r="D656" s="7">
        <v>5800</v>
      </c>
      <c r="E656" s="7">
        <v>6000</v>
      </c>
      <c r="F656" s="7">
        <v>6200</v>
      </c>
      <c r="G656" s="7">
        <f>'Option source'!B650</f>
        <v>28.16</v>
      </c>
      <c r="H656" s="7">
        <f>'Option source'!B669</f>
        <v>49.14</v>
      </c>
      <c r="I656" s="7">
        <f>'Option source'!B688</f>
        <v>81.09</v>
      </c>
      <c r="J656" s="7">
        <f t="shared" si="70"/>
        <v>10.969999999999999</v>
      </c>
      <c r="K656" s="7">
        <f t="shared" si="71"/>
        <v>200</v>
      </c>
      <c r="L656" s="7">
        <f t="shared" si="72"/>
        <v>189.03</v>
      </c>
      <c r="M656" s="7">
        <f t="shared" si="73"/>
        <v>10.969999999999999</v>
      </c>
      <c r="N656" s="7">
        <f t="shared" si="74"/>
        <v>5810.97</v>
      </c>
      <c r="O656" s="7">
        <f t="shared" si="75"/>
        <v>6189.03</v>
      </c>
      <c r="P656" s="15">
        <f t="shared" si="76"/>
        <v>17.23154056517776</v>
      </c>
      <c r="Q656" s="7">
        <f>J656*'Model inputs'!$B$8</f>
        <v>1097</v>
      </c>
      <c r="R656" s="1" t="s">
        <v>162</v>
      </c>
      <c r="S656" s="1">
        <v>645</v>
      </c>
      <c r="T656" s="1">
        <v>664</v>
      </c>
    </row>
    <row r="657" spans="1:20" ht="21" customHeight="1">
      <c r="A657" s="8">
        <v>46272</v>
      </c>
      <c r="B657" s="1" t="s">
        <v>34</v>
      </c>
      <c r="C657" s="1" t="s">
        <v>90</v>
      </c>
      <c r="D657" s="7">
        <v>5600</v>
      </c>
      <c r="E657" s="7">
        <v>5800</v>
      </c>
      <c r="F657" s="7">
        <v>6000</v>
      </c>
      <c r="G657" s="7">
        <f>'Option source'!B631</f>
        <v>16</v>
      </c>
      <c r="H657" s="7">
        <f>'Option source'!B650</f>
        <v>28.16</v>
      </c>
      <c r="I657" s="7">
        <f>'Option source'!B669</f>
        <v>49.14</v>
      </c>
      <c r="J657" s="7">
        <f t="shared" si="70"/>
        <v>8.82</v>
      </c>
      <c r="K657" s="7">
        <f t="shared" si="71"/>
        <v>200</v>
      </c>
      <c r="L657" s="7">
        <f t="shared" si="72"/>
        <v>191.18</v>
      </c>
      <c r="M657" s="7">
        <f t="shared" si="73"/>
        <v>8.82</v>
      </c>
      <c r="N657" s="7">
        <f t="shared" si="74"/>
        <v>5608.82</v>
      </c>
      <c r="O657" s="7">
        <f t="shared" si="75"/>
        <v>5991.18</v>
      </c>
      <c r="P657" s="15">
        <f t="shared" si="76"/>
        <v>21.675736961451246</v>
      </c>
      <c r="Q657" s="7">
        <f>J657*'Model inputs'!$B$8</f>
        <v>882</v>
      </c>
      <c r="R657" s="1" t="s">
        <v>162</v>
      </c>
      <c r="S657" s="1">
        <v>626</v>
      </c>
      <c r="T657" s="1">
        <v>645</v>
      </c>
    </row>
    <row r="658" spans="1:20" ht="21" customHeight="1">
      <c r="A658" s="8">
        <v>46272</v>
      </c>
      <c r="B658" s="1" t="s">
        <v>34</v>
      </c>
      <c r="C658" s="1" t="s">
        <v>90</v>
      </c>
      <c r="D658" s="7">
        <v>5400</v>
      </c>
      <c r="E658" s="7">
        <v>5600</v>
      </c>
      <c r="F658" s="7">
        <v>5800</v>
      </c>
      <c r="G658" s="7">
        <f>'Option source'!B612</f>
        <v>8.51</v>
      </c>
      <c r="H658" s="7">
        <f>'Option source'!B631</f>
        <v>16</v>
      </c>
      <c r="I658" s="7">
        <f>'Option source'!B650</f>
        <v>28.16</v>
      </c>
      <c r="J658" s="7">
        <f t="shared" si="70"/>
        <v>4.6699999999999982</v>
      </c>
      <c r="K658" s="7">
        <f t="shared" si="71"/>
        <v>200</v>
      </c>
      <c r="L658" s="7">
        <f t="shared" si="72"/>
        <v>195.33</v>
      </c>
      <c r="M658" s="7">
        <f t="shared" si="73"/>
        <v>4.6699999999999982</v>
      </c>
      <c r="N658" s="7">
        <f t="shared" si="74"/>
        <v>5404.67</v>
      </c>
      <c r="O658" s="7">
        <f t="shared" si="75"/>
        <v>5795.33</v>
      </c>
      <c r="P658" s="15">
        <f t="shared" si="76"/>
        <v>41.826552462526784</v>
      </c>
      <c r="Q658" s="7">
        <f>J658*'Model inputs'!$B$8</f>
        <v>466.99999999999983</v>
      </c>
      <c r="R658" s="1" t="s">
        <v>162</v>
      </c>
      <c r="S658" s="1">
        <v>607</v>
      </c>
      <c r="T658" s="1">
        <v>626</v>
      </c>
    </row>
    <row r="659" spans="1:20" ht="21" customHeight="1">
      <c r="A659" s="8">
        <v>46272</v>
      </c>
      <c r="B659" s="1" t="s">
        <v>34</v>
      </c>
      <c r="C659" s="1" t="s">
        <v>87</v>
      </c>
      <c r="D659" s="7">
        <v>8000</v>
      </c>
      <c r="E659" s="7">
        <v>8300</v>
      </c>
      <c r="F659" s="7">
        <v>8600</v>
      </c>
      <c r="G659" s="7">
        <f>'Option source'!B365</f>
        <v>129.99</v>
      </c>
      <c r="H659" s="7">
        <f>'Option source'!B384</f>
        <v>83.25</v>
      </c>
      <c r="I659" s="7">
        <f>'Option source'!B403</f>
        <v>48.42</v>
      </c>
      <c r="J659" s="7">
        <f t="shared" si="70"/>
        <v>11.910000000000011</v>
      </c>
      <c r="K659" s="7">
        <f t="shared" si="71"/>
        <v>300</v>
      </c>
      <c r="L659" s="7">
        <f t="shared" si="72"/>
        <v>288.08999999999997</v>
      </c>
      <c r="M659" s="7">
        <f t="shared" si="73"/>
        <v>11.910000000000011</v>
      </c>
      <c r="N659" s="7">
        <f t="shared" si="74"/>
        <v>8011.91</v>
      </c>
      <c r="O659" s="7">
        <f t="shared" si="75"/>
        <v>8588.09</v>
      </c>
      <c r="P659" s="15">
        <f t="shared" si="76"/>
        <v>24.188916876574282</v>
      </c>
      <c r="Q659" s="7">
        <f>J659*'Model inputs'!$B$8</f>
        <v>1191.0000000000011</v>
      </c>
      <c r="R659" s="1" t="s">
        <v>162</v>
      </c>
      <c r="S659" s="1">
        <v>360</v>
      </c>
      <c r="T659" s="1">
        <v>379</v>
      </c>
    </row>
    <row r="660" spans="1:20" ht="21" customHeight="1">
      <c r="A660" s="8">
        <v>46272</v>
      </c>
      <c r="B660" s="1" t="s">
        <v>34</v>
      </c>
      <c r="C660" s="1" t="s">
        <v>90</v>
      </c>
      <c r="D660" s="7">
        <v>5200</v>
      </c>
      <c r="E660" s="7">
        <v>5400</v>
      </c>
      <c r="F660" s="7">
        <v>5600</v>
      </c>
      <c r="G660" s="7">
        <f>'Option source'!B593</f>
        <v>4.8</v>
      </c>
      <c r="H660" s="7">
        <f>'Option source'!B612</f>
        <v>8.51</v>
      </c>
      <c r="I660" s="7">
        <f>'Option source'!B631</f>
        <v>16</v>
      </c>
      <c r="J660" s="7">
        <f t="shared" si="70"/>
        <v>3.7800000000000011</v>
      </c>
      <c r="K660" s="7">
        <f t="shared" si="71"/>
        <v>200</v>
      </c>
      <c r="L660" s="7">
        <f t="shared" si="72"/>
        <v>196.22</v>
      </c>
      <c r="M660" s="7">
        <f t="shared" si="73"/>
        <v>3.7800000000000011</v>
      </c>
      <c r="N660" s="7">
        <f t="shared" si="74"/>
        <v>5203.78</v>
      </c>
      <c r="O660" s="7">
        <f t="shared" si="75"/>
        <v>5596.22</v>
      </c>
      <c r="P660" s="15">
        <f t="shared" si="76"/>
        <v>51.910052910052897</v>
      </c>
      <c r="Q660" s="7">
        <f>J660*'Model inputs'!$B$8</f>
        <v>378.00000000000011</v>
      </c>
      <c r="R660" s="1" t="s">
        <v>162</v>
      </c>
      <c r="S660" s="1">
        <v>588</v>
      </c>
      <c r="T660" s="1">
        <v>607</v>
      </c>
    </row>
    <row r="661" spans="1:20" ht="21" customHeight="1">
      <c r="A661" s="8">
        <v>46272</v>
      </c>
      <c r="B661" s="1" t="s">
        <v>34</v>
      </c>
      <c r="C661" s="1" t="s">
        <v>87</v>
      </c>
      <c r="D661" s="7">
        <v>8300</v>
      </c>
      <c r="E661" s="7">
        <v>8600</v>
      </c>
      <c r="F661" s="7">
        <v>8900</v>
      </c>
      <c r="G661" s="7">
        <f>'Option source'!B384</f>
        <v>83.25</v>
      </c>
      <c r="H661" s="7">
        <f>'Option source'!B403</f>
        <v>48.42</v>
      </c>
      <c r="I661" s="7">
        <f>'Option source'!B422</f>
        <v>28.82</v>
      </c>
      <c r="J661" s="7">
        <f t="shared" si="70"/>
        <v>15.229999999999997</v>
      </c>
      <c r="K661" s="7">
        <f t="shared" si="71"/>
        <v>300</v>
      </c>
      <c r="L661" s="7">
        <f t="shared" si="72"/>
        <v>284.77</v>
      </c>
      <c r="M661" s="7">
        <f t="shared" si="73"/>
        <v>15.229999999999997</v>
      </c>
      <c r="N661" s="7">
        <f t="shared" si="74"/>
        <v>8315.23</v>
      </c>
      <c r="O661" s="7">
        <f t="shared" si="75"/>
        <v>8884.77</v>
      </c>
      <c r="P661" s="15">
        <f t="shared" si="76"/>
        <v>18.697964543663826</v>
      </c>
      <c r="Q661" s="7">
        <f>J661*'Model inputs'!$B$8</f>
        <v>1522.9999999999998</v>
      </c>
      <c r="R661" s="1" t="s">
        <v>162</v>
      </c>
      <c r="S661" s="1">
        <v>379</v>
      </c>
      <c r="T661" s="1">
        <v>398</v>
      </c>
    </row>
    <row r="662" spans="1:20" ht="21" customHeight="1">
      <c r="A662" s="8">
        <v>46272</v>
      </c>
      <c r="B662" s="1" t="s">
        <v>34</v>
      </c>
      <c r="C662" s="1" t="s">
        <v>90</v>
      </c>
      <c r="D662" s="7">
        <v>5000</v>
      </c>
      <c r="E662" s="7">
        <v>5200</v>
      </c>
      <c r="F662" s="7">
        <v>5400</v>
      </c>
      <c r="G662" s="7">
        <f>'Option source'!B574</f>
        <v>2.79</v>
      </c>
      <c r="H662" s="7">
        <f>'Option source'!B593</f>
        <v>4.8</v>
      </c>
      <c r="I662" s="7">
        <f>'Option source'!B612</f>
        <v>8.51</v>
      </c>
      <c r="J662" s="7">
        <f t="shared" si="70"/>
        <v>1.7000000000000002</v>
      </c>
      <c r="K662" s="7">
        <f t="shared" si="71"/>
        <v>200</v>
      </c>
      <c r="L662" s="7">
        <f t="shared" si="72"/>
        <v>198.3</v>
      </c>
      <c r="M662" s="7">
        <f t="shared" si="73"/>
        <v>1.7000000000000002</v>
      </c>
      <c r="N662" s="7">
        <f t="shared" si="74"/>
        <v>5001.7</v>
      </c>
      <c r="O662" s="7">
        <f t="shared" si="75"/>
        <v>5398.3</v>
      </c>
      <c r="P662" s="15">
        <f t="shared" si="76"/>
        <v>116.64705882352941</v>
      </c>
      <c r="Q662" s="7">
        <f>J662*'Model inputs'!$B$8</f>
        <v>170.00000000000003</v>
      </c>
      <c r="R662" s="1" t="s">
        <v>162</v>
      </c>
      <c r="S662" s="1">
        <v>569</v>
      </c>
      <c r="T662" s="1">
        <v>588</v>
      </c>
    </row>
    <row r="663" spans="1:20" ht="21" customHeight="1">
      <c r="A663" s="8">
        <v>46272</v>
      </c>
      <c r="B663" s="1" t="s">
        <v>34</v>
      </c>
      <c r="C663" s="1" t="s">
        <v>90</v>
      </c>
      <c r="D663" s="7">
        <v>4800</v>
      </c>
      <c r="E663" s="7">
        <v>5000</v>
      </c>
      <c r="F663" s="7">
        <v>5200</v>
      </c>
      <c r="G663" s="7">
        <f>'Option source'!B555</f>
        <v>1.85</v>
      </c>
      <c r="H663" s="7">
        <f>'Option source'!B574</f>
        <v>2.79</v>
      </c>
      <c r="I663" s="7">
        <f>'Option source'!B593</f>
        <v>4.8</v>
      </c>
      <c r="J663" s="7">
        <f t="shared" si="70"/>
        <v>1.0699999999999998</v>
      </c>
      <c r="K663" s="7">
        <f t="shared" si="71"/>
        <v>200</v>
      </c>
      <c r="L663" s="7">
        <f t="shared" si="72"/>
        <v>198.93</v>
      </c>
      <c r="M663" s="7">
        <f t="shared" si="73"/>
        <v>1.0699999999999998</v>
      </c>
      <c r="N663" s="7">
        <f t="shared" si="74"/>
        <v>4801.07</v>
      </c>
      <c r="O663" s="7">
        <f t="shared" si="75"/>
        <v>5198.93</v>
      </c>
      <c r="P663" s="15">
        <f t="shared" si="76"/>
        <v>185.91588785046733</v>
      </c>
      <c r="Q663" s="7">
        <f>J663*'Model inputs'!$B$8</f>
        <v>106.99999999999999</v>
      </c>
      <c r="R663" s="1" t="s">
        <v>162</v>
      </c>
      <c r="S663" s="1">
        <v>550</v>
      </c>
      <c r="T663" s="1">
        <v>569</v>
      </c>
    </row>
    <row r="664" spans="1:20" ht="21" customHeight="1">
      <c r="A664" s="8">
        <v>46272</v>
      </c>
      <c r="B664" s="1" t="s">
        <v>34</v>
      </c>
      <c r="C664" s="1" t="s">
        <v>87</v>
      </c>
      <c r="D664" s="7">
        <v>8600</v>
      </c>
      <c r="E664" s="7">
        <v>8900</v>
      </c>
      <c r="F664" s="7">
        <v>9200</v>
      </c>
      <c r="G664" s="7">
        <f>'Option source'!B403</f>
        <v>48.42</v>
      </c>
      <c r="H664" s="7">
        <f>'Option source'!B422</f>
        <v>28.82</v>
      </c>
      <c r="I664" s="7">
        <f>'Option source'!B441</f>
        <v>17.79</v>
      </c>
      <c r="J664" s="7">
        <f t="shared" si="70"/>
        <v>8.57</v>
      </c>
      <c r="K664" s="7">
        <f t="shared" si="71"/>
        <v>300</v>
      </c>
      <c r="L664" s="7">
        <f t="shared" si="72"/>
        <v>291.43</v>
      </c>
      <c r="M664" s="7">
        <f t="shared" si="73"/>
        <v>8.57</v>
      </c>
      <c r="N664" s="7">
        <f t="shared" si="74"/>
        <v>8608.57</v>
      </c>
      <c r="O664" s="7">
        <f t="shared" si="75"/>
        <v>9191.43</v>
      </c>
      <c r="P664" s="15">
        <f t="shared" si="76"/>
        <v>34.00583430571762</v>
      </c>
      <c r="Q664" s="7">
        <f>J664*'Model inputs'!$B$8</f>
        <v>857</v>
      </c>
      <c r="R664" s="1" t="s">
        <v>162</v>
      </c>
      <c r="S664" s="1">
        <v>398</v>
      </c>
      <c r="T664" s="1">
        <v>417</v>
      </c>
    </row>
    <row r="665" spans="1:20" ht="21" customHeight="1">
      <c r="A665" s="8">
        <v>46272</v>
      </c>
      <c r="B665" s="1" t="s">
        <v>34</v>
      </c>
      <c r="C665" s="1" t="s">
        <v>90</v>
      </c>
      <c r="D665" s="7">
        <v>4600</v>
      </c>
      <c r="E665" s="7">
        <v>4800</v>
      </c>
      <c r="F665" s="7">
        <v>5000</v>
      </c>
      <c r="G665" s="7">
        <f>'Option source'!B536</f>
        <v>1.47</v>
      </c>
      <c r="H665" s="7">
        <f>'Option source'!B555</f>
        <v>1.85</v>
      </c>
      <c r="I665" s="7">
        <f>'Option source'!B574</f>
        <v>2.79</v>
      </c>
      <c r="J665" s="7">
        <f t="shared" si="70"/>
        <v>0.55999999999999961</v>
      </c>
      <c r="K665" s="7">
        <f t="shared" si="71"/>
        <v>200</v>
      </c>
      <c r="L665" s="7">
        <f t="shared" si="72"/>
        <v>199.44</v>
      </c>
      <c r="M665" s="7">
        <f t="shared" si="73"/>
        <v>0.55999999999999961</v>
      </c>
      <c r="N665" s="7">
        <f t="shared" si="74"/>
        <v>4600.5600000000004</v>
      </c>
      <c r="O665" s="7">
        <f t="shared" si="75"/>
        <v>4999.4399999999996</v>
      </c>
      <c r="P665" s="15">
        <f t="shared" si="76"/>
        <v>356.14285714285739</v>
      </c>
      <c r="Q665" s="7">
        <f>J665*'Model inputs'!$B$8</f>
        <v>55.999999999999957</v>
      </c>
      <c r="R665" s="1" t="s">
        <v>162</v>
      </c>
      <c r="S665" s="1">
        <v>531</v>
      </c>
      <c r="T665" s="1">
        <v>550</v>
      </c>
    </row>
    <row r="666" spans="1:20" ht="21" customHeight="1">
      <c r="A666" s="8">
        <v>46272</v>
      </c>
      <c r="B666" s="1" t="s">
        <v>34</v>
      </c>
      <c r="C666" s="1" t="s">
        <v>87</v>
      </c>
      <c r="D666" s="7">
        <v>8900</v>
      </c>
      <c r="E666" s="7">
        <v>9200</v>
      </c>
      <c r="F666" s="7">
        <v>9500</v>
      </c>
      <c r="G666" s="7">
        <f>'Option source'!B422</f>
        <v>28.82</v>
      </c>
      <c r="H666" s="7">
        <f>'Option source'!B441</f>
        <v>17.79</v>
      </c>
      <c r="I666" s="7">
        <f>'Option source'!B460</f>
        <v>11.6</v>
      </c>
      <c r="J666" s="7">
        <f t="shared" si="70"/>
        <v>4.8400000000000016</v>
      </c>
      <c r="K666" s="7">
        <f t="shared" si="71"/>
        <v>300</v>
      </c>
      <c r="L666" s="7">
        <f t="shared" si="72"/>
        <v>295.16000000000003</v>
      </c>
      <c r="M666" s="7">
        <f t="shared" si="73"/>
        <v>4.8400000000000016</v>
      </c>
      <c r="N666" s="7">
        <f t="shared" si="74"/>
        <v>8904.84</v>
      </c>
      <c r="O666" s="7">
        <f t="shared" si="75"/>
        <v>9495.16</v>
      </c>
      <c r="P666" s="15">
        <f t="shared" si="76"/>
        <v>60.983471074380148</v>
      </c>
      <c r="Q666" s="7">
        <f>J666*'Model inputs'!$B$8</f>
        <v>484.00000000000017</v>
      </c>
      <c r="R666" s="1" t="s">
        <v>162</v>
      </c>
      <c r="S666" s="1">
        <v>417</v>
      </c>
      <c r="T666" s="1">
        <v>436</v>
      </c>
    </row>
    <row r="667" spans="1:20" ht="21" customHeight="1">
      <c r="A667" s="8">
        <v>46272</v>
      </c>
      <c r="B667" s="1" t="s">
        <v>34</v>
      </c>
      <c r="C667" s="1" t="s">
        <v>90</v>
      </c>
      <c r="D667" s="7">
        <v>4400</v>
      </c>
      <c r="E667" s="7">
        <v>4600</v>
      </c>
      <c r="F667" s="7">
        <v>4800</v>
      </c>
      <c r="G667" s="7">
        <f>'Option source'!B517</f>
        <v>1.25</v>
      </c>
      <c r="H667" s="7">
        <f>'Option source'!B536</f>
        <v>1.47</v>
      </c>
      <c r="I667" s="7">
        <f>'Option source'!B555</f>
        <v>1.85</v>
      </c>
      <c r="J667" s="7">
        <f t="shared" si="70"/>
        <v>0.16000000000000014</v>
      </c>
      <c r="K667" s="7">
        <f t="shared" si="71"/>
        <v>200</v>
      </c>
      <c r="L667" s="7">
        <f t="shared" si="72"/>
        <v>199.84</v>
      </c>
      <c r="M667" s="7">
        <f t="shared" si="73"/>
        <v>0.16000000000000014</v>
      </c>
      <c r="N667" s="7">
        <f t="shared" si="74"/>
        <v>4400.16</v>
      </c>
      <c r="O667" s="7">
        <f t="shared" si="75"/>
        <v>4799.84</v>
      </c>
      <c r="P667" s="15">
        <f t="shared" si="76"/>
        <v>1248.9999999999989</v>
      </c>
      <c r="Q667" s="7">
        <f>J667*'Model inputs'!$B$8</f>
        <v>16.000000000000014</v>
      </c>
      <c r="R667" s="1" t="s">
        <v>162</v>
      </c>
      <c r="S667" s="1">
        <v>512</v>
      </c>
      <c r="T667" s="1">
        <v>531</v>
      </c>
    </row>
    <row r="668" spans="1:20" ht="21" customHeight="1">
      <c r="A668" s="8">
        <v>46272</v>
      </c>
      <c r="B668" s="1" t="s">
        <v>34</v>
      </c>
      <c r="C668" s="1" t="s">
        <v>90</v>
      </c>
      <c r="D668" s="7">
        <v>7000</v>
      </c>
      <c r="E668" s="7">
        <v>7200</v>
      </c>
      <c r="F668" s="7">
        <v>7400</v>
      </c>
      <c r="G668" s="7">
        <f>'Option source'!B764</f>
        <v>341.02</v>
      </c>
      <c r="H668" s="7">
        <f>'Option source'!B783</f>
        <v>455</v>
      </c>
      <c r="I668" s="7">
        <f>'Option source'!B802</f>
        <v>555</v>
      </c>
      <c r="J668" s="7">
        <f t="shared" si="70"/>
        <v>-13.980000000000018</v>
      </c>
      <c r="K668" s="7">
        <f t="shared" si="71"/>
        <v>200</v>
      </c>
      <c r="L668" s="7">
        <f t="shared" si="72"/>
        <v>213.98000000000002</v>
      </c>
      <c r="M668" s="7">
        <f t="shared" si="73"/>
        <v>0</v>
      </c>
      <c r="N668" s="7" t="str">
        <f t="shared" si="74"/>
        <v>n.a.</v>
      </c>
      <c r="O668" s="7" t="str">
        <f t="shared" si="75"/>
        <v>n.a.</v>
      </c>
      <c r="P668" s="15" t="str">
        <f t="shared" si="76"/>
        <v>n.a.</v>
      </c>
      <c r="Q668" s="7">
        <f>J668*'Model inputs'!$B$8</f>
        <v>-1398.0000000000018</v>
      </c>
      <c r="R668" s="1" t="s">
        <v>163</v>
      </c>
      <c r="S668" s="1">
        <v>759</v>
      </c>
      <c r="T668" s="1">
        <v>778</v>
      </c>
    </row>
    <row r="669" spans="1:20" ht="21" customHeight="1">
      <c r="A669" s="8">
        <v>46272</v>
      </c>
      <c r="B669" s="1" t="s">
        <v>34</v>
      </c>
      <c r="C669" s="1" t="s">
        <v>90</v>
      </c>
      <c r="D669" s="7">
        <v>7200</v>
      </c>
      <c r="E669" s="7">
        <v>7400</v>
      </c>
      <c r="F669" s="7">
        <v>7600</v>
      </c>
      <c r="G669" s="7">
        <f>'Option source'!B783</f>
        <v>455</v>
      </c>
      <c r="H669" s="7">
        <f>'Option source'!B802</f>
        <v>555</v>
      </c>
      <c r="I669" s="7">
        <f>'Option source'!B821</f>
        <v>625</v>
      </c>
      <c r="J669" s="7">
        <f t="shared" si="70"/>
        <v>-30</v>
      </c>
      <c r="K669" s="7">
        <f t="shared" si="71"/>
        <v>200</v>
      </c>
      <c r="L669" s="7">
        <f t="shared" si="72"/>
        <v>230</v>
      </c>
      <c r="M669" s="7">
        <f t="shared" si="73"/>
        <v>0</v>
      </c>
      <c r="N669" s="7" t="str">
        <f t="shared" si="74"/>
        <v>n.a.</v>
      </c>
      <c r="O669" s="7" t="str">
        <f t="shared" si="75"/>
        <v>n.a.</v>
      </c>
      <c r="P669" s="15" t="str">
        <f t="shared" si="76"/>
        <v>n.a.</v>
      </c>
      <c r="Q669" s="7">
        <f>J669*'Model inputs'!$B$8</f>
        <v>-3000</v>
      </c>
      <c r="R669" s="1" t="s">
        <v>163</v>
      </c>
      <c r="S669" s="1">
        <v>778</v>
      </c>
      <c r="T669" s="1">
        <v>797</v>
      </c>
    </row>
    <row r="670" spans="1:20" ht="21" customHeight="1">
      <c r="A670" s="8">
        <v>46272</v>
      </c>
      <c r="B670" s="1" t="s">
        <v>34</v>
      </c>
      <c r="C670" s="1" t="s">
        <v>87</v>
      </c>
      <c r="D670" s="7">
        <v>6200</v>
      </c>
      <c r="E670" s="7">
        <v>6400</v>
      </c>
      <c r="F670" s="7">
        <v>6600</v>
      </c>
      <c r="G670" s="7">
        <f>'Option source'!B194</f>
        <v>1015</v>
      </c>
      <c r="H670" s="7">
        <f>'Option source'!B213</f>
        <v>829</v>
      </c>
      <c r="I670" s="7">
        <f>'Option source'!B232</f>
        <v>687.1</v>
      </c>
      <c r="J670" s="7">
        <f t="shared" si="70"/>
        <v>44.100000000000023</v>
      </c>
      <c r="K670" s="7">
        <f t="shared" si="71"/>
        <v>200</v>
      </c>
      <c r="L670" s="7">
        <f t="shared" si="72"/>
        <v>155.89999999999998</v>
      </c>
      <c r="M670" s="7">
        <f t="shared" si="73"/>
        <v>44.100000000000023</v>
      </c>
      <c r="N670" s="7">
        <f t="shared" si="74"/>
        <v>6244.1</v>
      </c>
      <c r="O670" s="7">
        <f t="shared" si="75"/>
        <v>6555.9</v>
      </c>
      <c r="P670" s="15">
        <f t="shared" si="76"/>
        <v>3.5351473922902472</v>
      </c>
      <c r="Q670" s="7">
        <f>J670*'Model inputs'!$B$8</f>
        <v>4410.0000000000018</v>
      </c>
      <c r="R670" s="1" t="s">
        <v>164</v>
      </c>
      <c r="S670" s="1">
        <v>189</v>
      </c>
      <c r="T670" s="1">
        <v>208</v>
      </c>
    </row>
    <row r="671" spans="1:20" ht="21" customHeight="1">
      <c r="A671" s="8">
        <v>46272</v>
      </c>
      <c r="B671" s="1" t="s">
        <v>34</v>
      </c>
      <c r="C671" s="1" t="s">
        <v>90</v>
      </c>
      <c r="D671" s="7">
        <v>7400</v>
      </c>
      <c r="E671" s="7">
        <v>7600</v>
      </c>
      <c r="F671" s="7">
        <v>7800</v>
      </c>
      <c r="G671" s="7">
        <f>'Option source'!B802</f>
        <v>555</v>
      </c>
      <c r="H671" s="7">
        <f>'Option source'!B821</f>
        <v>625</v>
      </c>
      <c r="I671" s="7">
        <f>'Option source'!B840</f>
        <v>780</v>
      </c>
      <c r="J671" s="7">
        <f t="shared" si="70"/>
        <v>85</v>
      </c>
      <c r="K671" s="7">
        <f t="shared" si="71"/>
        <v>200</v>
      </c>
      <c r="L671" s="7">
        <f t="shared" si="72"/>
        <v>115</v>
      </c>
      <c r="M671" s="7">
        <f t="shared" si="73"/>
        <v>85</v>
      </c>
      <c r="N671" s="7">
        <f t="shared" si="74"/>
        <v>7485</v>
      </c>
      <c r="O671" s="7">
        <f t="shared" si="75"/>
        <v>7715</v>
      </c>
      <c r="P671" s="15">
        <f t="shared" si="76"/>
        <v>1.3529411764705883</v>
      </c>
      <c r="Q671" s="7">
        <f>J671*'Model inputs'!$B$8</f>
        <v>8500</v>
      </c>
      <c r="R671" s="1" t="s">
        <v>164</v>
      </c>
      <c r="S671" s="1">
        <v>797</v>
      </c>
      <c r="T671" s="1">
        <v>816</v>
      </c>
    </row>
    <row r="672" spans="1:20" ht="21" customHeight="1">
      <c r="A672" s="8">
        <v>46272</v>
      </c>
      <c r="B672" s="1" t="s">
        <v>34</v>
      </c>
      <c r="C672" s="1" t="s">
        <v>87</v>
      </c>
      <c r="D672" s="7">
        <v>6000</v>
      </c>
      <c r="E672" s="7">
        <v>6200</v>
      </c>
      <c r="F672" s="7">
        <v>6400</v>
      </c>
      <c r="G672" s="7">
        <f>'Option source'!B175</f>
        <v>1158.57</v>
      </c>
      <c r="H672" s="7">
        <f>'Option source'!B194</f>
        <v>1015</v>
      </c>
      <c r="I672" s="7">
        <f>'Option source'!B213</f>
        <v>829</v>
      </c>
      <c r="J672" s="7">
        <f t="shared" si="70"/>
        <v>-42.430000000000064</v>
      </c>
      <c r="K672" s="7">
        <f t="shared" si="71"/>
        <v>200</v>
      </c>
      <c r="L672" s="7">
        <f t="shared" si="72"/>
        <v>242.43000000000006</v>
      </c>
      <c r="M672" s="7">
        <f t="shared" si="73"/>
        <v>0</v>
      </c>
      <c r="N672" s="7" t="str">
        <f t="shared" si="74"/>
        <v>n.a.</v>
      </c>
      <c r="O672" s="7" t="str">
        <f t="shared" si="75"/>
        <v>n.a.</v>
      </c>
      <c r="P672" s="15" t="str">
        <f t="shared" si="76"/>
        <v>n.a.</v>
      </c>
      <c r="Q672" s="7">
        <f>J672*'Model inputs'!$B$8</f>
        <v>-4243.0000000000064</v>
      </c>
      <c r="R672" s="1" t="s">
        <v>163</v>
      </c>
      <c r="S672" s="1">
        <v>170</v>
      </c>
      <c r="T672" s="1">
        <v>189</v>
      </c>
    </row>
    <row r="673" spans="1:20" ht="21" customHeight="1">
      <c r="A673" s="8">
        <v>46272</v>
      </c>
      <c r="B673" s="1" t="s">
        <v>34</v>
      </c>
      <c r="C673" s="1" t="s">
        <v>90</v>
      </c>
      <c r="D673" s="7">
        <v>7600</v>
      </c>
      <c r="E673" s="7">
        <v>7800</v>
      </c>
      <c r="F673" s="7">
        <v>8000</v>
      </c>
      <c r="G673" s="7">
        <f>'Option source'!B821</f>
        <v>625</v>
      </c>
      <c r="H673" s="7">
        <f>'Option source'!B840</f>
        <v>780</v>
      </c>
      <c r="I673" s="7">
        <f>'Option source'!B859</f>
        <v>1000</v>
      </c>
      <c r="J673" s="7">
        <f t="shared" si="70"/>
        <v>65</v>
      </c>
      <c r="K673" s="7">
        <f t="shared" si="71"/>
        <v>200</v>
      </c>
      <c r="L673" s="7">
        <f t="shared" si="72"/>
        <v>135</v>
      </c>
      <c r="M673" s="7">
        <f t="shared" si="73"/>
        <v>65</v>
      </c>
      <c r="N673" s="7">
        <f t="shared" si="74"/>
        <v>7665</v>
      </c>
      <c r="O673" s="7">
        <f t="shared" si="75"/>
        <v>7935</v>
      </c>
      <c r="P673" s="15">
        <f t="shared" si="76"/>
        <v>2.0769230769230771</v>
      </c>
      <c r="Q673" s="7">
        <f>J673*'Model inputs'!$B$8</f>
        <v>6500</v>
      </c>
      <c r="R673" s="1" t="s">
        <v>164</v>
      </c>
      <c r="S673" s="1">
        <v>816</v>
      </c>
      <c r="T673" s="1">
        <v>835</v>
      </c>
    </row>
    <row r="674" spans="1:20" ht="21" customHeight="1">
      <c r="A674" s="8">
        <v>46272</v>
      </c>
      <c r="B674" s="1" t="s">
        <v>34</v>
      </c>
      <c r="C674" s="1" t="s">
        <v>87</v>
      </c>
      <c r="D674" s="7">
        <v>5800</v>
      </c>
      <c r="E674" s="7">
        <v>6000</v>
      </c>
      <c r="F674" s="7">
        <v>6200</v>
      </c>
      <c r="G674" s="7">
        <f>'Option source'!B156</f>
        <v>1330</v>
      </c>
      <c r="H674" s="7">
        <f>'Option source'!B175</f>
        <v>1158.57</v>
      </c>
      <c r="I674" s="7">
        <f>'Option source'!B194</f>
        <v>1015</v>
      </c>
      <c r="J674" s="7">
        <f t="shared" si="70"/>
        <v>27.860000000000127</v>
      </c>
      <c r="K674" s="7">
        <f t="shared" si="71"/>
        <v>200</v>
      </c>
      <c r="L674" s="7">
        <f t="shared" si="72"/>
        <v>172.13999999999987</v>
      </c>
      <c r="M674" s="7">
        <f t="shared" si="73"/>
        <v>27.860000000000127</v>
      </c>
      <c r="N674" s="7">
        <f t="shared" si="74"/>
        <v>5827.8600000000006</v>
      </c>
      <c r="O674" s="7">
        <f t="shared" si="75"/>
        <v>6172.1399999999994</v>
      </c>
      <c r="P674" s="15">
        <f t="shared" si="76"/>
        <v>6.1787508973438294</v>
      </c>
      <c r="Q674" s="7">
        <f>J674*'Model inputs'!$B$8</f>
        <v>2786.0000000000127</v>
      </c>
      <c r="R674" s="1" t="s">
        <v>164</v>
      </c>
      <c r="S674" s="1">
        <v>151</v>
      </c>
      <c r="T674" s="1">
        <v>170</v>
      </c>
    </row>
    <row r="675" spans="1:20" ht="21" customHeight="1">
      <c r="A675" s="8">
        <v>46272</v>
      </c>
      <c r="B675" s="1" t="s">
        <v>34</v>
      </c>
      <c r="C675" s="1" t="s">
        <v>87</v>
      </c>
      <c r="D675" s="7">
        <v>5600</v>
      </c>
      <c r="E675" s="7">
        <v>5800</v>
      </c>
      <c r="F675" s="7">
        <v>6000</v>
      </c>
      <c r="G675" s="7">
        <f>'Option source'!B146</f>
        <v>1500</v>
      </c>
      <c r="H675" s="7">
        <f>'Option source'!B156</f>
        <v>1330</v>
      </c>
      <c r="I675" s="7">
        <f>'Option source'!B175</f>
        <v>1158.57</v>
      </c>
      <c r="J675" s="7">
        <f t="shared" si="70"/>
        <v>-1.4300000000000637</v>
      </c>
      <c r="K675" s="7">
        <f t="shared" si="71"/>
        <v>200</v>
      </c>
      <c r="L675" s="7">
        <f t="shared" si="72"/>
        <v>201.43000000000006</v>
      </c>
      <c r="M675" s="7">
        <f t="shared" si="73"/>
        <v>0</v>
      </c>
      <c r="N675" s="7" t="str">
        <f t="shared" si="74"/>
        <v>n.a.</v>
      </c>
      <c r="O675" s="7" t="str">
        <f t="shared" si="75"/>
        <v>n.a.</v>
      </c>
      <c r="P675" s="15" t="str">
        <f t="shared" si="76"/>
        <v>n.a.</v>
      </c>
      <c r="Q675" s="7">
        <f>J675*'Model inputs'!$B$8</f>
        <v>-143.00000000000637</v>
      </c>
      <c r="R675" s="1" t="s">
        <v>163</v>
      </c>
      <c r="S675" s="1">
        <v>141</v>
      </c>
      <c r="T675" s="1">
        <v>151</v>
      </c>
    </row>
    <row r="676" spans="1:20" ht="21" customHeight="1">
      <c r="A676" s="8">
        <v>46272</v>
      </c>
      <c r="B676" s="1" t="s">
        <v>34</v>
      </c>
      <c r="C676" s="1" t="s">
        <v>87</v>
      </c>
      <c r="D676" s="7">
        <v>5400</v>
      </c>
      <c r="E676" s="7">
        <v>5600</v>
      </c>
      <c r="F676" s="7">
        <v>5800</v>
      </c>
      <c r="G676" s="7">
        <f>'Option source'!B128</f>
        <v>1636.72</v>
      </c>
      <c r="H676" s="7">
        <f>'Option source'!B146</f>
        <v>1500</v>
      </c>
      <c r="I676" s="7">
        <f>'Option source'!B156</f>
        <v>1330</v>
      </c>
      <c r="J676" s="7">
        <f t="shared" si="70"/>
        <v>-33.279999999999973</v>
      </c>
      <c r="K676" s="7">
        <f t="shared" si="71"/>
        <v>200</v>
      </c>
      <c r="L676" s="7">
        <f t="shared" si="72"/>
        <v>233.27999999999997</v>
      </c>
      <c r="M676" s="7">
        <f t="shared" si="73"/>
        <v>0</v>
      </c>
      <c r="N676" s="7" t="str">
        <f t="shared" si="74"/>
        <v>n.a.</v>
      </c>
      <c r="O676" s="7" t="str">
        <f t="shared" si="75"/>
        <v>n.a.</v>
      </c>
      <c r="P676" s="15" t="str">
        <f t="shared" si="76"/>
        <v>n.a.</v>
      </c>
      <c r="Q676" s="7">
        <f>J676*'Model inputs'!$B$8</f>
        <v>-3327.9999999999973</v>
      </c>
      <c r="R676" s="1" t="s">
        <v>163</v>
      </c>
      <c r="S676" s="1">
        <v>123</v>
      </c>
      <c r="T676" s="1">
        <v>141</v>
      </c>
    </row>
    <row r="677" spans="1:20" ht="21" customHeight="1">
      <c r="A677" s="8">
        <v>46272</v>
      </c>
      <c r="B677" s="1" t="s">
        <v>34</v>
      </c>
      <c r="C677" s="1" t="s">
        <v>90</v>
      </c>
      <c r="D677" s="7">
        <v>8000</v>
      </c>
      <c r="E677" s="7">
        <v>8300</v>
      </c>
      <c r="F677" s="7">
        <v>8600</v>
      </c>
      <c r="G677" s="7">
        <f>'Option source'!B859</f>
        <v>1000</v>
      </c>
      <c r="H677" s="7">
        <f>'Option source'!B878</f>
        <v>1350</v>
      </c>
      <c r="I677" s="7">
        <f>'Option source'!B897</f>
        <v>1555.11</v>
      </c>
      <c r="J677" s="7">
        <f t="shared" si="70"/>
        <v>-144.8900000000001</v>
      </c>
      <c r="K677" s="7">
        <f t="shared" si="71"/>
        <v>300</v>
      </c>
      <c r="L677" s="7">
        <f t="shared" si="72"/>
        <v>444.8900000000001</v>
      </c>
      <c r="M677" s="7">
        <f t="shared" si="73"/>
        <v>0</v>
      </c>
      <c r="N677" s="7" t="str">
        <f t="shared" si="74"/>
        <v>n.a.</v>
      </c>
      <c r="O677" s="7" t="str">
        <f t="shared" si="75"/>
        <v>n.a.</v>
      </c>
      <c r="P677" s="15" t="str">
        <f t="shared" si="76"/>
        <v>n.a.</v>
      </c>
      <c r="Q677" s="7">
        <f>J677*'Model inputs'!$B$8</f>
        <v>-14489.000000000011</v>
      </c>
      <c r="R677" s="1" t="s">
        <v>163</v>
      </c>
      <c r="S677" s="1">
        <v>854</v>
      </c>
      <c r="T677" s="1">
        <v>873</v>
      </c>
    </row>
    <row r="678" spans="1:20" ht="21" customHeight="1">
      <c r="A678" s="8">
        <v>46272</v>
      </c>
      <c r="B678" s="1" t="s">
        <v>34</v>
      </c>
      <c r="C678" s="1" t="s">
        <v>87</v>
      </c>
      <c r="D678" s="7">
        <v>5200</v>
      </c>
      <c r="E678" s="7">
        <v>5400</v>
      </c>
      <c r="F678" s="7">
        <v>5600</v>
      </c>
      <c r="G678" s="7">
        <f>'Option source'!B109</f>
        <v>1880.26</v>
      </c>
      <c r="H678" s="7">
        <f>'Option source'!B128</f>
        <v>1636.72</v>
      </c>
      <c r="I678" s="7">
        <f>'Option source'!B146</f>
        <v>1500</v>
      </c>
      <c r="J678" s="7">
        <f t="shared" si="70"/>
        <v>106.81999999999994</v>
      </c>
      <c r="K678" s="7">
        <f t="shared" si="71"/>
        <v>200</v>
      </c>
      <c r="L678" s="7">
        <f t="shared" si="72"/>
        <v>93.180000000000064</v>
      </c>
      <c r="M678" s="7">
        <f t="shared" si="73"/>
        <v>106.81999999999994</v>
      </c>
      <c r="N678" s="7">
        <f t="shared" si="74"/>
        <v>5306.82</v>
      </c>
      <c r="O678" s="7">
        <f t="shared" si="75"/>
        <v>5493.18</v>
      </c>
      <c r="P678" s="15">
        <f t="shared" si="76"/>
        <v>0.87230855645010408</v>
      </c>
      <c r="Q678" s="7">
        <f>J678*'Model inputs'!$B$8</f>
        <v>10681.999999999993</v>
      </c>
      <c r="R678" s="1" t="s">
        <v>164</v>
      </c>
      <c r="S678" s="1">
        <v>104</v>
      </c>
      <c r="T678" s="1">
        <v>123</v>
      </c>
    </row>
    <row r="679" spans="1:20" ht="21" customHeight="1">
      <c r="A679" s="8">
        <v>46272</v>
      </c>
      <c r="B679" s="1" t="s">
        <v>34</v>
      </c>
      <c r="C679" s="1" t="s">
        <v>90</v>
      </c>
      <c r="D679" s="7">
        <v>8300</v>
      </c>
      <c r="E679" s="7">
        <v>8600</v>
      </c>
      <c r="F679" s="7">
        <v>8900</v>
      </c>
      <c r="G679" s="7">
        <f>'Option source'!B878</f>
        <v>1350</v>
      </c>
      <c r="H679" s="7">
        <f>'Option source'!B897</f>
        <v>1555.11</v>
      </c>
      <c r="I679" s="7">
        <f>'Option source'!B912</f>
        <v>2022.5</v>
      </c>
      <c r="J679" s="7">
        <f t="shared" si="70"/>
        <v>262.2800000000002</v>
      </c>
      <c r="K679" s="7">
        <f t="shared" si="71"/>
        <v>300</v>
      </c>
      <c r="L679" s="7">
        <f t="shared" si="72"/>
        <v>37.7199999999998</v>
      </c>
      <c r="M679" s="7">
        <f t="shared" si="73"/>
        <v>262.2800000000002</v>
      </c>
      <c r="N679" s="7">
        <f t="shared" si="74"/>
        <v>8562.2800000000007</v>
      </c>
      <c r="O679" s="7">
        <f t="shared" si="75"/>
        <v>8637.7199999999993</v>
      </c>
      <c r="P679" s="15">
        <f t="shared" si="76"/>
        <v>0.14381576940674001</v>
      </c>
      <c r="Q679" s="7">
        <f>J679*'Model inputs'!$B$8</f>
        <v>26228.000000000022</v>
      </c>
      <c r="R679" s="1" t="s">
        <v>164</v>
      </c>
      <c r="S679" s="1">
        <v>873</v>
      </c>
      <c r="T679" s="1">
        <v>892</v>
      </c>
    </row>
    <row r="680" spans="1:20" ht="21" customHeight="1">
      <c r="A680" s="8">
        <v>46272</v>
      </c>
      <c r="B680" s="1" t="s">
        <v>34</v>
      </c>
      <c r="C680" s="1" t="s">
        <v>87</v>
      </c>
      <c r="D680" s="7">
        <v>5000</v>
      </c>
      <c r="E680" s="7">
        <v>5200</v>
      </c>
      <c r="F680" s="7">
        <v>5400</v>
      </c>
      <c r="G680" s="7">
        <f>'Option source'!B90</f>
        <v>2094.25</v>
      </c>
      <c r="H680" s="7">
        <f>'Option source'!B109</f>
        <v>1880.26</v>
      </c>
      <c r="I680" s="7">
        <f>'Option source'!B128</f>
        <v>1636.72</v>
      </c>
      <c r="J680" s="7">
        <f t="shared" si="70"/>
        <v>-29.549999999999955</v>
      </c>
      <c r="K680" s="7">
        <f t="shared" si="71"/>
        <v>200</v>
      </c>
      <c r="L680" s="7">
        <f t="shared" si="72"/>
        <v>229.54999999999995</v>
      </c>
      <c r="M680" s="7">
        <f t="shared" si="73"/>
        <v>0</v>
      </c>
      <c r="N680" s="7" t="str">
        <f t="shared" si="74"/>
        <v>n.a.</v>
      </c>
      <c r="O680" s="7" t="str">
        <f t="shared" si="75"/>
        <v>n.a.</v>
      </c>
      <c r="P680" s="15" t="str">
        <f t="shared" si="76"/>
        <v>n.a.</v>
      </c>
      <c r="Q680" s="7">
        <f>J680*'Model inputs'!$B$8</f>
        <v>-2954.9999999999955</v>
      </c>
      <c r="R680" s="1" t="s">
        <v>163</v>
      </c>
      <c r="S680" s="1">
        <v>85</v>
      </c>
      <c r="T680" s="1">
        <v>104</v>
      </c>
    </row>
    <row r="681" spans="1:20" ht="21" customHeight="1">
      <c r="A681" s="8">
        <v>46272</v>
      </c>
      <c r="B681" s="1" t="s">
        <v>34</v>
      </c>
      <c r="C681" s="1" t="s">
        <v>87</v>
      </c>
      <c r="D681" s="7">
        <v>4800</v>
      </c>
      <c r="E681" s="7">
        <v>5000</v>
      </c>
      <c r="F681" s="7">
        <v>5200</v>
      </c>
      <c r="G681" s="7">
        <f>'Option source'!B73</f>
        <v>2261.21</v>
      </c>
      <c r="H681" s="7">
        <f>'Option source'!B90</f>
        <v>2094.25</v>
      </c>
      <c r="I681" s="7">
        <f>'Option source'!B109</f>
        <v>1880.26</v>
      </c>
      <c r="J681" s="7">
        <f t="shared" si="70"/>
        <v>-47.029999999999973</v>
      </c>
      <c r="K681" s="7">
        <f t="shared" si="71"/>
        <v>200</v>
      </c>
      <c r="L681" s="7">
        <f t="shared" si="72"/>
        <v>247.02999999999997</v>
      </c>
      <c r="M681" s="7">
        <f t="shared" si="73"/>
        <v>0</v>
      </c>
      <c r="N681" s="7" t="str">
        <f t="shared" si="74"/>
        <v>n.a.</v>
      </c>
      <c r="O681" s="7" t="str">
        <f t="shared" si="75"/>
        <v>n.a.</v>
      </c>
      <c r="P681" s="15" t="str">
        <f t="shared" si="76"/>
        <v>n.a.</v>
      </c>
      <c r="Q681" s="7">
        <f>J681*'Model inputs'!$B$8</f>
        <v>-4702.9999999999973</v>
      </c>
      <c r="R681" s="1" t="s">
        <v>163</v>
      </c>
      <c r="S681" s="1">
        <v>68</v>
      </c>
      <c r="T681" s="1">
        <v>85</v>
      </c>
    </row>
    <row r="682" spans="1:20" ht="21" customHeight="1">
      <c r="A682" s="8">
        <v>46272</v>
      </c>
      <c r="B682" s="1" t="s">
        <v>34</v>
      </c>
      <c r="C682" s="1" t="s">
        <v>87</v>
      </c>
      <c r="D682" s="7">
        <v>4600</v>
      </c>
      <c r="E682" s="7">
        <v>4800</v>
      </c>
      <c r="F682" s="7">
        <v>5000</v>
      </c>
      <c r="G682" s="7">
        <f>'Option source'!B56</f>
        <v>2499.7399999999998</v>
      </c>
      <c r="H682" s="7">
        <f>'Option source'!B73</f>
        <v>2261.21</v>
      </c>
      <c r="I682" s="7">
        <f>'Option source'!B90</f>
        <v>2094.25</v>
      </c>
      <c r="J682" s="7">
        <f t="shared" si="70"/>
        <v>71.569999999999709</v>
      </c>
      <c r="K682" s="7">
        <f t="shared" si="71"/>
        <v>200</v>
      </c>
      <c r="L682" s="7">
        <f t="shared" si="72"/>
        <v>128.43000000000029</v>
      </c>
      <c r="M682" s="7">
        <f t="shared" si="73"/>
        <v>71.569999999999709</v>
      </c>
      <c r="N682" s="7">
        <f t="shared" si="74"/>
        <v>4671.57</v>
      </c>
      <c r="O682" s="7">
        <f t="shared" si="75"/>
        <v>4928.43</v>
      </c>
      <c r="P682" s="15">
        <f t="shared" si="76"/>
        <v>1.7944669554282635</v>
      </c>
      <c r="Q682" s="7">
        <f>J682*'Model inputs'!$B$8</f>
        <v>7156.9999999999709</v>
      </c>
      <c r="R682" s="1" t="s">
        <v>164</v>
      </c>
      <c r="S682" s="1">
        <v>51</v>
      </c>
      <c r="T682" s="1">
        <v>68</v>
      </c>
    </row>
    <row r="683" spans="1:20" ht="21" customHeight="1">
      <c r="A683" s="8">
        <v>46272</v>
      </c>
      <c r="B683" s="1" t="s">
        <v>34</v>
      </c>
      <c r="C683" s="1" t="s">
        <v>87</v>
      </c>
      <c r="D683" s="7">
        <v>4400</v>
      </c>
      <c r="E683" s="7">
        <v>4600</v>
      </c>
      <c r="F683" s="7">
        <v>4800</v>
      </c>
      <c r="G683" s="7">
        <f>'Option source'!B37</f>
        <v>2762.2</v>
      </c>
      <c r="H683" s="7">
        <f>'Option source'!B56</f>
        <v>2499.7399999999998</v>
      </c>
      <c r="I683" s="7">
        <f>'Option source'!B73</f>
        <v>2261.21</v>
      </c>
      <c r="J683" s="7">
        <f t="shared" si="70"/>
        <v>23.930000000000291</v>
      </c>
      <c r="K683" s="7">
        <f t="shared" si="71"/>
        <v>200</v>
      </c>
      <c r="L683" s="7">
        <f t="shared" si="72"/>
        <v>176.06999999999971</v>
      </c>
      <c r="M683" s="7">
        <f t="shared" si="73"/>
        <v>23.930000000000291</v>
      </c>
      <c r="N683" s="7">
        <f t="shared" si="74"/>
        <v>4423.93</v>
      </c>
      <c r="O683" s="7">
        <f t="shared" si="75"/>
        <v>4776.07</v>
      </c>
      <c r="P683" s="15">
        <f t="shared" si="76"/>
        <v>7.3577099874633332</v>
      </c>
      <c r="Q683" s="7">
        <f>J683*'Model inputs'!$B$8</f>
        <v>2393.0000000000291</v>
      </c>
      <c r="R683" s="1" t="s">
        <v>164</v>
      </c>
      <c r="S683" s="1">
        <v>32</v>
      </c>
      <c r="T683" s="1">
        <v>51</v>
      </c>
    </row>
    <row r="684" spans="1:20" ht="21" customHeight="1">
      <c r="A684" s="8">
        <v>46272</v>
      </c>
      <c r="B684" s="1" t="s">
        <v>34</v>
      </c>
      <c r="C684" s="1" t="s">
        <v>87</v>
      </c>
      <c r="D684" s="7">
        <v>4200</v>
      </c>
      <c r="E684" s="7">
        <v>4400</v>
      </c>
      <c r="F684" s="7">
        <v>4600</v>
      </c>
      <c r="G684" s="7">
        <f>'Option source'!B18</f>
        <v>2871.76</v>
      </c>
      <c r="H684" s="7">
        <f>'Option source'!B37</f>
        <v>2762.2</v>
      </c>
      <c r="I684" s="7">
        <f>'Option source'!B56</f>
        <v>2499.7399999999998</v>
      </c>
      <c r="J684" s="7">
        <f t="shared" si="70"/>
        <v>-152.89999999999964</v>
      </c>
      <c r="K684" s="7">
        <f t="shared" si="71"/>
        <v>200</v>
      </c>
      <c r="L684" s="7">
        <f t="shared" si="72"/>
        <v>352.89999999999964</v>
      </c>
      <c r="M684" s="7">
        <f t="shared" si="73"/>
        <v>0</v>
      </c>
      <c r="N684" s="7" t="str">
        <f t="shared" si="74"/>
        <v>n.a.</v>
      </c>
      <c r="O684" s="7" t="str">
        <f t="shared" si="75"/>
        <v>n.a.</v>
      </c>
      <c r="P684" s="15" t="str">
        <f t="shared" si="76"/>
        <v>n.a.</v>
      </c>
      <c r="Q684" s="7">
        <f>J684*'Model inputs'!$B$8</f>
        <v>-15289.999999999964</v>
      </c>
      <c r="R684" s="1" t="s">
        <v>163</v>
      </c>
      <c r="S684" s="1">
        <v>13</v>
      </c>
      <c r="T684" s="1">
        <v>32</v>
      </c>
    </row>
    <row r="685" spans="1:20" ht="21" customHeight="1">
      <c r="A685" s="8">
        <v>46272</v>
      </c>
      <c r="B685" s="1" t="s">
        <v>34</v>
      </c>
      <c r="C685" s="1" t="s">
        <v>90</v>
      </c>
      <c r="D685" s="7">
        <v>4200</v>
      </c>
      <c r="E685" s="7">
        <v>4400</v>
      </c>
      <c r="F685" s="7">
        <v>4600</v>
      </c>
      <c r="G685" s="7">
        <f>'Option source'!B498</f>
        <v>0.82</v>
      </c>
      <c r="H685" s="7">
        <f>'Option source'!B517</f>
        <v>1.25</v>
      </c>
      <c r="I685" s="7">
        <f>'Option source'!B536</f>
        <v>1.47</v>
      </c>
      <c r="J685" s="7">
        <f t="shared" si="70"/>
        <v>-0.21000000000000019</v>
      </c>
      <c r="K685" s="7">
        <f t="shared" si="71"/>
        <v>200</v>
      </c>
      <c r="L685" s="7">
        <f t="shared" si="72"/>
        <v>200.21</v>
      </c>
      <c r="M685" s="7">
        <f t="shared" si="73"/>
        <v>0</v>
      </c>
      <c r="N685" s="7" t="str">
        <f t="shared" si="74"/>
        <v>n.a.</v>
      </c>
      <c r="O685" s="7" t="str">
        <f t="shared" si="75"/>
        <v>n.a.</v>
      </c>
      <c r="P685" s="15" t="str">
        <f t="shared" si="76"/>
        <v>n.a.</v>
      </c>
      <c r="Q685" s="7">
        <f>J685*'Model inputs'!$B$8</f>
        <v>-21.000000000000018</v>
      </c>
      <c r="R685" s="1" t="s">
        <v>163</v>
      </c>
      <c r="S685" s="1">
        <v>493</v>
      </c>
      <c r="T685" s="1">
        <v>512</v>
      </c>
    </row>
    <row r="686" spans="1:20" ht="21" customHeight="1">
      <c r="A686" s="8">
        <v>46272</v>
      </c>
      <c r="B686" s="1" t="s">
        <v>36</v>
      </c>
      <c r="C686" s="1" t="s">
        <v>87</v>
      </c>
      <c r="D686" s="7">
        <v>6800</v>
      </c>
      <c r="E686" s="7">
        <v>7000</v>
      </c>
      <c r="F686" s="7"/>
      <c r="G686" s="7">
        <f>'Option source'!B251</f>
        <v>567</v>
      </c>
      <c r="H686" s="7">
        <f>'Option source'!B270</f>
        <v>460.71</v>
      </c>
      <c r="I686" s="7"/>
      <c r="J686" s="7">
        <f t="shared" si="70"/>
        <v>-354.41999999999996</v>
      </c>
      <c r="K686" s="7">
        <f t="shared" si="71"/>
        <v>200</v>
      </c>
      <c r="L686" s="7">
        <f t="shared" si="72"/>
        <v>554.41999999999996</v>
      </c>
      <c r="M686" s="7" t="str">
        <f t="shared" si="73"/>
        <v>Unlimited</v>
      </c>
      <c r="N686" s="7" t="str">
        <f t="shared" si="74"/>
        <v>n.a.</v>
      </c>
      <c r="O686" s="7">
        <f t="shared" si="75"/>
        <v>7554.42</v>
      </c>
      <c r="P686" s="15" t="str">
        <f t="shared" si="76"/>
        <v>n.a.</v>
      </c>
      <c r="Q686" s="7">
        <f>J686*'Model inputs'!$B$8</f>
        <v>-35441.999999999993</v>
      </c>
      <c r="R686" s="1" t="s">
        <v>162</v>
      </c>
      <c r="S686" s="1">
        <v>246</v>
      </c>
      <c r="T686" s="1">
        <v>265</v>
      </c>
    </row>
    <row r="687" spans="1:20" ht="21" customHeight="1">
      <c r="A687" s="8">
        <v>46272</v>
      </c>
      <c r="B687" s="1" t="s">
        <v>36</v>
      </c>
      <c r="C687" s="1" t="s">
        <v>90</v>
      </c>
      <c r="D687" s="7">
        <v>7200</v>
      </c>
      <c r="E687" s="7">
        <v>7000</v>
      </c>
      <c r="F687" s="7"/>
      <c r="G687" s="7">
        <f>'Option source'!B783</f>
        <v>455</v>
      </c>
      <c r="H687" s="7">
        <f>'Option source'!B764</f>
        <v>341.02</v>
      </c>
      <c r="I687" s="7"/>
      <c r="J687" s="7">
        <f t="shared" si="70"/>
        <v>-227.03999999999996</v>
      </c>
      <c r="K687" s="7">
        <f t="shared" si="71"/>
        <v>200</v>
      </c>
      <c r="L687" s="7">
        <f t="shared" si="72"/>
        <v>427.03999999999996</v>
      </c>
      <c r="M687" s="7">
        <f t="shared" si="73"/>
        <v>6572.96</v>
      </c>
      <c r="N687" s="7">
        <f t="shared" si="74"/>
        <v>6572.96</v>
      </c>
      <c r="O687" s="7" t="str">
        <f t="shared" si="75"/>
        <v>n.a.</v>
      </c>
      <c r="P687" s="15" t="str">
        <f t="shared" si="76"/>
        <v>n.a.</v>
      </c>
      <c r="Q687" s="7">
        <f>J687*'Model inputs'!$B$8</f>
        <v>-22703.999999999996</v>
      </c>
      <c r="R687" s="1" t="s">
        <v>162</v>
      </c>
      <c r="S687" s="1">
        <v>778</v>
      </c>
      <c r="T687" s="1">
        <v>759</v>
      </c>
    </row>
    <row r="688" spans="1:20" ht="21" customHeight="1">
      <c r="A688" s="8">
        <v>46272</v>
      </c>
      <c r="B688" s="1" t="s">
        <v>36</v>
      </c>
      <c r="C688" s="1" t="s">
        <v>87</v>
      </c>
      <c r="D688" s="7">
        <v>6600</v>
      </c>
      <c r="E688" s="7">
        <v>6800</v>
      </c>
      <c r="F688" s="7"/>
      <c r="G688" s="7">
        <f>'Option source'!B232</f>
        <v>687.1</v>
      </c>
      <c r="H688" s="7">
        <f>'Option source'!B251</f>
        <v>567</v>
      </c>
      <c r="I688" s="7"/>
      <c r="J688" s="7">
        <f t="shared" si="70"/>
        <v>-446.9</v>
      </c>
      <c r="K688" s="7">
        <f t="shared" si="71"/>
        <v>200</v>
      </c>
      <c r="L688" s="7">
        <f t="shared" si="72"/>
        <v>646.9</v>
      </c>
      <c r="M688" s="7" t="str">
        <f t="shared" si="73"/>
        <v>Unlimited</v>
      </c>
      <c r="N688" s="7" t="str">
        <f t="shared" si="74"/>
        <v>n.a.</v>
      </c>
      <c r="O688" s="7">
        <f t="shared" si="75"/>
        <v>7446.9</v>
      </c>
      <c r="P688" s="15" t="str">
        <f t="shared" si="76"/>
        <v>n.a.</v>
      </c>
      <c r="Q688" s="7">
        <f>J688*'Model inputs'!$B$8</f>
        <v>-44690</v>
      </c>
      <c r="R688" s="1" t="s">
        <v>162</v>
      </c>
      <c r="S688" s="1">
        <v>227</v>
      </c>
      <c r="T688" s="1">
        <v>246</v>
      </c>
    </row>
    <row r="689" spans="1:20" ht="21" customHeight="1">
      <c r="A689" s="8">
        <v>46272</v>
      </c>
      <c r="B689" s="1" t="s">
        <v>36</v>
      </c>
      <c r="C689" s="1" t="s">
        <v>90</v>
      </c>
      <c r="D689" s="7">
        <v>7000</v>
      </c>
      <c r="E689" s="7">
        <v>6800</v>
      </c>
      <c r="F689" s="7"/>
      <c r="G689" s="7">
        <f>'Option source'!B764</f>
        <v>341.02</v>
      </c>
      <c r="H689" s="7">
        <f>'Option source'!B745</f>
        <v>254.66</v>
      </c>
      <c r="I689" s="7"/>
      <c r="J689" s="7">
        <f t="shared" si="70"/>
        <v>-168.3</v>
      </c>
      <c r="K689" s="7">
        <f t="shared" si="71"/>
        <v>200</v>
      </c>
      <c r="L689" s="7">
        <f t="shared" si="72"/>
        <v>368.3</v>
      </c>
      <c r="M689" s="7">
        <f t="shared" si="73"/>
        <v>6431.7</v>
      </c>
      <c r="N689" s="7">
        <f t="shared" si="74"/>
        <v>6431.7</v>
      </c>
      <c r="O689" s="7" t="str">
        <f t="shared" si="75"/>
        <v>n.a.</v>
      </c>
      <c r="P689" s="15" t="str">
        <f t="shared" si="76"/>
        <v>n.a.</v>
      </c>
      <c r="Q689" s="7">
        <f>J689*'Model inputs'!$B$8</f>
        <v>-16830</v>
      </c>
      <c r="R689" s="1" t="s">
        <v>162</v>
      </c>
      <c r="S689" s="1">
        <v>759</v>
      </c>
      <c r="T689" s="1">
        <v>740</v>
      </c>
    </row>
    <row r="690" spans="1:20" ht="21" customHeight="1">
      <c r="A690" s="8">
        <v>46272</v>
      </c>
      <c r="B690" s="1" t="s">
        <v>36</v>
      </c>
      <c r="C690" s="1" t="s">
        <v>87</v>
      </c>
      <c r="D690" s="7">
        <v>7000</v>
      </c>
      <c r="E690" s="7">
        <v>7200</v>
      </c>
      <c r="F690" s="7"/>
      <c r="G690" s="7">
        <f>'Option source'!B270</f>
        <v>460.71</v>
      </c>
      <c r="H690" s="7">
        <f>'Option source'!B289</f>
        <v>366.28</v>
      </c>
      <c r="I690" s="7"/>
      <c r="J690" s="7">
        <f t="shared" si="70"/>
        <v>-271.84999999999997</v>
      </c>
      <c r="K690" s="7">
        <f t="shared" si="71"/>
        <v>200</v>
      </c>
      <c r="L690" s="7">
        <f t="shared" si="72"/>
        <v>471.84999999999997</v>
      </c>
      <c r="M690" s="7" t="str">
        <f t="shared" si="73"/>
        <v>Unlimited</v>
      </c>
      <c r="N690" s="7" t="str">
        <f t="shared" si="74"/>
        <v>n.a.</v>
      </c>
      <c r="O690" s="7">
        <f t="shared" si="75"/>
        <v>7671.85</v>
      </c>
      <c r="P690" s="15" t="str">
        <f t="shared" si="76"/>
        <v>n.a.</v>
      </c>
      <c r="Q690" s="7">
        <f>J690*'Model inputs'!$B$8</f>
        <v>-27184.999999999996</v>
      </c>
      <c r="R690" s="1" t="s">
        <v>162</v>
      </c>
      <c r="S690" s="1">
        <v>265</v>
      </c>
      <c r="T690" s="1">
        <v>284</v>
      </c>
    </row>
    <row r="691" spans="1:20" ht="21" customHeight="1">
      <c r="A691" s="8">
        <v>46272</v>
      </c>
      <c r="B691" s="1" t="s">
        <v>36</v>
      </c>
      <c r="C691" s="1" t="s">
        <v>90</v>
      </c>
      <c r="D691" s="7">
        <v>7400</v>
      </c>
      <c r="E691" s="7">
        <v>7200</v>
      </c>
      <c r="F691" s="7"/>
      <c r="G691" s="7">
        <f>'Option source'!B802</f>
        <v>555</v>
      </c>
      <c r="H691" s="7">
        <f>'Option source'!B783</f>
        <v>455</v>
      </c>
      <c r="I691" s="7"/>
      <c r="J691" s="7">
        <f t="shared" si="70"/>
        <v>-355</v>
      </c>
      <c r="K691" s="7">
        <f t="shared" si="71"/>
        <v>200</v>
      </c>
      <c r="L691" s="7">
        <f t="shared" si="72"/>
        <v>555</v>
      </c>
      <c r="M691" s="7">
        <f t="shared" si="73"/>
        <v>6645</v>
      </c>
      <c r="N691" s="7">
        <f t="shared" si="74"/>
        <v>6645</v>
      </c>
      <c r="O691" s="7" t="str">
        <f t="shared" si="75"/>
        <v>n.a.</v>
      </c>
      <c r="P691" s="15" t="str">
        <f t="shared" si="76"/>
        <v>n.a.</v>
      </c>
      <c r="Q691" s="7">
        <f>J691*'Model inputs'!$B$8</f>
        <v>-35500</v>
      </c>
      <c r="R691" s="1" t="s">
        <v>162</v>
      </c>
      <c r="S691" s="1">
        <v>797</v>
      </c>
      <c r="T691" s="1">
        <v>778</v>
      </c>
    </row>
    <row r="692" spans="1:20" ht="21" customHeight="1">
      <c r="A692" s="8">
        <v>46272</v>
      </c>
      <c r="B692" s="1" t="s">
        <v>36</v>
      </c>
      <c r="C692" s="1" t="s">
        <v>87</v>
      </c>
      <c r="D692" s="7">
        <v>6400</v>
      </c>
      <c r="E692" s="7">
        <v>6600</v>
      </c>
      <c r="F692" s="7"/>
      <c r="G692" s="7">
        <f>'Option source'!B213</f>
        <v>829</v>
      </c>
      <c r="H692" s="7">
        <f>'Option source'!B232</f>
        <v>687.1</v>
      </c>
      <c r="I692" s="7"/>
      <c r="J692" s="7">
        <f t="shared" si="70"/>
        <v>-545.20000000000005</v>
      </c>
      <c r="K692" s="7">
        <f t="shared" si="71"/>
        <v>200</v>
      </c>
      <c r="L692" s="7">
        <f t="shared" si="72"/>
        <v>745.2</v>
      </c>
      <c r="M692" s="7" t="str">
        <f t="shared" si="73"/>
        <v>Unlimited</v>
      </c>
      <c r="N692" s="7" t="str">
        <f t="shared" si="74"/>
        <v>n.a.</v>
      </c>
      <c r="O692" s="7">
        <f t="shared" si="75"/>
        <v>7345.2</v>
      </c>
      <c r="P692" s="15" t="str">
        <f t="shared" si="76"/>
        <v>n.a.</v>
      </c>
      <c r="Q692" s="7">
        <f>J692*'Model inputs'!$B$8</f>
        <v>-54520.000000000007</v>
      </c>
      <c r="R692" s="1" t="s">
        <v>162</v>
      </c>
      <c r="S692" s="1">
        <v>208</v>
      </c>
      <c r="T692" s="1">
        <v>227</v>
      </c>
    </row>
    <row r="693" spans="1:20" ht="21" customHeight="1">
      <c r="A693" s="8">
        <v>46272</v>
      </c>
      <c r="B693" s="1" t="s">
        <v>36</v>
      </c>
      <c r="C693" s="1" t="s">
        <v>90</v>
      </c>
      <c r="D693" s="7">
        <v>6800</v>
      </c>
      <c r="E693" s="7">
        <v>6600</v>
      </c>
      <c r="F693" s="7"/>
      <c r="G693" s="7">
        <f>'Option source'!B745</f>
        <v>254.66</v>
      </c>
      <c r="H693" s="7">
        <f>'Option source'!B726</f>
        <v>180.32</v>
      </c>
      <c r="I693" s="7"/>
      <c r="J693" s="7">
        <f t="shared" si="70"/>
        <v>-105.97999999999999</v>
      </c>
      <c r="K693" s="7">
        <f t="shared" si="71"/>
        <v>200</v>
      </c>
      <c r="L693" s="7">
        <f t="shared" si="72"/>
        <v>305.98</v>
      </c>
      <c r="M693" s="7">
        <f t="shared" si="73"/>
        <v>6294.02</v>
      </c>
      <c r="N693" s="7">
        <f t="shared" si="74"/>
        <v>6294.02</v>
      </c>
      <c r="O693" s="7" t="str">
        <f t="shared" si="75"/>
        <v>n.a.</v>
      </c>
      <c r="P693" s="15" t="str">
        <f t="shared" si="76"/>
        <v>n.a.</v>
      </c>
      <c r="Q693" s="7">
        <f>J693*'Model inputs'!$B$8</f>
        <v>-10597.999999999998</v>
      </c>
      <c r="R693" s="1" t="s">
        <v>162</v>
      </c>
      <c r="S693" s="1">
        <v>740</v>
      </c>
      <c r="T693" s="1">
        <v>721</v>
      </c>
    </row>
    <row r="694" spans="1:20" ht="21" customHeight="1">
      <c r="A694" s="8">
        <v>46272</v>
      </c>
      <c r="B694" s="1" t="s">
        <v>36</v>
      </c>
      <c r="C694" s="1" t="s">
        <v>87</v>
      </c>
      <c r="D694" s="7">
        <v>7200</v>
      </c>
      <c r="E694" s="7">
        <v>7400</v>
      </c>
      <c r="F694" s="7"/>
      <c r="G694" s="7">
        <f>'Option source'!B289</f>
        <v>366.28</v>
      </c>
      <c r="H694" s="7">
        <f>'Option source'!B308</f>
        <v>286.38</v>
      </c>
      <c r="I694" s="7"/>
      <c r="J694" s="7">
        <f t="shared" si="70"/>
        <v>-206.48000000000002</v>
      </c>
      <c r="K694" s="7">
        <f t="shared" si="71"/>
        <v>200</v>
      </c>
      <c r="L694" s="7">
        <f t="shared" si="72"/>
        <v>406.48</v>
      </c>
      <c r="M694" s="7" t="str">
        <f t="shared" si="73"/>
        <v>Unlimited</v>
      </c>
      <c r="N694" s="7" t="str">
        <f t="shared" si="74"/>
        <v>n.a.</v>
      </c>
      <c r="O694" s="7">
        <f t="shared" si="75"/>
        <v>7806.48</v>
      </c>
      <c r="P694" s="15" t="str">
        <f t="shared" si="76"/>
        <v>n.a.</v>
      </c>
      <c r="Q694" s="7">
        <f>J694*'Model inputs'!$B$8</f>
        <v>-20648</v>
      </c>
      <c r="R694" s="1" t="s">
        <v>162</v>
      </c>
      <c r="S694" s="1">
        <v>284</v>
      </c>
      <c r="T694" s="1">
        <v>303</v>
      </c>
    </row>
    <row r="695" spans="1:20" ht="21" customHeight="1">
      <c r="A695" s="8">
        <v>46272</v>
      </c>
      <c r="B695" s="1" t="s">
        <v>36</v>
      </c>
      <c r="C695" s="1" t="s">
        <v>90</v>
      </c>
      <c r="D695" s="7">
        <v>6600</v>
      </c>
      <c r="E695" s="7">
        <v>6400</v>
      </c>
      <c r="F695" s="7"/>
      <c r="G695" s="7">
        <f>'Option source'!B726</f>
        <v>180.32</v>
      </c>
      <c r="H695" s="7">
        <f>'Option source'!B707</f>
        <v>124.24</v>
      </c>
      <c r="I695" s="7"/>
      <c r="J695" s="7">
        <f t="shared" si="70"/>
        <v>-68.16</v>
      </c>
      <c r="K695" s="7">
        <f t="shared" si="71"/>
        <v>200</v>
      </c>
      <c r="L695" s="7">
        <f t="shared" si="72"/>
        <v>268.15999999999997</v>
      </c>
      <c r="M695" s="7">
        <f t="shared" si="73"/>
        <v>6131.84</v>
      </c>
      <c r="N695" s="7">
        <f t="shared" si="74"/>
        <v>6131.84</v>
      </c>
      <c r="O695" s="7" t="str">
        <f t="shared" si="75"/>
        <v>n.a.</v>
      </c>
      <c r="P695" s="15" t="str">
        <f t="shared" si="76"/>
        <v>n.a.</v>
      </c>
      <c r="Q695" s="7">
        <f>J695*'Model inputs'!$B$8</f>
        <v>-6816</v>
      </c>
      <c r="R695" s="1" t="s">
        <v>162</v>
      </c>
      <c r="S695" s="1">
        <v>721</v>
      </c>
      <c r="T695" s="1">
        <v>702</v>
      </c>
    </row>
    <row r="696" spans="1:20" ht="21" customHeight="1">
      <c r="A696" s="8">
        <v>46272</v>
      </c>
      <c r="B696" s="1" t="s">
        <v>36</v>
      </c>
      <c r="C696" s="1" t="s">
        <v>87</v>
      </c>
      <c r="D696" s="7">
        <v>7400</v>
      </c>
      <c r="E696" s="7">
        <v>7600</v>
      </c>
      <c r="F696" s="7"/>
      <c r="G696" s="7">
        <f>'Option source'!B308</f>
        <v>286.38</v>
      </c>
      <c r="H696" s="7">
        <f>'Option source'!B327</f>
        <v>221.81</v>
      </c>
      <c r="I696" s="7"/>
      <c r="J696" s="7">
        <f t="shared" si="70"/>
        <v>-157.24</v>
      </c>
      <c r="K696" s="7">
        <f t="shared" si="71"/>
        <v>200</v>
      </c>
      <c r="L696" s="7">
        <f t="shared" si="72"/>
        <v>357.24</v>
      </c>
      <c r="M696" s="7" t="str">
        <f t="shared" si="73"/>
        <v>Unlimited</v>
      </c>
      <c r="N696" s="7" t="str">
        <f t="shared" si="74"/>
        <v>n.a.</v>
      </c>
      <c r="O696" s="7">
        <f t="shared" si="75"/>
        <v>7957.24</v>
      </c>
      <c r="P696" s="15" t="str">
        <f t="shared" si="76"/>
        <v>n.a.</v>
      </c>
      <c r="Q696" s="7">
        <f>J696*'Model inputs'!$B$8</f>
        <v>-15724</v>
      </c>
      <c r="R696" s="1" t="s">
        <v>162</v>
      </c>
      <c r="S696" s="1">
        <v>303</v>
      </c>
      <c r="T696" s="1">
        <v>322</v>
      </c>
    </row>
    <row r="697" spans="1:20" ht="21" customHeight="1">
      <c r="A697" s="8">
        <v>46272</v>
      </c>
      <c r="B697" s="1" t="s">
        <v>36</v>
      </c>
      <c r="C697" s="1" t="s">
        <v>90</v>
      </c>
      <c r="D697" s="7">
        <v>6400</v>
      </c>
      <c r="E697" s="7">
        <v>6200</v>
      </c>
      <c r="F697" s="7"/>
      <c r="G697" s="7">
        <f>'Option source'!B707</f>
        <v>124.24</v>
      </c>
      <c r="H697" s="7">
        <f>'Option source'!B688</f>
        <v>81.09</v>
      </c>
      <c r="I697" s="7"/>
      <c r="J697" s="7">
        <f t="shared" si="70"/>
        <v>-37.940000000000012</v>
      </c>
      <c r="K697" s="7">
        <f t="shared" si="71"/>
        <v>200</v>
      </c>
      <c r="L697" s="7">
        <f t="shared" si="72"/>
        <v>237.94</v>
      </c>
      <c r="M697" s="7">
        <f t="shared" si="73"/>
        <v>5962.06</v>
      </c>
      <c r="N697" s="7">
        <f t="shared" si="74"/>
        <v>5962.06</v>
      </c>
      <c r="O697" s="7" t="str">
        <f t="shared" si="75"/>
        <v>n.a.</v>
      </c>
      <c r="P697" s="15" t="str">
        <f t="shared" si="76"/>
        <v>n.a.</v>
      </c>
      <c r="Q697" s="7">
        <f>J697*'Model inputs'!$B$8</f>
        <v>-3794.0000000000014</v>
      </c>
      <c r="R697" s="1" t="s">
        <v>162</v>
      </c>
      <c r="S697" s="1">
        <v>702</v>
      </c>
      <c r="T697" s="1">
        <v>683</v>
      </c>
    </row>
    <row r="698" spans="1:20" ht="21" customHeight="1">
      <c r="A698" s="8">
        <v>46272</v>
      </c>
      <c r="B698" s="1" t="s">
        <v>36</v>
      </c>
      <c r="C698" s="1" t="s">
        <v>87</v>
      </c>
      <c r="D698" s="7">
        <v>7600</v>
      </c>
      <c r="E698" s="7">
        <v>7800</v>
      </c>
      <c r="F698" s="7"/>
      <c r="G698" s="7">
        <f>'Option source'!B327</f>
        <v>221.81</v>
      </c>
      <c r="H698" s="7">
        <f>'Option source'!B346</f>
        <v>170.27</v>
      </c>
      <c r="I698" s="7"/>
      <c r="J698" s="7">
        <f t="shared" si="70"/>
        <v>-118.73000000000002</v>
      </c>
      <c r="K698" s="7">
        <f t="shared" si="71"/>
        <v>200</v>
      </c>
      <c r="L698" s="7">
        <f t="shared" si="72"/>
        <v>318.73</v>
      </c>
      <c r="M698" s="7" t="str">
        <f t="shared" si="73"/>
        <v>Unlimited</v>
      </c>
      <c r="N698" s="7" t="str">
        <f t="shared" si="74"/>
        <v>n.a.</v>
      </c>
      <c r="O698" s="7">
        <f t="shared" si="75"/>
        <v>8118.73</v>
      </c>
      <c r="P698" s="15" t="str">
        <f t="shared" si="76"/>
        <v>n.a.</v>
      </c>
      <c r="Q698" s="7">
        <f>J698*'Model inputs'!$B$8</f>
        <v>-11873.000000000002</v>
      </c>
      <c r="R698" s="1" t="s">
        <v>162</v>
      </c>
      <c r="S698" s="1">
        <v>322</v>
      </c>
      <c r="T698" s="1">
        <v>341</v>
      </c>
    </row>
    <row r="699" spans="1:20" ht="21" customHeight="1">
      <c r="A699" s="8">
        <v>46272</v>
      </c>
      <c r="B699" s="1" t="s">
        <v>36</v>
      </c>
      <c r="C699" s="1" t="s">
        <v>87</v>
      </c>
      <c r="D699" s="7">
        <v>5800</v>
      </c>
      <c r="E699" s="7">
        <v>6000</v>
      </c>
      <c r="F699" s="7"/>
      <c r="G699" s="7">
        <f>'Option source'!B156</f>
        <v>1330</v>
      </c>
      <c r="H699" s="7">
        <f>'Option source'!B175</f>
        <v>1158.57</v>
      </c>
      <c r="I699" s="7"/>
      <c r="J699" s="7">
        <f t="shared" si="70"/>
        <v>-987.13999999999987</v>
      </c>
      <c r="K699" s="7">
        <f t="shared" si="71"/>
        <v>200</v>
      </c>
      <c r="L699" s="7">
        <f t="shared" si="72"/>
        <v>1187.1399999999999</v>
      </c>
      <c r="M699" s="7" t="str">
        <f t="shared" si="73"/>
        <v>Unlimited</v>
      </c>
      <c r="N699" s="7" t="str">
        <f t="shared" si="74"/>
        <v>n.a.</v>
      </c>
      <c r="O699" s="7">
        <f t="shared" si="75"/>
        <v>7187.1399999999994</v>
      </c>
      <c r="P699" s="15" t="str">
        <f t="shared" si="76"/>
        <v>n.a.</v>
      </c>
      <c r="Q699" s="7">
        <f>J699*'Model inputs'!$B$8</f>
        <v>-98713.999999999985</v>
      </c>
      <c r="R699" s="1" t="s">
        <v>162</v>
      </c>
      <c r="S699" s="1">
        <v>151</v>
      </c>
      <c r="T699" s="1">
        <v>170</v>
      </c>
    </row>
    <row r="700" spans="1:20" ht="21" customHeight="1">
      <c r="A700" s="8">
        <v>46272</v>
      </c>
      <c r="B700" s="1" t="s">
        <v>36</v>
      </c>
      <c r="C700" s="1" t="s">
        <v>90</v>
      </c>
      <c r="D700" s="7">
        <v>6200</v>
      </c>
      <c r="E700" s="7">
        <v>6000</v>
      </c>
      <c r="F700" s="7"/>
      <c r="G700" s="7">
        <f>'Option source'!B688</f>
        <v>81.09</v>
      </c>
      <c r="H700" s="7">
        <f>'Option source'!B669</f>
        <v>49.14</v>
      </c>
      <c r="I700" s="7"/>
      <c r="J700" s="7">
        <f t="shared" si="70"/>
        <v>-17.189999999999998</v>
      </c>
      <c r="K700" s="7">
        <f t="shared" si="71"/>
        <v>200</v>
      </c>
      <c r="L700" s="7">
        <f t="shared" si="72"/>
        <v>217.19</v>
      </c>
      <c r="M700" s="7">
        <f t="shared" si="73"/>
        <v>5782.81</v>
      </c>
      <c r="N700" s="7">
        <f t="shared" si="74"/>
        <v>5782.81</v>
      </c>
      <c r="O700" s="7" t="str">
        <f t="shared" si="75"/>
        <v>n.a.</v>
      </c>
      <c r="P700" s="15" t="str">
        <f t="shared" si="76"/>
        <v>n.a.</v>
      </c>
      <c r="Q700" s="7">
        <f>J700*'Model inputs'!$B$8</f>
        <v>-1718.9999999999998</v>
      </c>
      <c r="R700" s="1" t="s">
        <v>162</v>
      </c>
      <c r="S700" s="1">
        <v>683</v>
      </c>
      <c r="T700" s="1">
        <v>664</v>
      </c>
    </row>
    <row r="701" spans="1:20" ht="21" customHeight="1">
      <c r="A701" s="8">
        <v>46272</v>
      </c>
      <c r="B701" s="1" t="s">
        <v>36</v>
      </c>
      <c r="C701" s="1" t="s">
        <v>87</v>
      </c>
      <c r="D701" s="7">
        <v>7800</v>
      </c>
      <c r="E701" s="7">
        <v>8000</v>
      </c>
      <c r="F701" s="7"/>
      <c r="G701" s="7">
        <f>'Option source'!B346</f>
        <v>170.27</v>
      </c>
      <c r="H701" s="7">
        <f>'Option source'!B365</f>
        <v>129.99</v>
      </c>
      <c r="I701" s="7"/>
      <c r="J701" s="7">
        <f t="shared" si="70"/>
        <v>-89.710000000000008</v>
      </c>
      <c r="K701" s="7">
        <f t="shared" si="71"/>
        <v>200</v>
      </c>
      <c r="L701" s="7">
        <f t="shared" si="72"/>
        <v>289.71000000000004</v>
      </c>
      <c r="M701" s="7" t="str">
        <f t="shared" si="73"/>
        <v>Unlimited</v>
      </c>
      <c r="N701" s="7" t="str">
        <f t="shared" si="74"/>
        <v>n.a.</v>
      </c>
      <c r="O701" s="7">
        <f t="shared" si="75"/>
        <v>8289.7099999999991</v>
      </c>
      <c r="P701" s="15" t="str">
        <f t="shared" si="76"/>
        <v>n.a.</v>
      </c>
      <c r="Q701" s="7">
        <f>J701*'Model inputs'!$B$8</f>
        <v>-8971</v>
      </c>
      <c r="R701" s="1" t="s">
        <v>162</v>
      </c>
      <c r="S701" s="1">
        <v>341</v>
      </c>
      <c r="T701" s="1">
        <v>360</v>
      </c>
    </row>
    <row r="702" spans="1:20" ht="21" customHeight="1">
      <c r="A702" s="8">
        <v>46272</v>
      </c>
      <c r="B702" s="1" t="s">
        <v>36</v>
      </c>
      <c r="C702" s="1" t="s">
        <v>90</v>
      </c>
      <c r="D702" s="7">
        <v>6000</v>
      </c>
      <c r="E702" s="7">
        <v>5800</v>
      </c>
      <c r="F702" s="7"/>
      <c r="G702" s="7">
        <f>'Option source'!B669</f>
        <v>49.14</v>
      </c>
      <c r="H702" s="7">
        <f>'Option source'!B650</f>
        <v>28.16</v>
      </c>
      <c r="I702" s="7"/>
      <c r="J702" s="7">
        <f t="shared" si="70"/>
        <v>-7.18</v>
      </c>
      <c r="K702" s="7">
        <f t="shared" si="71"/>
        <v>200</v>
      </c>
      <c r="L702" s="7">
        <f t="shared" si="72"/>
        <v>207.18</v>
      </c>
      <c r="M702" s="7">
        <f t="shared" si="73"/>
        <v>5592.82</v>
      </c>
      <c r="N702" s="7">
        <f t="shared" si="74"/>
        <v>5592.82</v>
      </c>
      <c r="O702" s="7" t="str">
        <f t="shared" si="75"/>
        <v>n.a.</v>
      </c>
      <c r="P702" s="15" t="str">
        <f t="shared" si="76"/>
        <v>n.a.</v>
      </c>
      <c r="Q702" s="7">
        <f>J702*'Model inputs'!$B$8</f>
        <v>-718</v>
      </c>
      <c r="R702" s="1" t="s">
        <v>162</v>
      </c>
      <c r="S702" s="1">
        <v>664</v>
      </c>
      <c r="T702" s="1">
        <v>645</v>
      </c>
    </row>
    <row r="703" spans="1:20" ht="21" customHeight="1">
      <c r="A703" s="8">
        <v>46272</v>
      </c>
      <c r="B703" s="1" t="s">
        <v>36</v>
      </c>
      <c r="C703" s="1" t="s">
        <v>90</v>
      </c>
      <c r="D703" s="7">
        <v>5800</v>
      </c>
      <c r="E703" s="7">
        <v>5600</v>
      </c>
      <c r="F703" s="7"/>
      <c r="G703" s="7">
        <f>'Option source'!B650</f>
        <v>28.16</v>
      </c>
      <c r="H703" s="7">
        <f>'Option source'!B631</f>
        <v>16</v>
      </c>
      <c r="I703" s="7"/>
      <c r="J703" s="7">
        <f t="shared" si="70"/>
        <v>-3.84</v>
      </c>
      <c r="K703" s="7">
        <f t="shared" si="71"/>
        <v>200</v>
      </c>
      <c r="L703" s="7">
        <f t="shared" si="72"/>
        <v>203.84</v>
      </c>
      <c r="M703" s="7">
        <f t="shared" si="73"/>
        <v>5396.16</v>
      </c>
      <c r="N703" s="7">
        <f t="shared" si="74"/>
        <v>5396.16</v>
      </c>
      <c r="O703" s="7" t="str">
        <f t="shared" si="75"/>
        <v>n.a.</v>
      </c>
      <c r="P703" s="15" t="str">
        <f t="shared" si="76"/>
        <v>n.a.</v>
      </c>
      <c r="Q703" s="7">
        <f>J703*'Model inputs'!$B$8</f>
        <v>-384</v>
      </c>
      <c r="R703" s="1" t="s">
        <v>162</v>
      </c>
      <c r="S703" s="1">
        <v>645</v>
      </c>
      <c r="T703" s="1">
        <v>626</v>
      </c>
    </row>
    <row r="704" spans="1:20" ht="21" customHeight="1">
      <c r="A704" s="8">
        <v>46272</v>
      </c>
      <c r="B704" s="1" t="s">
        <v>36</v>
      </c>
      <c r="C704" s="1" t="s">
        <v>87</v>
      </c>
      <c r="D704" s="7">
        <v>8000</v>
      </c>
      <c r="E704" s="7">
        <v>8300</v>
      </c>
      <c r="F704" s="7"/>
      <c r="G704" s="7">
        <f>'Option source'!B365</f>
        <v>129.99</v>
      </c>
      <c r="H704" s="7">
        <f>'Option source'!B384</f>
        <v>83.25</v>
      </c>
      <c r="I704" s="7"/>
      <c r="J704" s="7">
        <f t="shared" si="70"/>
        <v>-36.509999999999991</v>
      </c>
      <c r="K704" s="7">
        <f t="shared" si="71"/>
        <v>300</v>
      </c>
      <c r="L704" s="7">
        <f t="shared" si="72"/>
        <v>336.51</v>
      </c>
      <c r="M704" s="7" t="str">
        <f t="shared" si="73"/>
        <v>Unlimited</v>
      </c>
      <c r="N704" s="7" t="str">
        <f t="shared" si="74"/>
        <v>n.a.</v>
      </c>
      <c r="O704" s="7">
        <f t="shared" si="75"/>
        <v>8636.51</v>
      </c>
      <c r="P704" s="15" t="str">
        <f t="shared" si="76"/>
        <v>n.a.</v>
      </c>
      <c r="Q704" s="7">
        <f>J704*'Model inputs'!$B$8</f>
        <v>-3650.9999999999991</v>
      </c>
      <c r="R704" s="1" t="s">
        <v>162</v>
      </c>
      <c r="S704" s="1">
        <v>360</v>
      </c>
      <c r="T704" s="1">
        <v>379</v>
      </c>
    </row>
    <row r="705" spans="1:20" ht="21" customHeight="1">
      <c r="A705" s="8">
        <v>46272</v>
      </c>
      <c r="B705" s="1" t="s">
        <v>36</v>
      </c>
      <c r="C705" s="1" t="s">
        <v>90</v>
      </c>
      <c r="D705" s="7">
        <v>5600</v>
      </c>
      <c r="E705" s="7">
        <v>5400</v>
      </c>
      <c r="F705" s="7"/>
      <c r="G705" s="7">
        <f>'Option source'!B631</f>
        <v>16</v>
      </c>
      <c r="H705" s="7">
        <f>'Option source'!B612</f>
        <v>8.51</v>
      </c>
      <c r="I705" s="7"/>
      <c r="J705" s="7">
        <f t="shared" si="70"/>
        <v>-1.0199999999999996</v>
      </c>
      <c r="K705" s="7">
        <f t="shared" si="71"/>
        <v>200</v>
      </c>
      <c r="L705" s="7">
        <f t="shared" si="72"/>
        <v>201.02</v>
      </c>
      <c r="M705" s="7">
        <f t="shared" si="73"/>
        <v>5198.9799999999996</v>
      </c>
      <c r="N705" s="7">
        <f t="shared" si="74"/>
        <v>5198.9799999999996</v>
      </c>
      <c r="O705" s="7" t="str">
        <f t="shared" si="75"/>
        <v>n.a.</v>
      </c>
      <c r="P705" s="15" t="str">
        <f t="shared" si="76"/>
        <v>n.a.</v>
      </c>
      <c r="Q705" s="7">
        <f>J705*'Model inputs'!$B$8</f>
        <v>-101.99999999999996</v>
      </c>
      <c r="R705" s="1" t="s">
        <v>162</v>
      </c>
      <c r="S705" s="1">
        <v>626</v>
      </c>
      <c r="T705" s="1">
        <v>607</v>
      </c>
    </row>
    <row r="706" spans="1:20" ht="21" customHeight="1">
      <c r="A706" s="8">
        <v>46272</v>
      </c>
      <c r="B706" s="1" t="s">
        <v>36</v>
      </c>
      <c r="C706" s="1" t="s">
        <v>87</v>
      </c>
      <c r="D706" s="7">
        <v>8300</v>
      </c>
      <c r="E706" s="7">
        <v>8600</v>
      </c>
      <c r="F706" s="7"/>
      <c r="G706" s="7">
        <f>'Option source'!B384</f>
        <v>83.25</v>
      </c>
      <c r="H706" s="7">
        <f>'Option source'!B403</f>
        <v>48.42</v>
      </c>
      <c r="I706" s="7"/>
      <c r="J706" s="7">
        <f t="shared" si="70"/>
        <v>-13.590000000000003</v>
      </c>
      <c r="K706" s="7">
        <f t="shared" si="71"/>
        <v>300</v>
      </c>
      <c r="L706" s="7">
        <f t="shared" si="72"/>
        <v>313.59000000000003</v>
      </c>
      <c r="M706" s="7" t="str">
        <f t="shared" si="73"/>
        <v>Unlimited</v>
      </c>
      <c r="N706" s="7" t="str">
        <f t="shared" si="74"/>
        <v>n.a.</v>
      </c>
      <c r="O706" s="7">
        <f t="shared" si="75"/>
        <v>8913.59</v>
      </c>
      <c r="P706" s="15" t="str">
        <f t="shared" si="76"/>
        <v>n.a.</v>
      </c>
      <c r="Q706" s="7">
        <f>J706*'Model inputs'!$B$8</f>
        <v>-1359.0000000000005</v>
      </c>
      <c r="R706" s="1" t="s">
        <v>162</v>
      </c>
      <c r="S706" s="1">
        <v>379</v>
      </c>
      <c r="T706" s="1">
        <v>398</v>
      </c>
    </row>
    <row r="707" spans="1:20" ht="21" customHeight="1">
      <c r="A707" s="8">
        <v>46272</v>
      </c>
      <c r="B707" s="1" t="s">
        <v>36</v>
      </c>
      <c r="C707" s="1" t="s">
        <v>90</v>
      </c>
      <c r="D707" s="7">
        <v>5400</v>
      </c>
      <c r="E707" s="7">
        <v>5200</v>
      </c>
      <c r="F707" s="7"/>
      <c r="G707" s="7">
        <f>'Option source'!B612</f>
        <v>8.51</v>
      </c>
      <c r="H707" s="7">
        <f>'Option source'!B593</f>
        <v>4.8</v>
      </c>
      <c r="I707" s="7"/>
      <c r="J707" s="7">
        <f t="shared" si="70"/>
        <v>-1.0899999999999999</v>
      </c>
      <c r="K707" s="7">
        <f t="shared" si="71"/>
        <v>200</v>
      </c>
      <c r="L707" s="7">
        <f t="shared" si="72"/>
        <v>201.09</v>
      </c>
      <c r="M707" s="7">
        <f t="shared" si="73"/>
        <v>4998.91</v>
      </c>
      <c r="N707" s="7">
        <f t="shared" si="74"/>
        <v>4998.91</v>
      </c>
      <c r="O707" s="7" t="str">
        <f t="shared" si="75"/>
        <v>n.a.</v>
      </c>
      <c r="P707" s="15" t="str">
        <f t="shared" si="76"/>
        <v>n.a.</v>
      </c>
      <c r="Q707" s="7">
        <f>J707*'Model inputs'!$B$8</f>
        <v>-108.99999999999999</v>
      </c>
      <c r="R707" s="1" t="s">
        <v>162</v>
      </c>
      <c r="S707" s="1">
        <v>607</v>
      </c>
      <c r="T707" s="1">
        <v>588</v>
      </c>
    </row>
    <row r="708" spans="1:20" ht="21" customHeight="1">
      <c r="A708" s="8">
        <v>46272</v>
      </c>
      <c r="B708" s="1" t="s">
        <v>36</v>
      </c>
      <c r="C708" s="1" t="s">
        <v>90</v>
      </c>
      <c r="D708" s="7">
        <v>5200</v>
      </c>
      <c r="E708" s="7">
        <v>5000</v>
      </c>
      <c r="F708" s="7"/>
      <c r="G708" s="7">
        <f>'Option source'!B593</f>
        <v>4.8</v>
      </c>
      <c r="H708" s="7">
        <f>'Option source'!B574</f>
        <v>2.79</v>
      </c>
      <c r="I708" s="7"/>
      <c r="J708" s="7">
        <f t="shared" si="70"/>
        <v>-0.78000000000000025</v>
      </c>
      <c r="K708" s="7">
        <f t="shared" si="71"/>
        <v>200</v>
      </c>
      <c r="L708" s="7">
        <f t="shared" si="72"/>
        <v>200.78</v>
      </c>
      <c r="M708" s="7">
        <f t="shared" si="73"/>
        <v>4799.22</v>
      </c>
      <c r="N708" s="7">
        <f t="shared" si="74"/>
        <v>4799.22</v>
      </c>
      <c r="O708" s="7" t="str">
        <f t="shared" si="75"/>
        <v>n.a.</v>
      </c>
      <c r="P708" s="15" t="str">
        <f t="shared" si="76"/>
        <v>n.a.</v>
      </c>
      <c r="Q708" s="7">
        <f>J708*'Model inputs'!$B$8</f>
        <v>-78.000000000000028</v>
      </c>
      <c r="R708" s="1" t="s">
        <v>162</v>
      </c>
      <c r="S708" s="1">
        <v>588</v>
      </c>
      <c r="T708" s="1">
        <v>569</v>
      </c>
    </row>
    <row r="709" spans="1:20" ht="21" customHeight="1">
      <c r="A709" s="8">
        <v>46272</v>
      </c>
      <c r="B709" s="1" t="s">
        <v>36</v>
      </c>
      <c r="C709" s="1" t="s">
        <v>87</v>
      </c>
      <c r="D709" s="7">
        <v>8600</v>
      </c>
      <c r="E709" s="7">
        <v>8900</v>
      </c>
      <c r="F709" s="7"/>
      <c r="G709" s="7">
        <f>'Option source'!B403</f>
        <v>48.42</v>
      </c>
      <c r="H709" s="7">
        <f>'Option source'!B422</f>
        <v>28.82</v>
      </c>
      <c r="I709" s="7"/>
      <c r="J709" s="7">
        <f t="shared" si="70"/>
        <v>-9.2199999999999989</v>
      </c>
      <c r="K709" s="7">
        <f t="shared" si="71"/>
        <v>300</v>
      </c>
      <c r="L709" s="7">
        <f t="shared" si="72"/>
        <v>309.22000000000003</v>
      </c>
      <c r="M709" s="7" t="str">
        <f t="shared" si="73"/>
        <v>Unlimited</v>
      </c>
      <c r="N709" s="7" t="str">
        <f t="shared" si="74"/>
        <v>n.a.</v>
      </c>
      <c r="O709" s="7">
        <f t="shared" si="75"/>
        <v>9209.2199999999993</v>
      </c>
      <c r="P709" s="15" t="str">
        <f t="shared" si="76"/>
        <v>n.a.</v>
      </c>
      <c r="Q709" s="7">
        <f>J709*'Model inputs'!$B$8</f>
        <v>-921.99999999999989</v>
      </c>
      <c r="R709" s="1" t="s">
        <v>162</v>
      </c>
      <c r="S709" s="1">
        <v>398</v>
      </c>
      <c r="T709" s="1">
        <v>417</v>
      </c>
    </row>
    <row r="710" spans="1:20" ht="21" customHeight="1">
      <c r="A710" s="8">
        <v>46272</v>
      </c>
      <c r="B710" s="1" t="s">
        <v>36</v>
      </c>
      <c r="C710" s="1" t="s">
        <v>90</v>
      </c>
      <c r="D710" s="7">
        <v>5000</v>
      </c>
      <c r="E710" s="7">
        <v>4800</v>
      </c>
      <c r="F710" s="7"/>
      <c r="G710" s="7">
        <f>'Option source'!B574</f>
        <v>2.79</v>
      </c>
      <c r="H710" s="7">
        <f>'Option source'!B555</f>
        <v>1.85</v>
      </c>
      <c r="I710" s="7"/>
      <c r="J710" s="7">
        <f t="shared" si="70"/>
        <v>-0.91000000000000014</v>
      </c>
      <c r="K710" s="7">
        <f t="shared" si="71"/>
        <v>200</v>
      </c>
      <c r="L710" s="7">
        <f t="shared" si="72"/>
        <v>200.91</v>
      </c>
      <c r="M710" s="7">
        <f t="shared" si="73"/>
        <v>4599.09</v>
      </c>
      <c r="N710" s="7">
        <f t="shared" si="74"/>
        <v>4599.09</v>
      </c>
      <c r="O710" s="7" t="str">
        <f t="shared" si="75"/>
        <v>n.a.</v>
      </c>
      <c r="P710" s="15" t="str">
        <f t="shared" si="76"/>
        <v>n.a.</v>
      </c>
      <c r="Q710" s="7">
        <f>J710*'Model inputs'!$B$8</f>
        <v>-91.000000000000014</v>
      </c>
      <c r="R710" s="1" t="s">
        <v>162</v>
      </c>
      <c r="S710" s="1">
        <v>569</v>
      </c>
      <c r="T710" s="1">
        <v>550</v>
      </c>
    </row>
    <row r="711" spans="1:20" ht="21" customHeight="1">
      <c r="A711" s="8">
        <v>46272</v>
      </c>
      <c r="B711" s="1" t="s">
        <v>36</v>
      </c>
      <c r="C711" s="1" t="s">
        <v>87</v>
      </c>
      <c r="D711" s="7">
        <v>8900</v>
      </c>
      <c r="E711" s="7">
        <v>9200</v>
      </c>
      <c r="F711" s="7"/>
      <c r="G711" s="7">
        <f>'Option source'!B422</f>
        <v>28.82</v>
      </c>
      <c r="H711" s="7">
        <f>'Option source'!B441</f>
        <v>17.79</v>
      </c>
      <c r="I711" s="7"/>
      <c r="J711" s="7">
        <f t="shared" ref="J711:J774" si="77">G711-2*H711+IF(B711="Butterfly",I711,0)</f>
        <v>-6.759999999999998</v>
      </c>
      <c r="K711" s="7">
        <f t="shared" ref="K711:K774" si="78">ABS(E711-D711)</f>
        <v>300</v>
      </c>
      <c r="L711" s="7">
        <f t="shared" ref="L711:L774" si="79">K711-J711</f>
        <v>306.76</v>
      </c>
      <c r="M711" s="7" t="str">
        <f t="shared" ref="M711:M774" si="80">IF(B711="Butterfly",MAX(J711,0),IF(C711="call","Unlimited",MAX(2*E711-D711+J711,J711,0)))</f>
        <v>Unlimited</v>
      </c>
      <c r="N711" s="7" t="str">
        <f t="shared" ref="N711:N774" si="81">IF(B711="Butterfly",IF(AND(J711&gt;0,J711&lt;K711),D711+J711,"n.a."),IF(C711="call",IF(AND(J711&gt;0,J711&lt;K711),D711+J711,"n.a."),IF(AND(K711&gt;J711,2*E711-D711+J711&gt;=0),2*E711-D711+J711,"n.a.")))</f>
        <v>n.a.</v>
      </c>
      <c r="O711" s="7">
        <f t="shared" ref="O711:O774" si="82">IF(B711="Butterfly",IF(AND(J711&gt;0,J711&lt;K711),F711-J711,"n.a."),IF(C711="call",IF(K711&gt;J711,2*E711-D711-J711,"n.a."),IF(AND(J711&gt;0,J711&lt;K711),D711-J711,"n.a.")))</f>
        <v>9506.76</v>
      </c>
      <c r="P711" s="15" t="str">
        <f t="shared" ref="P711:P774" si="83">IF(AND(B711="Butterfly",J711&gt;0,J711&lt;K711),L711/J711,"n.a.")</f>
        <v>n.a.</v>
      </c>
      <c r="Q711" s="7">
        <f>J711*'Model inputs'!$B$8</f>
        <v>-675.99999999999977</v>
      </c>
      <c r="R711" s="1" t="s">
        <v>162</v>
      </c>
      <c r="S711" s="1">
        <v>417</v>
      </c>
      <c r="T711" s="1">
        <v>436</v>
      </c>
    </row>
    <row r="712" spans="1:20" ht="21" customHeight="1">
      <c r="A712" s="8">
        <v>46272</v>
      </c>
      <c r="B712" s="1" t="s">
        <v>36</v>
      </c>
      <c r="C712" s="1" t="s">
        <v>90</v>
      </c>
      <c r="D712" s="7">
        <v>4800</v>
      </c>
      <c r="E712" s="7">
        <v>4600</v>
      </c>
      <c r="F712" s="7"/>
      <c r="G712" s="7">
        <f>'Option source'!B555</f>
        <v>1.85</v>
      </c>
      <c r="H712" s="7">
        <f>'Option source'!B536</f>
        <v>1.47</v>
      </c>
      <c r="I712" s="7"/>
      <c r="J712" s="7">
        <f t="shared" si="77"/>
        <v>-1.0899999999999999</v>
      </c>
      <c r="K712" s="7">
        <f t="shared" si="78"/>
        <v>200</v>
      </c>
      <c r="L712" s="7">
        <f t="shared" si="79"/>
        <v>201.09</v>
      </c>
      <c r="M712" s="7">
        <f t="shared" si="80"/>
        <v>4398.91</v>
      </c>
      <c r="N712" s="7">
        <f t="shared" si="81"/>
        <v>4398.91</v>
      </c>
      <c r="O712" s="7" t="str">
        <f t="shared" si="82"/>
        <v>n.a.</v>
      </c>
      <c r="P712" s="15" t="str">
        <f t="shared" si="83"/>
        <v>n.a.</v>
      </c>
      <c r="Q712" s="7">
        <f>J712*'Model inputs'!$B$8</f>
        <v>-108.99999999999999</v>
      </c>
      <c r="R712" s="1" t="s">
        <v>162</v>
      </c>
      <c r="S712" s="1">
        <v>550</v>
      </c>
      <c r="T712" s="1">
        <v>531</v>
      </c>
    </row>
    <row r="713" spans="1:20" ht="21" customHeight="1">
      <c r="A713" s="8">
        <v>46272</v>
      </c>
      <c r="B713" s="1" t="s">
        <v>36</v>
      </c>
      <c r="C713" s="1" t="s">
        <v>87</v>
      </c>
      <c r="D713" s="7">
        <v>4200</v>
      </c>
      <c r="E713" s="7">
        <v>4400</v>
      </c>
      <c r="F713" s="7"/>
      <c r="G713" s="7">
        <f>'Option source'!B18</f>
        <v>2871.76</v>
      </c>
      <c r="H713" s="7">
        <f>'Option source'!B37</f>
        <v>2762.2</v>
      </c>
      <c r="I713" s="7"/>
      <c r="J713" s="7">
        <f t="shared" si="77"/>
        <v>-2652.6399999999994</v>
      </c>
      <c r="K713" s="7">
        <f t="shared" si="78"/>
        <v>200</v>
      </c>
      <c r="L713" s="7">
        <f t="shared" si="79"/>
        <v>2852.6399999999994</v>
      </c>
      <c r="M713" s="7" t="str">
        <f t="shared" si="80"/>
        <v>Unlimited</v>
      </c>
      <c r="N713" s="7" t="str">
        <f t="shared" si="81"/>
        <v>n.a.</v>
      </c>
      <c r="O713" s="7">
        <f t="shared" si="82"/>
        <v>7252.6399999999994</v>
      </c>
      <c r="P713" s="15" t="str">
        <f t="shared" si="83"/>
        <v>n.a.</v>
      </c>
      <c r="Q713" s="7">
        <f>J713*'Model inputs'!$B$8</f>
        <v>-265263.99999999994</v>
      </c>
      <c r="R713" s="1" t="s">
        <v>162</v>
      </c>
      <c r="S713" s="1">
        <v>13</v>
      </c>
      <c r="T713" s="1">
        <v>32</v>
      </c>
    </row>
    <row r="714" spans="1:20" ht="21" customHeight="1">
      <c r="A714" s="8">
        <v>46272</v>
      </c>
      <c r="B714" s="1" t="s">
        <v>36</v>
      </c>
      <c r="C714" s="1" t="s">
        <v>90</v>
      </c>
      <c r="D714" s="7">
        <v>4600</v>
      </c>
      <c r="E714" s="7">
        <v>4400</v>
      </c>
      <c r="F714" s="7"/>
      <c r="G714" s="7">
        <f>'Option source'!B536</f>
        <v>1.47</v>
      </c>
      <c r="H714" s="7">
        <f>'Option source'!B517</f>
        <v>1.25</v>
      </c>
      <c r="I714" s="7"/>
      <c r="J714" s="7">
        <f t="shared" si="77"/>
        <v>-1.03</v>
      </c>
      <c r="K714" s="7">
        <f t="shared" si="78"/>
        <v>200</v>
      </c>
      <c r="L714" s="7">
        <f t="shared" si="79"/>
        <v>201.03</v>
      </c>
      <c r="M714" s="7">
        <f t="shared" si="80"/>
        <v>4198.97</v>
      </c>
      <c r="N714" s="7">
        <f t="shared" si="81"/>
        <v>4198.97</v>
      </c>
      <c r="O714" s="7" t="str">
        <f t="shared" si="82"/>
        <v>n.a.</v>
      </c>
      <c r="P714" s="15" t="str">
        <f t="shared" si="83"/>
        <v>n.a.</v>
      </c>
      <c r="Q714" s="7">
        <f>J714*'Model inputs'!$B$8</f>
        <v>-103</v>
      </c>
      <c r="R714" s="1" t="s">
        <v>162</v>
      </c>
      <c r="S714" s="1">
        <v>531</v>
      </c>
      <c r="T714" s="1">
        <v>512</v>
      </c>
    </row>
    <row r="715" spans="1:20" ht="21" customHeight="1">
      <c r="A715" s="8">
        <v>46272</v>
      </c>
      <c r="B715" s="1" t="s">
        <v>36</v>
      </c>
      <c r="C715" s="1" t="s">
        <v>87</v>
      </c>
      <c r="D715" s="7">
        <v>9200</v>
      </c>
      <c r="E715" s="7">
        <v>9500</v>
      </c>
      <c r="F715" s="7"/>
      <c r="G715" s="7">
        <f>'Option source'!B441</f>
        <v>17.79</v>
      </c>
      <c r="H715" s="7">
        <f>'Option source'!B460</f>
        <v>11.6</v>
      </c>
      <c r="I715" s="7"/>
      <c r="J715" s="7">
        <f t="shared" si="77"/>
        <v>-5.41</v>
      </c>
      <c r="K715" s="7">
        <f t="shared" si="78"/>
        <v>300</v>
      </c>
      <c r="L715" s="7">
        <f t="shared" si="79"/>
        <v>305.41000000000003</v>
      </c>
      <c r="M715" s="7" t="str">
        <f t="shared" si="80"/>
        <v>Unlimited</v>
      </c>
      <c r="N715" s="7" t="str">
        <f t="shared" si="81"/>
        <v>n.a.</v>
      </c>
      <c r="O715" s="7">
        <f t="shared" si="82"/>
        <v>9805.41</v>
      </c>
      <c r="P715" s="15" t="str">
        <f t="shared" si="83"/>
        <v>n.a.</v>
      </c>
      <c r="Q715" s="7">
        <f>J715*'Model inputs'!$B$8</f>
        <v>-541</v>
      </c>
      <c r="R715" s="1" t="s">
        <v>162</v>
      </c>
      <c r="S715" s="1">
        <v>436</v>
      </c>
      <c r="T715" s="1">
        <v>455</v>
      </c>
    </row>
    <row r="716" spans="1:20" ht="21" customHeight="1">
      <c r="A716" s="8">
        <v>46272</v>
      </c>
      <c r="B716" s="1" t="s">
        <v>36</v>
      </c>
      <c r="C716" s="1" t="s">
        <v>90</v>
      </c>
      <c r="D716" s="7">
        <v>4400</v>
      </c>
      <c r="E716" s="7">
        <v>4200</v>
      </c>
      <c r="F716" s="7"/>
      <c r="G716" s="7">
        <f>'Option source'!B517</f>
        <v>1.25</v>
      </c>
      <c r="H716" s="7">
        <f>'Option source'!B498</f>
        <v>0.82</v>
      </c>
      <c r="I716" s="7"/>
      <c r="J716" s="7">
        <f t="shared" si="77"/>
        <v>-0.3899999999999999</v>
      </c>
      <c r="K716" s="7">
        <f t="shared" si="78"/>
        <v>200</v>
      </c>
      <c r="L716" s="7">
        <f t="shared" si="79"/>
        <v>200.39</v>
      </c>
      <c r="M716" s="7">
        <f t="shared" si="80"/>
        <v>3999.61</v>
      </c>
      <c r="N716" s="7">
        <f t="shared" si="81"/>
        <v>3999.61</v>
      </c>
      <c r="O716" s="7" t="str">
        <f t="shared" si="82"/>
        <v>n.a.</v>
      </c>
      <c r="P716" s="15" t="str">
        <f t="shared" si="83"/>
        <v>n.a.</v>
      </c>
      <c r="Q716" s="7">
        <f>J716*'Model inputs'!$B$8</f>
        <v>-38.999999999999993</v>
      </c>
      <c r="R716" s="1" t="s">
        <v>162</v>
      </c>
      <c r="S716" s="1">
        <v>512</v>
      </c>
      <c r="T716" s="1">
        <v>493</v>
      </c>
    </row>
    <row r="717" spans="1:20" ht="21" customHeight="1">
      <c r="A717" s="8">
        <v>46272</v>
      </c>
      <c r="B717" s="1" t="s">
        <v>36</v>
      </c>
      <c r="C717" s="1" t="s">
        <v>87</v>
      </c>
      <c r="D717" s="7">
        <v>9500</v>
      </c>
      <c r="E717" s="7">
        <v>9900</v>
      </c>
      <c r="F717" s="7"/>
      <c r="G717" s="7">
        <f>'Option source'!B460</f>
        <v>11.6</v>
      </c>
      <c r="H717" s="7">
        <f>'Option source'!B479</f>
        <v>7</v>
      </c>
      <c r="I717" s="7"/>
      <c r="J717" s="7">
        <f t="shared" si="77"/>
        <v>-2.4000000000000004</v>
      </c>
      <c r="K717" s="7">
        <f t="shared" si="78"/>
        <v>400</v>
      </c>
      <c r="L717" s="7">
        <f t="shared" si="79"/>
        <v>402.4</v>
      </c>
      <c r="M717" s="7" t="str">
        <f t="shared" si="80"/>
        <v>Unlimited</v>
      </c>
      <c r="N717" s="7" t="str">
        <f t="shared" si="81"/>
        <v>n.a.</v>
      </c>
      <c r="O717" s="7">
        <f t="shared" si="82"/>
        <v>10302.4</v>
      </c>
      <c r="P717" s="15" t="str">
        <f t="shared" si="83"/>
        <v>n.a.</v>
      </c>
      <c r="Q717" s="7">
        <f>J717*'Model inputs'!$B$8</f>
        <v>-240.00000000000003</v>
      </c>
      <c r="R717" s="1" t="s">
        <v>162</v>
      </c>
      <c r="S717" s="1">
        <v>455</v>
      </c>
      <c r="T717" s="1">
        <v>474</v>
      </c>
    </row>
    <row r="718" spans="1:20" ht="21" customHeight="1">
      <c r="A718" s="8">
        <v>46272</v>
      </c>
      <c r="B718" s="1" t="s">
        <v>36</v>
      </c>
      <c r="C718" s="1" t="s">
        <v>90</v>
      </c>
      <c r="D718" s="7">
        <v>7600</v>
      </c>
      <c r="E718" s="7">
        <v>7400</v>
      </c>
      <c r="F718" s="7"/>
      <c r="G718" s="7">
        <f>'Option source'!B821</f>
        <v>625</v>
      </c>
      <c r="H718" s="7">
        <f>'Option source'!B802</f>
        <v>555</v>
      </c>
      <c r="I718" s="7"/>
      <c r="J718" s="7">
        <f t="shared" si="77"/>
        <v>-485</v>
      </c>
      <c r="K718" s="7">
        <f t="shared" si="78"/>
        <v>200</v>
      </c>
      <c r="L718" s="7">
        <f t="shared" si="79"/>
        <v>685</v>
      </c>
      <c r="M718" s="7">
        <f t="shared" si="80"/>
        <v>6715</v>
      </c>
      <c r="N718" s="7">
        <f t="shared" si="81"/>
        <v>6715</v>
      </c>
      <c r="O718" s="7" t="str">
        <f t="shared" si="82"/>
        <v>n.a.</v>
      </c>
      <c r="P718" s="15" t="str">
        <f t="shared" si="83"/>
        <v>n.a.</v>
      </c>
      <c r="Q718" s="7">
        <f>J718*'Model inputs'!$B$8</f>
        <v>-48500</v>
      </c>
      <c r="R718" s="1" t="s">
        <v>164</v>
      </c>
      <c r="S718" s="1">
        <v>816</v>
      </c>
      <c r="T718" s="1">
        <v>797</v>
      </c>
    </row>
    <row r="719" spans="1:20" ht="21" customHeight="1">
      <c r="A719" s="8">
        <v>46272</v>
      </c>
      <c r="B719" s="1" t="s">
        <v>36</v>
      </c>
      <c r="C719" s="1" t="s">
        <v>87</v>
      </c>
      <c r="D719" s="7">
        <v>6200</v>
      </c>
      <c r="E719" s="7">
        <v>6400</v>
      </c>
      <c r="F719" s="7"/>
      <c r="G719" s="7">
        <f>'Option source'!B194</f>
        <v>1015</v>
      </c>
      <c r="H719" s="7">
        <f>'Option source'!B213</f>
        <v>829</v>
      </c>
      <c r="I719" s="7"/>
      <c r="J719" s="7">
        <f t="shared" si="77"/>
        <v>-643</v>
      </c>
      <c r="K719" s="7">
        <f t="shared" si="78"/>
        <v>200</v>
      </c>
      <c r="L719" s="7">
        <f t="shared" si="79"/>
        <v>843</v>
      </c>
      <c r="M719" s="7" t="str">
        <f t="shared" si="80"/>
        <v>Unlimited</v>
      </c>
      <c r="N719" s="7" t="str">
        <f t="shared" si="81"/>
        <v>n.a.</v>
      </c>
      <c r="O719" s="7">
        <f t="shared" si="82"/>
        <v>7243</v>
      </c>
      <c r="P719" s="15" t="str">
        <f t="shared" si="83"/>
        <v>n.a.</v>
      </c>
      <c r="Q719" s="7">
        <f>J719*'Model inputs'!$B$8</f>
        <v>-64300</v>
      </c>
      <c r="R719" s="1" t="s">
        <v>164</v>
      </c>
      <c r="S719" s="1">
        <v>189</v>
      </c>
      <c r="T719" s="1">
        <v>208</v>
      </c>
    </row>
    <row r="720" spans="1:20" ht="21" customHeight="1">
      <c r="A720" s="8">
        <v>46272</v>
      </c>
      <c r="B720" s="1" t="s">
        <v>36</v>
      </c>
      <c r="C720" s="1" t="s">
        <v>90</v>
      </c>
      <c r="D720" s="7">
        <v>7800</v>
      </c>
      <c r="E720" s="7">
        <v>7600</v>
      </c>
      <c r="F720" s="7"/>
      <c r="G720" s="7">
        <f>'Option source'!B840</f>
        <v>780</v>
      </c>
      <c r="H720" s="7">
        <f>'Option source'!B821</f>
        <v>625</v>
      </c>
      <c r="I720" s="7"/>
      <c r="J720" s="7">
        <f t="shared" si="77"/>
        <v>-470</v>
      </c>
      <c r="K720" s="7">
        <f t="shared" si="78"/>
        <v>200</v>
      </c>
      <c r="L720" s="7">
        <f t="shared" si="79"/>
        <v>670</v>
      </c>
      <c r="M720" s="7">
        <f t="shared" si="80"/>
        <v>6930</v>
      </c>
      <c r="N720" s="7">
        <f t="shared" si="81"/>
        <v>6930</v>
      </c>
      <c r="O720" s="7" t="str">
        <f t="shared" si="82"/>
        <v>n.a.</v>
      </c>
      <c r="P720" s="15" t="str">
        <f t="shared" si="83"/>
        <v>n.a.</v>
      </c>
      <c r="Q720" s="7">
        <f>J720*'Model inputs'!$B$8</f>
        <v>-47000</v>
      </c>
      <c r="R720" s="1" t="s">
        <v>164</v>
      </c>
      <c r="S720" s="1">
        <v>835</v>
      </c>
      <c r="T720" s="1">
        <v>816</v>
      </c>
    </row>
    <row r="721" spans="1:20" ht="21" customHeight="1">
      <c r="A721" s="8">
        <v>46272</v>
      </c>
      <c r="B721" s="1" t="s">
        <v>36</v>
      </c>
      <c r="C721" s="1" t="s">
        <v>87</v>
      </c>
      <c r="D721" s="7">
        <v>6000</v>
      </c>
      <c r="E721" s="7">
        <v>6200</v>
      </c>
      <c r="F721" s="7"/>
      <c r="G721" s="7">
        <f>'Option source'!B175</f>
        <v>1158.57</v>
      </c>
      <c r="H721" s="7">
        <f>'Option source'!B194</f>
        <v>1015</v>
      </c>
      <c r="I721" s="7"/>
      <c r="J721" s="7">
        <f t="shared" si="77"/>
        <v>-871.43000000000006</v>
      </c>
      <c r="K721" s="7">
        <f t="shared" si="78"/>
        <v>200</v>
      </c>
      <c r="L721" s="7">
        <f t="shared" si="79"/>
        <v>1071.43</v>
      </c>
      <c r="M721" s="7" t="str">
        <f t="shared" si="80"/>
        <v>Unlimited</v>
      </c>
      <c r="N721" s="7" t="str">
        <f t="shared" si="81"/>
        <v>n.a.</v>
      </c>
      <c r="O721" s="7">
        <f t="shared" si="82"/>
        <v>7271.43</v>
      </c>
      <c r="P721" s="15" t="str">
        <f t="shared" si="83"/>
        <v>n.a.</v>
      </c>
      <c r="Q721" s="7">
        <f>J721*'Model inputs'!$B$8</f>
        <v>-87143</v>
      </c>
      <c r="R721" s="1" t="s">
        <v>164</v>
      </c>
      <c r="S721" s="1">
        <v>170</v>
      </c>
      <c r="T721" s="1">
        <v>189</v>
      </c>
    </row>
    <row r="722" spans="1:20" ht="21" customHeight="1">
      <c r="A722" s="8">
        <v>46272</v>
      </c>
      <c r="B722" s="1" t="s">
        <v>36</v>
      </c>
      <c r="C722" s="1" t="s">
        <v>90</v>
      </c>
      <c r="D722" s="7">
        <v>8000</v>
      </c>
      <c r="E722" s="7">
        <v>7800</v>
      </c>
      <c r="F722" s="7"/>
      <c r="G722" s="7">
        <f>'Option source'!B859</f>
        <v>1000</v>
      </c>
      <c r="H722" s="7">
        <f>'Option source'!B840</f>
        <v>780</v>
      </c>
      <c r="I722" s="7"/>
      <c r="J722" s="7">
        <f t="shared" si="77"/>
        <v>-560</v>
      </c>
      <c r="K722" s="7">
        <f t="shared" si="78"/>
        <v>200</v>
      </c>
      <c r="L722" s="7">
        <f t="shared" si="79"/>
        <v>760</v>
      </c>
      <c r="M722" s="7">
        <f t="shared" si="80"/>
        <v>7040</v>
      </c>
      <c r="N722" s="7">
        <f t="shared" si="81"/>
        <v>7040</v>
      </c>
      <c r="O722" s="7" t="str">
        <f t="shared" si="82"/>
        <v>n.a.</v>
      </c>
      <c r="P722" s="15" t="str">
        <f t="shared" si="83"/>
        <v>n.a.</v>
      </c>
      <c r="Q722" s="7">
        <f>J722*'Model inputs'!$B$8</f>
        <v>-56000</v>
      </c>
      <c r="R722" s="1" t="s">
        <v>164</v>
      </c>
      <c r="S722" s="1">
        <v>854</v>
      </c>
      <c r="T722" s="1">
        <v>835</v>
      </c>
    </row>
    <row r="723" spans="1:20" ht="21" customHeight="1">
      <c r="A723" s="8">
        <v>46272</v>
      </c>
      <c r="B723" s="1" t="s">
        <v>36</v>
      </c>
      <c r="C723" s="1" t="s">
        <v>90</v>
      </c>
      <c r="D723" s="7">
        <v>8300</v>
      </c>
      <c r="E723" s="7">
        <v>8000</v>
      </c>
      <c r="F723" s="7"/>
      <c r="G723" s="7">
        <f>'Option source'!B878</f>
        <v>1350</v>
      </c>
      <c r="H723" s="7">
        <f>'Option source'!B859</f>
        <v>1000</v>
      </c>
      <c r="I723" s="7"/>
      <c r="J723" s="7">
        <f t="shared" si="77"/>
        <v>-650</v>
      </c>
      <c r="K723" s="7">
        <f t="shared" si="78"/>
        <v>300</v>
      </c>
      <c r="L723" s="7">
        <f t="shared" si="79"/>
        <v>950</v>
      </c>
      <c r="M723" s="7">
        <f t="shared" si="80"/>
        <v>7050</v>
      </c>
      <c r="N723" s="7">
        <f t="shared" si="81"/>
        <v>7050</v>
      </c>
      <c r="O723" s="7" t="str">
        <f t="shared" si="82"/>
        <v>n.a.</v>
      </c>
      <c r="P723" s="15" t="str">
        <f t="shared" si="83"/>
        <v>n.a.</v>
      </c>
      <c r="Q723" s="7">
        <f>J723*'Model inputs'!$B$8</f>
        <v>-65000</v>
      </c>
      <c r="R723" s="1" t="s">
        <v>164</v>
      </c>
      <c r="S723" s="1">
        <v>873</v>
      </c>
      <c r="T723" s="1">
        <v>854</v>
      </c>
    </row>
    <row r="724" spans="1:20" ht="21" customHeight="1">
      <c r="A724" s="8">
        <v>46272</v>
      </c>
      <c r="B724" s="1" t="s">
        <v>36</v>
      </c>
      <c r="C724" s="1" t="s">
        <v>87</v>
      </c>
      <c r="D724" s="7">
        <v>5600</v>
      </c>
      <c r="E724" s="7">
        <v>5800</v>
      </c>
      <c r="F724" s="7"/>
      <c r="G724" s="7">
        <f>'Option source'!B146</f>
        <v>1500</v>
      </c>
      <c r="H724" s="7">
        <f>'Option source'!B156</f>
        <v>1330</v>
      </c>
      <c r="I724" s="7"/>
      <c r="J724" s="7">
        <f t="shared" si="77"/>
        <v>-1160</v>
      </c>
      <c r="K724" s="7">
        <f t="shared" si="78"/>
        <v>200</v>
      </c>
      <c r="L724" s="7">
        <f t="shared" si="79"/>
        <v>1360</v>
      </c>
      <c r="M724" s="7" t="str">
        <f t="shared" si="80"/>
        <v>Unlimited</v>
      </c>
      <c r="N724" s="7" t="str">
        <f t="shared" si="81"/>
        <v>n.a.</v>
      </c>
      <c r="O724" s="7">
        <f t="shared" si="82"/>
        <v>7160</v>
      </c>
      <c r="P724" s="15" t="str">
        <f t="shared" si="83"/>
        <v>n.a.</v>
      </c>
      <c r="Q724" s="7">
        <f>J724*'Model inputs'!$B$8</f>
        <v>-116000</v>
      </c>
      <c r="R724" s="1" t="s">
        <v>164</v>
      </c>
      <c r="S724" s="1">
        <v>141</v>
      </c>
      <c r="T724" s="1">
        <v>151</v>
      </c>
    </row>
    <row r="725" spans="1:20" ht="21" customHeight="1">
      <c r="A725" s="8">
        <v>46272</v>
      </c>
      <c r="B725" s="1" t="s">
        <v>36</v>
      </c>
      <c r="C725" s="1" t="s">
        <v>87</v>
      </c>
      <c r="D725" s="7">
        <v>5400</v>
      </c>
      <c r="E725" s="7">
        <v>5600</v>
      </c>
      <c r="F725" s="7"/>
      <c r="G725" s="7">
        <f>'Option source'!B128</f>
        <v>1636.72</v>
      </c>
      <c r="H725" s="7">
        <f>'Option source'!B146</f>
        <v>1500</v>
      </c>
      <c r="I725" s="7"/>
      <c r="J725" s="7">
        <f t="shared" si="77"/>
        <v>-1363.28</v>
      </c>
      <c r="K725" s="7">
        <f t="shared" si="78"/>
        <v>200</v>
      </c>
      <c r="L725" s="7">
        <f t="shared" si="79"/>
        <v>1563.28</v>
      </c>
      <c r="M725" s="7" t="str">
        <f t="shared" si="80"/>
        <v>Unlimited</v>
      </c>
      <c r="N725" s="7" t="str">
        <f t="shared" si="81"/>
        <v>n.a.</v>
      </c>
      <c r="O725" s="7">
        <f t="shared" si="82"/>
        <v>7163.28</v>
      </c>
      <c r="P725" s="15" t="str">
        <f t="shared" si="83"/>
        <v>n.a.</v>
      </c>
      <c r="Q725" s="7">
        <f>J725*'Model inputs'!$B$8</f>
        <v>-136328</v>
      </c>
      <c r="R725" s="1" t="s">
        <v>164</v>
      </c>
      <c r="S725" s="1">
        <v>123</v>
      </c>
      <c r="T725" s="1">
        <v>141</v>
      </c>
    </row>
    <row r="726" spans="1:20" ht="21" customHeight="1">
      <c r="A726" s="8">
        <v>46272</v>
      </c>
      <c r="B726" s="1" t="s">
        <v>36</v>
      </c>
      <c r="C726" s="1" t="s">
        <v>90</v>
      </c>
      <c r="D726" s="7">
        <v>8600</v>
      </c>
      <c r="E726" s="7">
        <v>8300</v>
      </c>
      <c r="F726" s="7"/>
      <c r="G726" s="7">
        <f>'Option source'!B897</f>
        <v>1555.11</v>
      </c>
      <c r="H726" s="7">
        <f>'Option source'!B878</f>
        <v>1350</v>
      </c>
      <c r="I726" s="7"/>
      <c r="J726" s="7">
        <f t="shared" si="77"/>
        <v>-1144.8900000000001</v>
      </c>
      <c r="K726" s="7">
        <f t="shared" si="78"/>
        <v>300</v>
      </c>
      <c r="L726" s="7">
        <f t="shared" si="79"/>
        <v>1444.89</v>
      </c>
      <c r="M726" s="7">
        <f t="shared" si="80"/>
        <v>6855.11</v>
      </c>
      <c r="N726" s="7">
        <f t="shared" si="81"/>
        <v>6855.11</v>
      </c>
      <c r="O726" s="7" t="str">
        <f t="shared" si="82"/>
        <v>n.a.</v>
      </c>
      <c r="P726" s="15" t="str">
        <f t="shared" si="83"/>
        <v>n.a.</v>
      </c>
      <c r="Q726" s="7">
        <f>J726*'Model inputs'!$B$8</f>
        <v>-114489.00000000001</v>
      </c>
      <c r="R726" s="1" t="s">
        <v>164</v>
      </c>
      <c r="S726" s="1">
        <v>892</v>
      </c>
      <c r="T726" s="1">
        <v>873</v>
      </c>
    </row>
    <row r="727" spans="1:20" ht="21" customHeight="1">
      <c r="A727" s="8">
        <v>46272</v>
      </c>
      <c r="B727" s="1" t="s">
        <v>36</v>
      </c>
      <c r="C727" s="1" t="s">
        <v>87</v>
      </c>
      <c r="D727" s="7">
        <v>5200</v>
      </c>
      <c r="E727" s="7">
        <v>5400</v>
      </c>
      <c r="F727" s="7"/>
      <c r="G727" s="7">
        <f>'Option source'!B109</f>
        <v>1880.26</v>
      </c>
      <c r="H727" s="7">
        <f>'Option source'!B128</f>
        <v>1636.72</v>
      </c>
      <c r="I727" s="7"/>
      <c r="J727" s="7">
        <f t="shared" si="77"/>
        <v>-1393.18</v>
      </c>
      <c r="K727" s="7">
        <f t="shared" si="78"/>
        <v>200</v>
      </c>
      <c r="L727" s="7">
        <f t="shared" si="79"/>
        <v>1593.18</v>
      </c>
      <c r="M727" s="7" t="str">
        <f t="shared" si="80"/>
        <v>Unlimited</v>
      </c>
      <c r="N727" s="7" t="str">
        <f t="shared" si="81"/>
        <v>n.a.</v>
      </c>
      <c r="O727" s="7">
        <f t="shared" si="82"/>
        <v>6993.18</v>
      </c>
      <c r="P727" s="15" t="str">
        <f t="shared" si="83"/>
        <v>n.a.</v>
      </c>
      <c r="Q727" s="7">
        <f>J727*'Model inputs'!$B$8</f>
        <v>-139318</v>
      </c>
      <c r="R727" s="1" t="s">
        <v>164</v>
      </c>
      <c r="S727" s="1">
        <v>104</v>
      </c>
      <c r="T727" s="1">
        <v>123</v>
      </c>
    </row>
    <row r="728" spans="1:20" ht="21" customHeight="1">
      <c r="A728" s="8">
        <v>46272</v>
      </c>
      <c r="B728" s="1" t="s">
        <v>36</v>
      </c>
      <c r="C728" s="1" t="s">
        <v>90</v>
      </c>
      <c r="D728" s="7">
        <v>8900</v>
      </c>
      <c r="E728" s="7">
        <v>8600</v>
      </c>
      <c r="F728" s="7"/>
      <c r="G728" s="7">
        <f>'Option source'!B912</f>
        <v>2022.5</v>
      </c>
      <c r="H728" s="7">
        <f>'Option source'!B897</f>
        <v>1555.11</v>
      </c>
      <c r="I728" s="7"/>
      <c r="J728" s="7">
        <f t="shared" si="77"/>
        <v>-1087.7199999999998</v>
      </c>
      <c r="K728" s="7">
        <f t="shared" si="78"/>
        <v>300</v>
      </c>
      <c r="L728" s="7">
        <f t="shared" si="79"/>
        <v>1387.7199999999998</v>
      </c>
      <c r="M728" s="7">
        <f t="shared" si="80"/>
        <v>7212.2800000000007</v>
      </c>
      <c r="N728" s="7">
        <f t="shared" si="81"/>
        <v>7212.2800000000007</v>
      </c>
      <c r="O728" s="7" t="str">
        <f t="shared" si="82"/>
        <v>n.a.</v>
      </c>
      <c r="P728" s="15" t="str">
        <f t="shared" si="83"/>
        <v>n.a.</v>
      </c>
      <c r="Q728" s="7">
        <f>J728*'Model inputs'!$B$8</f>
        <v>-108771.99999999999</v>
      </c>
      <c r="R728" s="1" t="s">
        <v>164</v>
      </c>
      <c r="S728" s="1">
        <v>907</v>
      </c>
      <c r="T728" s="1">
        <v>892</v>
      </c>
    </row>
    <row r="729" spans="1:20" ht="21" customHeight="1">
      <c r="A729" s="8">
        <v>46272</v>
      </c>
      <c r="B729" s="1" t="s">
        <v>36</v>
      </c>
      <c r="C729" s="1" t="s">
        <v>87</v>
      </c>
      <c r="D729" s="7">
        <v>5000</v>
      </c>
      <c r="E729" s="7">
        <v>5200</v>
      </c>
      <c r="F729" s="7"/>
      <c r="G729" s="7">
        <f>'Option source'!B90</f>
        <v>2094.25</v>
      </c>
      <c r="H729" s="7">
        <f>'Option source'!B109</f>
        <v>1880.26</v>
      </c>
      <c r="I729" s="7"/>
      <c r="J729" s="7">
        <f t="shared" si="77"/>
        <v>-1666.27</v>
      </c>
      <c r="K729" s="7">
        <f t="shared" si="78"/>
        <v>200</v>
      </c>
      <c r="L729" s="7">
        <f t="shared" si="79"/>
        <v>1866.27</v>
      </c>
      <c r="M729" s="7" t="str">
        <f t="shared" si="80"/>
        <v>Unlimited</v>
      </c>
      <c r="N729" s="7" t="str">
        <f t="shared" si="81"/>
        <v>n.a.</v>
      </c>
      <c r="O729" s="7">
        <f t="shared" si="82"/>
        <v>7066.27</v>
      </c>
      <c r="P729" s="15" t="str">
        <f t="shared" si="83"/>
        <v>n.a.</v>
      </c>
      <c r="Q729" s="7">
        <f>J729*'Model inputs'!$B$8</f>
        <v>-166627</v>
      </c>
      <c r="R729" s="1" t="s">
        <v>164</v>
      </c>
      <c r="S729" s="1">
        <v>85</v>
      </c>
      <c r="T729" s="1">
        <v>104</v>
      </c>
    </row>
    <row r="730" spans="1:20" ht="21" customHeight="1">
      <c r="A730" s="8">
        <v>46272</v>
      </c>
      <c r="B730" s="1" t="s">
        <v>36</v>
      </c>
      <c r="C730" s="1" t="s">
        <v>87</v>
      </c>
      <c r="D730" s="7">
        <v>4800</v>
      </c>
      <c r="E730" s="7">
        <v>5000</v>
      </c>
      <c r="F730" s="7"/>
      <c r="G730" s="7">
        <f>'Option source'!B73</f>
        <v>2261.21</v>
      </c>
      <c r="H730" s="7">
        <f>'Option source'!B90</f>
        <v>2094.25</v>
      </c>
      <c r="I730" s="7"/>
      <c r="J730" s="7">
        <f t="shared" si="77"/>
        <v>-1927.29</v>
      </c>
      <c r="K730" s="7">
        <f t="shared" si="78"/>
        <v>200</v>
      </c>
      <c r="L730" s="7">
        <f t="shared" si="79"/>
        <v>2127.29</v>
      </c>
      <c r="M730" s="7" t="str">
        <f t="shared" si="80"/>
        <v>Unlimited</v>
      </c>
      <c r="N730" s="7" t="str">
        <f t="shared" si="81"/>
        <v>n.a.</v>
      </c>
      <c r="O730" s="7">
        <f t="shared" si="82"/>
        <v>7127.29</v>
      </c>
      <c r="P730" s="15" t="str">
        <f t="shared" si="83"/>
        <v>n.a.</v>
      </c>
      <c r="Q730" s="7">
        <f>J730*'Model inputs'!$B$8</f>
        <v>-192729</v>
      </c>
      <c r="R730" s="1" t="s">
        <v>164</v>
      </c>
      <c r="S730" s="1">
        <v>68</v>
      </c>
      <c r="T730" s="1">
        <v>85</v>
      </c>
    </row>
    <row r="731" spans="1:20" ht="21" customHeight="1">
      <c r="A731" s="8">
        <v>46272</v>
      </c>
      <c r="B731" s="1" t="s">
        <v>36</v>
      </c>
      <c r="C731" s="1" t="s">
        <v>87</v>
      </c>
      <c r="D731" s="7">
        <v>4600</v>
      </c>
      <c r="E731" s="7">
        <v>4800</v>
      </c>
      <c r="F731" s="7"/>
      <c r="G731" s="7">
        <f>'Option source'!B56</f>
        <v>2499.7399999999998</v>
      </c>
      <c r="H731" s="7">
        <f>'Option source'!B73</f>
        <v>2261.21</v>
      </c>
      <c r="I731" s="7"/>
      <c r="J731" s="7">
        <f t="shared" si="77"/>
        <v>-2022.6800000000003</v>
      </c>
      <c r="K731" s="7">
        <f t="shared" si="78"/>
        <v>200</v>
      </c>
      <c r="L731" s="7">
        <f t="shared" si="79"/>
        <v>2222.6800000000003</v>
      </c>
      <c r="M731" s="7" t="str">
        <f t="shared" si="80"/>
        <v>Unlimited</v>
      </c>
      <c r="N731" s="7" t="str">
        <f t="shared" si="81"/>
        <v>n.a.</v>
      </c>
      <c r="O731" s="7">
        <f t="shared" si="82"/>
        <v>7022.68</v>
      </c>
      <c r="P731" s="15" t="str">
        <f t="shared" si="83"/>
        <v>n.a.</v>
      </c>
      <c r="Q731" s="7">
        <f>J731*'Model inputs'!$B$8</f>
        <v>-202268.00000000003</v>
      </c>
      <c r="R731" s="1" t="s">
        <v>164</v>
      </c>
      <c r="S731" s="1">
        <v>51</v>
      </c>
      <c r="T731" s="1">
        <v>68</v>
      </c>
    </row>
    <row r="732" spans="1:20" ht="21" customHeight="1">
      <c r="A732" s="8">
        <v>46272</v>
      </c>
      <c r="B732" s="1" t="s">
        <v>36</v>
      </c>
      <c r="C732" s="1" t="s">
        <v>87</v>
      </c>
      <c r="D732" s="7">
        <v>4400</v>
      </c>
      <c r="E732" s="7">
        <v>4600</v>
      </c>
      <c r="F732" s="7"/>
      <c r="G732" s="7">
        <f>'Option source'!B37</f>
        <v>2762.2</v>
      </c>
      <c r="H732" s="7">
        <f>'Option source'!B56</f>
        <v>2499.7399999999998</v>
      </c>
      <c r="I732" s="7"/>
      <c r="J732" s="7">
        <f t="shared" si="77"/>
        <v>-2237.2799999999997</v>
      </c>
      <c r="K732" s="7">
        <f t="shared" si="78"/>
        <v>200</v>
      </c>
      <c r="L732" s="7">
        <f t="shared" si="79"/>
        <v>2437.2799999999997</v>
      </c>
      <c r="M732" s="7" t="str">
        <f t="shared" si="80"/>
        <v>Unlimited</v>
      </c>
      <c r="N732" s="7" t="str">
        <f t="shared" si="81"/>
        <v>n.a.</v>
      </c>
      <c r="O732" s="7">
        <f t="shared" si="82"/>
        <v>7037.28</v>
      </c>
      <c r="P732" s="15" t="str">
        <f t="shared" si="83"/>
        <v>n.a.</v>
      </c>
      <c r="Q732" s="7">
        <f>J732*'Model inputs'!$B$8</f>
        <v>-223727.99999999997</v>
      </c>
      <c r="R732" s="1" t="s">
        <v>164</v>
      </c>
      <c r="S732" s="1">
        <v>32</v>
      </c>
      <c r="T732" s="1">
        <v>51</v>
      </c>
    </row>
    <row r="733" spans="1:20" ht="21" customHeight="1">
      <c r="A733" s="8">
        <v>46269</v>
      </c>
      <c r="B733" s="1" t="s">
        <v>34</v>
      </c>
      <c r="C733" s="1" t="s">
        <v>87</v>
      </c>
      <c r="D733" s="7">
        <v>6800</v>
      </c>
      <c r="E733" s="7">
        <v>7000</v>
      </c>
      <c r="F733" s="7">
        <v>7200</v>
      </c>
      <c r="G733" s="7">
        <f>'Option source'!B250</f>
        <v>616.63</v>
      </c>
      <c r="H733" s="7">
        <f>'Option source'!B269</f>
        <v>501.55</v>
      </c>
      <c r="I733" s="7">
        <f>'Option source'!B288</f>
        <v>399.74</v>
      </c>
      <c r="J733" s="7">
        <f t="shared" si="77"/>
        <v>13.269999999999982</v>
      </c>
      <c r="K733" s="7">
        <f t="shared" si="78"/>
        <v>200</v>
      </c>
      <c r="L733" s="7">
        <f t="shared" si="79"/>
        <v>186.73000000000002</v>
      </c>
      <c r="M733" s="7">
        <f t="shared" si="80"/>
        <v>13.269999999999982</v>
      </c>
      <c r="N733" s="7">
        <f t="shared" si="81"/>
        <v>6813.27</v>
      </c>
      <c r="O733" s="7">
        <f t="shared" si="82"/>
        <v>7186.73</v>
      </c>
      <c r="P733" s="15">
        <f t="shared" si="83"/>
        <v>14.071590052750587</v>
      </c>
      <c r="Q733" s="7">
        <f>J733*'Model inputs'!$B$8</f>
        <v>1326.9999999999982</v>
      </c>
      <c r="R733" s="1" t="s">
        <v>162</v>
      </c>
      <c r="S733" s="1">
        <v>245</v>
      </c>
      <c r="T733" s="1">
        <v>264</v>
      </c>
    </row>
    <row r="734" spans="1:20" ht="21" customHeight="1">
      <c r="A734" s="8">
        <v>46269</v>
      </c>
      <c r="B734" s="1" t="s">
        <v>34</v>
      </c>
      <c r="C734" s="1" t="s">
        <v>90</v>
      </c>
      <c r="D734" s="7">
        <v>6800</v>
      </c>
      <c r="E734" s="7">
        <v>7000</v>
      </c>
      <c r="F734" s="7">
        <v>7200</v>
      </c>
      <c r="G734" s="7">
        <f>'Option source'!B744</f>
        <v>237.19</v>
      </c>
      <c r="H734" s="7">
        <f>'Option source'!B763</f>
        <v>319.58</v>
      </c>
      <c r="I734" s="7">
        <f>'Option source'!B782</f>
        <v>420.47</v>
      </c>
      <c r="J734" s="7">
        <f t="shared" si="77"/>
        <v>18.500000000000057</v>
      </c>
      <c r="K734" s="7">
        <f t="shared" si="78"/>
        <v>200</v>
      </c>
      <c r="L734" s="7">
        <f t="shared" si="79"/>
        <v>181.49999999999994</v>
      </c>
      <c r="M734" s="7">
        <f t="shared" si="80"/>
        <v>18.500000000000057</v>
      </c>
      <c r="N734" s="7">
        <f t="shared" si="81"/>
        <v>6818.5</v>
      </c>
      <c r="O734" s="7">
        <f t="shared" si="82"/>
        <v>7181.5</v>
      </c>
      <c r="P734" s="15">
        <f t="shared" si="83"/>
        <v>9.8108108108107768</v>
      </c>
      <c r="Q734" s="7">
        <f>J734*'Model inputs'!$B$8</f>
        <v>1850.0000000000057</v>
      </c>
      <c r="R734" s="1" t="s">
        <v>162</v>
      </c>
      <c r="S734" s="1">
        <v>739</v>
      </c>
      <c r="T734" s="1">
        <v>758</v>
      </c>
    </row>
    <row r="735" spans="1:20" ht="21" customHeight="1">
      <c r="A735" s="8">
        <v>46269</v>
      </c>
      <c r="B735" s="1" t="s">
        <v>34</v>
      </c>
      <c r="C735" s="1" t="s">
        <v>87</v>
      </c>
      <c r="D735" s="7">
        <v>7000</v>
      </c>
      <c r="E735" s="7">
        <v>7200</v>
      </c>
      <c r="F735" s="7">
        <v>7400</v>
      </c>
      <c r="G735" s="7">
        <f>'Option source'!B269</f>
        <v>501.55</v>
      </c>
      <c r="H735" s="7">
        <f>'Option source'!B288</f>
        <v>399.74</v>
      </c>
      <c r="I735" s="7">
        <f>'Option source'!B307</f>
        <v>315.27</v>
      </c>
      <c r="J735" s="7">
        <f t="shared" si="77"/>
        <v>17.339999999999975</v>
      </c>
      <c r="K735" s="7">
        <f t="shared" si="78"/>
        <v>200</v>
      </c>
      <c r="L735" s="7">
        <f t="shared" si="79"/>
        <v>182.66000000000003</v>
      </c>
      <c r="M735" s="7">
        <f t="shared" si="80"/>
        <v>17.339999999999975</v>
      </c>
      <c r="N735" s="7">
        <f t="shared" si="81"/>
        <v>7017.34</v>
      </c>
      <c r="O735" s="7">
        <f t="shared" si="82"/>
        <v>7382.66</v>
      </c>
      <c r="P735" s="15">
        <f t="shared" si="83"/>
        <v>10.534025374855842</v>
      </c>
      <c r="Q735" s="7">
        <f>J735*'Model inputs'!$B$8</f>
        <v>1733.9999999999975</v>
      </c>
      <c r="R735" s="1" t="s">
        <v>162</v>
      </c>
      <c r="S735" s="1">
        <v>264</v>
      </c>
      <c r="T735" s="1">
        <v>283</v>
      </c>
    </row>
    <row r="736" spans="1:20" ht="21" customHeight="1">
      <c r="A736" s="8">
        <v>46269</v>
      </c>
      <c r="B736" s="1" t="s">
        <v>34</v>
      </c>
      <c r="C736" s="1" t="s">
        <v>90</v>
      </c>
      <c r="D736" s="7">
        <v>7000</v>
      </c>
      <c r="E736" s="7">
        <v>7200</v>
      </c>
      <c r="F736" s="7">
        <v>7400</v>
      </c>
      <c r="G736" s="7">
        <f>'Option source'!B763</f>
        <v>319.58</v>
      </c>
      <c r="H736" s="7">
        <f>'Option source'!B782</f>
        <v>420.47</v>
      </c>
      <c r="I736" s="7">
        <f>'Option source'!B801</f>
        <v>534.29999999999995</v>
      </c>
      <c r="J736" s="7">
        <f t="shared" si="77"/>
        <v>12.939999999999827</v>
      </c>
      <c r="K736" s="7">
        <f t="shared" si="78"/>
        <v>200</v>
      </c>
      <c r="L736" s="7">
        <f t="shared" si="79"/>
        <v>187.06000000000017</v>
      </c>
      <c r="M736" s="7">
        <f t="shared" si="80"/>
        <v>12.939999999999827</v>
      </c>
      <c r="N736" s="7">
        <f t="shared" si="81"/>
        <v>7012.94</v>
      </c>
      <c r="O736" s="7">
        <f t="shared" si="82"/>
        <v>7387.06</v>
      </c>
      <c r="P736" s="15">
        <f t="shared" si="83"/>
        <v>14.455950540958476</v>
      </c>
      <c r="Q736" s="7">
        <f>J736*'Model inputs'!$B$8</f>
        <v>1293.9999999999827</v>
      </c>
      <c r="R736" s="1" t="s">
        <v>162</v>
      </c>
      <c r="S736" s="1">
        <v>758</v>
      </c>
      <c r="T736" s="1">
        <v>777</v>
      </c>
    </row>
    <row r="737" spans="1:20" ht="21" customHeight="1">
      <c r="A737" s="8">
        <v>46269</v>
      </c>
      <c r="B737" s="1" t="s">
        <v>34</v>
      </c>
      <c r="C737" s="1" t="s">
        <v>87</v>
      </c>
      <c r="D737" s="7">
        <v>6600</v>
      </c>
      <c r="E737" s="7">
        <v>6800</v>
      </c>
      <c r="F737" s="7">
        <v>7000</v>
      </c>
      <c r="G737" s="7">
        <f>'Option source'!B231</f>
        <v>738.92</v>
      </c>
      <c r="H737" s="7">
        <f>'Option source'!B250</f>
        <v>616.63</v>
      </c>
      <c r="I737" s="7">
        <f>'Option source'!B269</f>
        <v>501.55</v>
      </c>
      <c r="J737" s="7">
        <f t="shared" si="77"/>
        <v>7.2099999999999795</v>
      </c>
      <c r="K737" s="7">
        <f t="shared" si="78"/>
        <v>200</v>
      </c>
      <c r="L737" s="7">
        <f t="shared" si="79"/>
        <v>192.79000000000002</v>
      </c>
      <c r="M737" s="7">
        <f t="shared" si="80"/>
        <v>7.2099999999999795</v>
      </c>
      <c r="N737" s="7">
        <f t="shared" si="81"/>
        <v>6607.21</v>
      </c>
      <c r="O737" s="7">
        <f t="shared" si="82"/>
        <v>6992.79</v>
      </c>
      <c r="P737" s="15">
        <f t="shared" si="83"/>
        <v>26.739251040221994</v>
      </c>
      <c r="Q737" s="7">
        <f>J737*'Model inputs'!$B$8</f>
        <v>720.99999999999795</v>
      </c>
      <c r="R737" s="1" t="s">
        <v>162</v>
      </c>
      <c r="S737" s="1">
        <v>226</v>
      </c>
      <c r="T737" s="1">
        <v>245</v>
      </c>
    </row>
    <row r="738" spans="1:20" ht="21" customHeight="1">
      <c r="A738" s="8">
        <v>46269</v>
      </c>
      <c r="B738" s="1" t="s">
        <v>34</v>
      </c>
      <c r="C738" s="1" t="s">
        <v>90</v>
      </c>
      <c r="D738" s="7">
        <v>6600</v>
      </c>
      <c r="E738" s="7">
        <v>6800</v>
      </c>
      <c r="F738" s="7">
        <v>7000</v>
      </c>
      <c r="G738" s="7">
        <f>'Option source'!B725</f>
        <v>169.4</v>
      </c>
      <c r="H738" s="7">
        <f>'Option source'!B744</f>
        <v>237.19</v>
      </c>
      <c r="I738" s="7">
        <f>'Option source'!B763</f>
        <v>319.58</v>
      </c>
      <c r="J738" s="7">
        <f t="shared" si="77"/>
        <v>14.599999999999966</v>
      </c>
      <c r="K738" s="7">
        <f t="shared" si="78"/>
        <v>200</v>
      </c>
      <c r="L738" s="7">
        <f t="shared" si="79"/>
        <v>185.40000000000003</v>
      </c>
      <c r="M738" s="7">
        <f t="shared" si="80"/>
        <v>14.599999999999966</v>
      </c>
      <c r="N738" s="7">
        <f t="shared" si="81"/>
        <v>6614.6</v>
      </c>
      <c r="O738" s="7">
        <f t="shared" si="82"/>
        <v>6985.4</v>
      </c>
      <c r="P738" s="15">
        <f t="shared" si="83"/>
        <v>12.698630136986333</v>
      </c>
      <c r="Q738" s="7">
        <f>J738*'Model inputs'!$B$8</f>
        <v>1459.9999999999966</v>
      </c>
      <c r="R738" s="1" t="s">
        <v>162</v>
      </c>
      <c r="S738" s="1">
        <v>720</v>
      </c>
      <c r="T738" s="1">
        <v>739</v>
      </c>
    </row>
    <row r="739" spans="1:20" ht="21" customHeight="1">
      <c r="A739" s="8">
        <v>46269</v>
      </c>
      <c r="B739" s="1" t="s">
        <v>34</v>
      </c>
      <c r="C739" s="1" t="s">
        <v>87</v>
      </c>
      <c r="D739" s="7">
        <v>7200</v>
      </c>
      <c r="E739" s="7">
        <v>7400</v>
      </c>
      <c r="F739" s="7">
        <v>7600</v>
      </c>
      <c r="G739" s="7">
        <f>'Option source'!B288</f>
        <v>399.74</v>
      </c>
      <c r="H739" s="7">
        <f>'Option source'!B307</f>
        <v>315.27</v>
      </c>
      <c r="I739" s="7">
        <f>'Option source'!B326</f>
        <v>246.84</v>
      </c>
      <c r="J739" s="7">
        <f t="shared" si="77"/>
        <v>16.040000000000049</v>
      </c>
      <c r="K739" s="7">
        <f t="shared" si="78"/>
        <v>200</v>
      </c>
      <c r="L739" s="7">
        <f t="shared" si="79"/>
        <v>183.95999999999995</v>
      </c>
      <c r="M739" s="7">
        <f t="shared" si="80"/>
        <v>16.040000000000049</v>
      </c>
      <c r="N739" s="7">
        <f t="shared" si="81"/>
        <v>7216.04</v>
      </c>
      <c r="O739" s="7">
        <f t="shared" si="82"/>
        <v>7583.96</v>
      </c>
      <c r="P739" s="15">
        <f t="shared" si="83"/>
        <v>11.468827930174525</v>
      </c>
      <c r="Q739" s="7">
        <f>J739*'Model inputs'!$B$8</f>
        <v>1604.000000000005</v>
      </c>
      <c r="R739" s="1" t="s">
        <v>162</v>
      </c>
      <c r="S739" s="1">
        <v>283</v>
      </c>
      <c r="T739" s="1">
        <v>302</v>
      </c>
    </row>
    <row r="740" spans="1:20" ht="21" customHeight="1">
      <c r="A740" s="8">
        <v>46269</v>
      </c>
      <c r="B740" s="1" t="s">
        <v>34</v>
      </c>
      <c r="C740" s="1" t="s">
        <v>90</v>
      </c>
      <c r="D740" s="7">
        <v>7200</v>
      </c>
      <c r="E740" s="7">
        <v>7400</v>
      </c>
      <c r="F740" s="7">
        <v>7600</v>
      </c>
      <c r="G740" s="7">
        <f>'Option source'!B782</f>
        <v>420.47</v>
      </c>
      <c r="H740" s="7">
        <f>'Option source'!B801</f>
        <v>534.29999999999995</v>
      </c>
      <c r="I740" s="7">
        <f>'Option source'!B820</f>
        <v>660</v>
      </c>
      <c r="J740" s="7">
        <f t="shared" si="77"/>
        <v>11.870000000000118</v>
      </c>
      <c r="K740" s="7">
        <f t="shared" si="78"/>
        <v>200</v>
      </c>
      <c r="L740" s="7">
        <f t="shared" si="79"/>
        <v>188.12999999999988</v>
      </c>
      <c r="M740" s="7">
        <f t="shared" si="80"/>
        <v>11.870000000000118</v>
      </c>
      <c r="N740" s="7">
        <f t="shared" si="81"/>
        <v>7211.87</v>
      </c>
      <c r="O740" s="7">
        <f t="shared" si="82"/>
        <v>7588.13</v>
      </c>
      <c r="P740" s="15">
        <f t="shared" si="83"/>
        <v>15.849199663015838</v>
      </c>
      <c r="Q740" s="7">
        <f>J740*'Model inputs'!$B$8</f>
        <v>1187.0000000000118</v>
      </c>
      <c r="R740" s="1" t="s">
        <v>162</v>
      </c>
      <c r="S740" s="1">
        <v>777</v>
      </c>
      <c r="T740" s="1">
        <v>796</v>
      </c>
    </row>
    <row r="741" spans="1:20" ht="21" customHeight="1">
      <c r="A741" s="8">
        <v>46269</v>
      </c>
      <c r="B741" s="1" t="s">
        <v>34</v>
      </c>
      <c r="C741" s="1" t="s">
        <v>90</v>
      </c>
      <c r="D741" s="7">
        <v>6400</v>
      </c>
      <c r="E741" s="7">
        <v>6600</v>
      </c>
      <c r="F741" s="7">
        <v>6800</v>
      </c>
      <c r="G741" s="7">
        <f>'Option source'!B706</f>
        <v>116.45</v>
      </c>
      <c r="H741" s="7">
        <f>'Option source'!B725</f>
        <v>169.4</v>
      </c>
      <c r="I741" s="7">
        <f>'Option source'!B744</f>
        <v>237.19</v>
      </c>
      <c r="J741" s="7">
        <f t="shared" si="77"/>
        <v>14.839999999999975</v>
      </c>
      <c r="K741" s="7">
        <f t="shared" si="78"/>
        <v>200</v>
      </c>
      <c r="L741" s="7">
        <f t="shared" si="79"/>
        <v>185.16000000000003</v>
      </c>
      <c r="M741" s="7">
        <f t="shared" si="80"/>
        <v>14.839999999999975</v>
      </c>
      <c r="N741" s="7">
        <f t="shared" si="81"/>
        <v>6414.84</v>
      </c>
      <c r="O741" s="7">
        <f t="shared" si="82"/>
        <v>6785.16</v>
      </c>
      <c r="P741" s="15">
        <f t="shared" si="83"/>
        <v>12.477088948787085</v>
      </c>
      <c r="Q741" s="7">
        <f>J741*'Model inputs'!$B$8</f>
        <v>1483.9999999999975</v>
      </c>
      <c r="R741" s="1" t="s">
        <v>162</v>
      </c>
      <c r="S741" s="1">
        <v>701</v>
      </c>
      <c r="T741" s="1">
        <v>720</v>
      </c>
    </row>
    <row r="742" spans="1:20" ht="21" customHeight="1">
      <c r="A742" s="8">
        <v>46269</v>
      </c>
      <c r="B742" s="1" t="s">
        <v>34</v>
      </c>
      <c r="C742" s="1" t="s">
        <v>87</v>
      </c>
      <c r="D742" s="7">
        <v>7400</v>
      </c>
      <c r="E742" s="7">
        <v>7600</v>
      </c>
      <c r="F742" s="7">
        <v>7800</v>
      </c>
      <c r="G742" s="7">
        <f>'Option source'!B307</f>
        <v>315.27</v>
      </c>
      <c r="H742" s="7">
        <f>'Option source'!B326</f>
        <v>246.84</v>
      </c>
      <c r="I742" s="7">
        <f>'Option source'!B345</f>
        <v>186.47</v>
      </c>
      <c r="J742" s="7">
        <f t="shared" si="77"/>
        <v>8.0599999999999739</v>
      </c>
      <c r="K742" s="7">
        <f t="shared" si="78"/>
        <v>200</v>
      </c>
      <c r="L742" s="7">
        <f t="shared" si="79"/>
        <v>191.94000000000003</v>
      </c>
      <c r="M742" s="7">
        <f t="shared" si="80"/>
        <v>8.0599999999999739</v>
      </c>
      <c r="N742" s="7">
        <f t="shared" si="81"/>
        <v>7408.06</v>
      </c>
      <c r="O742" s="7">
        <f t="shared" si="82"/>
        <v>7791.94</v>
      </c>
      <c r="P742" s="15">
        <f t="shared" si="83"/>
        <v>23.813895781637797</v>
      </c>
      <c r="Q742" s="7">
        <f>J742*'Model inputs'!$B$8</f>
        <v>805.99999999999739</v>
      </c>
      <c r="R742" s="1" t="s">
        <v>162</v>
      </c>
      <c r="S742" s="1">
        <v>302</v>
      </c>
      <c r="T742" s="1">
        <v>321</v>
      </c>
    </row>
    <row r="743" spans="1:20" ht="21" customHeight="1">
      <c r="A743" s="8">
        <v>46269</v>
      </c>
      <c r="B743" s="1" t="s">
        <v>34</v>
      </c>
      <c r="C743" s="1" t="s">
        <v>90</v>
      </c>
      <c r="D743" s="7">
        <v>6200</v>
      </c>
      <c r="E743" s="7">
        <v>6400</v>
      </c>
      <c r="F743" s="7">
        <v>6600</v>
      </c>
      <c r="G743" s="7">
        <f>'Option source'!B687</f>
        <v>76.05</v>
      </c>
      <c r="H743" s="7">
        <f>'Option source'!B706</f>
        <v>116.45</v>
      </c>
      <c r="I743" s="7">
        <f>'Option source'!B725</f>
        <v>169.4</v>
      </c>
      <c r="J743" s="7">
        <f t="shared" si="77"/>
        <v>12.549999999999983</v>
      </c>
      <c r="K743" s="7">
        <f t="shared" si="78"/>
        <v>200</v>
      </c>
      <c r="L743" s="7">
        <f t="shared" si="79"/>
        <v>187.45000000000002</v>
      </c>
      <c r="M743" s="7">
        <f t="shared" si="80"/>
        <v>12.549999999999983</v>
      </c>
      <c r="N743" s="7">
        <f t="shared" si="81"/>
        <v>6212.55</v>
      </c>
      <c r="O743" s="7">
        <f t="shared" si="82"/>
        <v>6587.45</v>
      </c>
      <c r="P743" s="15">
        <f t="shared" si="83"/>
        <v>14.936254980079703</v>
      </c>
      <c r="Q743" s="7">
        <f>J743*'Model inputs'!$B$8</f>
        <v>1254.9999999999982</v>
      </c>
      <c r="R743" s="1" t="s">
        <v>162</v>
      </c>
      <c r="S743" s="1">
        <v>682</v>
      </c>
      <c r="T743" s="1">
        <v>701</v>
      </c>
    </row>
    <row r="744" spans="1:20" ht="21" customHeight="1">
      <c r="A744" s="8">
        <v>46269</v>
      </c>
      <c r="B744" s="1" t="s">
        <v>34</v>
      </c>
      <c r="C744" s="1" t="s">
        <v>87</v>
      </c>
      <c r="D744" s="7">
        <v>7600</v>
      </c>
      <c r="E744" s="7">
        <v>7800</v>
      </c>
      <c r="F744" s="7">
        <v>8000</v>
      </c>
      <c r="G744" s="7">
        <f>'Option source'!B326</f>
        <v>246.84</v>
      </c>
      <c r="H744" s="7">
        <f>'Option source'!B345</f>
        <v>186.47</v>
      </c>
      <c r="I744" s="7">
        <f>'Option source'!B364</f>
        <v>143.25</v>
      </c>
      <c r="J744" s="7">
        <f t="shared" si="77"/>
        <v>17.150000000000006</v>
      </c>
      <c r="K744" s="7">
        <f t="shared" si="78"/>
        <v>200</v>
      </c>
      <c r="L744" s="7">
        <f t="shared" si="79"/>
        <v>182.85</v>
      </c>
      <c r="M744" s="7">
        <f t="shared" si="80"/>
        <v>17.150000000000006</v>
      </c>
      <c r="N744" s="7">
        <f t="shared" si="81"/>
        <v>7617.15</v>
      </c>
      <c r="O744" s="7">
        <f t="shared" si="82"/>
        <v>7982.85</v>
      </c>
      <c r="P744" s="15">
        <f t="shared" si="83"/>
        <v>10.661807580174923</v>
      </c>
      <c r="Q744" s="7">
        <f>J744*'Model inputs'!$B$8</f>
        <v>1715.0000000000005</v>
      </c>
      <c r="R744" s="1" t="s">
        <v>162</v>
      </c>
      <c r="S744" s="1">
        <v>321</v>
      </c>
      <c r="T744" s="1">
        <v>340</v>
      </c>
    </row>
    <row r="745" spans="1:20" ht="21" customHeight="1">
      <c r="A745" s="8">
        <v>46269</v>
      </c>
      <c r="B745" s="1" t="s">
        <v>34</v>
      </c>
      <c r="C745" s="1" t="s">
        <v>90</v>
      </c>
      <c r="D745" s="7">
        <v>6000</v>
      </c>
      <c r="E745" s="7">
        <v>6200</v>
      </c>
      <c r="F745" s="7">
        <v>6400</v>
      </c>
      <c r="G745" s="7">
        <f>'Option source'!B668</f>
        <v>46.91</v>
      </c>
      <c r="H745" s="7">
        <f>'Option source'!B687</f>
        <v>76.05</v>
      </c>
      <c r="I745" s="7">
        <f>'Option source'!B706</f>
        <v>116.45</v>
      </c>
      <c r="J745" s="7">
        <f t="shared" si="77"/>
        <v>11.260000000000005</v>
      </c>
      <c r="K745" s="7">
        <f t="shared" si="78"/>
        <v>200</v>
      </c>
      <c r="L745" s="7">
        <f t="shared" si="79"/>
        <v>188.74</v>
      </c>
      <c r="M745" s="7">
        <f t="shared" si="80"/>
        <v>11.260000000000005</v>
      </c>
      <c r="N745" s="7">
        <f t="shared" si="81"/>
        <v>6011.26</v>
      </c>
      <c r="O745" s="7">
        <f t="shared" si="82"/>
        <v>6388.74</v>
      </c>
      <c r="P745" s="15">
        <f t="shared" si="83"/>
        <v>16.761989342806388</v>
      </c>
      <c r="Q745" s="7">
        <f>J745*'Model inputs'!$B$8</f>
        <v>1126.0000000000005</v>
      </c>
      <c r="R745" s="1" t="s">
        <v>162</v>
      </c>
      <c r="S745" s="1">
        <v>663</v>
      </c>
      <c r="T745" s="1">
        <v>682</v>
      </c>
    </row>
    <row r="746" spans="1:20" ht="21" customHeight="1">
      <c r="A746" s="8">
        <v>46269</v>
      </c>
      <c r="B746" s="1" t="s">
        <v>34</v>
      </c>
      <c r="C746" s="1" t="s">
        <v>90</v>
      </c>
      <c r="D746" s="7">
        <v>5800</v>
      </c>
      <c r="E746" s="7">
        <v>6000</v>
      </c>
      <c r="F746" s="7">
        <v>6200</v>
      </c>
      <c r="G746" s="7">
        <f>'Option source'!B649</f>
        <v>27.57</v>
      </c>
      <c r="H746" s="7">
        <f>'Option source'!B668</f>
        <v>46.91</v>
      </c>
      <c r="I746" s="7">
        <f>'Option source'!B687</f>
        <v>76.05</v>
      </c>
      <c r="J746" s="7">
        <f t="shared" si="77"/>
        <v>9.7999999999999972</v>
      </c>
      <c r="K746" s="7">
        <f t="shared" si="78"/>
        <v>200</v>
      </c>
      <c r="L746" s="7">
        <f t="shared" si="79"/>
        <v>190.2</v>
      </c>
      <c r="M746" s="7">
        <f t="shared" si="80"/>
        <v>9.7999999999999972</v>
      </c>
      <c r="N746" s="7">
        <f t="shared" si="81"/>
        <v>5809.8</v>
      </c>
      <c r="O746" s="7">
        <f t="shared" si="82"/>
        <v>6190.2</v>
      </c>
      <c r="P746" s="15">
        <f t="shared" si="83"/>
        <v>19.408163265306126</v>
      </c>
      <c r="Q746" s="7">
        <f>J746*'Model inputs'!$B$8</f>
        <v>979.99999999999977</v>
      </c>
      <c r="R746" s="1" t="s">
        <v>162</v>
      </c>
      <c r="S746" s="1">
        <v>644</v>
      </c>
      <c r="T746" s="1">
        <v>663</v>
      </c>
    </row>
    <row r="747" spans="1:20" ht="21" customHeight="1">
      <c r="A747" s="8">
        <v>46269</v>
      </c>
      <c r="B747" s="1" t="s">
        <v>34</v>
      </c>
      <c r="C747" s="1" t="s">
        <v>90</v>
      </c>
      <c r="D747" s="7">
        <v>5600</v>
      </c>
      <c r="E747" s="7">
        <v>5800</v>
      </c>
      <c r="F747" s="7">
        <v>6000</v>
      </c>
      <c r="G747" s="7">
        <f>'Option source'!B630</f>
        <v>16.25</v>
      </c>
      <c r="H747" s="7">
        <f>'Option source'!B649</f>
        <v>27.57</v>
      </c>
      <c r="I747" s="7">
        <f>'Option source'!B668</f>
        <v>46.91</v>
      </c>
      <c r="J747" s="7">
        <f t="shared" si="77"/>
        <v>8.019999999999996</v>
      </c>
      <c r="K747" s="7">
        <f t="shared" si="78"/>
        <v>200</v>
      </c>
      <c r="L747" s="7">
        <f t="shared" si="79"/>
        <v>191.98000000000002</v>
      </c>
      <c r="M747" s="7">
        <f t="shared" si="80"/>
        <v>8.019999999999996</v>
      </c>
      <c r="N747" s="7">
        <f t="shared" si="81"/>
        <v>5608.02</v>
      </c>
      <c r="O747" s="7">
        <f t="shared" si="82"/>
        <v>5991.98</v>
      </c>
      <c r="P747" s="15">
        <f t="shared" si="83"/>
        <v>23.937655860349143</v>
      </c>
      <c r="Q747" s="7">
        <f>J747*'Model inputs'!$B$8</f>
        <v>801.99999999999955</v>
      </c>
      <c r="R747" s="1" t="s">
        <v>162</v>
      </c>
      <c r="S747" s="1">
        <v>625</v>
      </c>
      <c r="T747" s="1">
        <v>644</v>
      </c>
    </row>
    <row r="748" spans="1:20" ht="21" customHeight="1">
      <c r="A748" s="8">
        <v>46269</v>
      </c>
      <c r="B748" s="1" t="s">
        <v>34</v>
      </c>
      <c r="C748" s="1" t="s">
        <v>87</v>
      </c>
      <c r="D748" s="7">
        <v>8000</v>
      </c>
      <c r="E748" s="7">
        <v>8300</v>
      </c>
      <c r="F748" s="7">
        <v>8600</v>
      </c>
      <c r="G748" s="7">
        <f>'Option source'!B364</f>
        <v>143.25</v>
      </c>
      <c r="H748" s="7">
        <f>'Option source'!B383</f>
        <v>91.92</v>
      </c>
      <c r="I748" s="7">
        <f>'Option source'!B402</f>
        <v>56.19</v>
      </c>
      <c r="J748" s="7">
        <f t="shared" si="77"/>
        <v>15.599999999999994</v>
      </c>
      <c r="K748" s="7">
        <f t="shared" si="78"/>
        <v>300</v>
      </c>
      <c r="L748" s="7">
        <f t="shared" si="79"/>
        <v>284.39999999999998</v>
      </c>
      <c r="M748" s="7">
        <f t="shared" si="80"/>
        <v>15.599999999999994</v>
      </c>
      <c r="N748" s="7">
        <f t="shared" si="81"/>
        <v>8015.6</v>
      </c>
      <c r="O748" s="7">
        <f t="shared" si="82"/>
        <v>8584.4</v>
      </c>
      <c r="P748" s="15">
        <f t="shared" si="83"/>
        <v>18.230769230769237</v>
      </c>
      <c r="Q748" s="7">
        <f>J748*'Model inputs'!$B$8</f>
        <v>1559.9999999999995</v>
      </c>
      <c r="R748" s="1" t="s">
        <v>162</v>
      </c>
      <c r="S748" s="1">
        <v>359</v>
      </c>
      <c r="T748" s="1">
        <v>378</v>
      </c>
    </row>
    <row r="749" spans="1:20" ht="21" customHeight="1">
      <c r="A749" s="8">
        <v>46269</v>
      </c>
      <c r="B749" s="1" t="s">
        <v>34</v>
      </c>
      <c r="C749" s="1" t="s">
        <v>90</v>
      </c>
      <c r="D749" s="7">
        <v>5400</v>
      </c>
      <c r="E749" s="7">
        <v>5600</v>
      </c>
      <c r="F749" s="7">
        <v>5800</v>
      </c>
      <c r="G749" s="7">
        <f>'Option source'!B611</f>
        <v>8.9600000000000009</v>
      </c>
      <c r="H749" s="7">
        <f>'Option source'!B630</f>
        <v>16.25</v>
      </c>
      <c r="I749" s="7">
        <f>'Option source'!B649</f>
        <v>27.57</v>
      </c>
      <c r="J749" s="7">
        <f t="shared" si="77"/>
        <v>4.0300000000000011</v>
      </c>
      <c r="K749" s="7">
        <f t="shared" si="78"/>
        <v>200</v>
      </c>
      <c r="L749" s="7">
        <f t="shared" si="79"/>
        <v>195.97</v>
      </c>
      <c r="M749" s="7">
        <f t="shared" si="80"/>
        <v>4.0300000000000011</v>
      </c>
      <c r="N749" s="7">
        <f t="shared" si="81"/>
        <v>5404.03</v>
      </c>
      <c r="O749" s="7">
        <f t="shared" si="82"/>
        <v>5795.97</v>
      </c>
      <c r="P749" s="15">
        <f t="shared" si="83"/>
        <v>48.627791563275423</v>
      </c>
      <c r="Q749" s="7">
        <f>J749*'Model inputs'!$B$8</f>
        <v>403.00000000000011</v>
      </c>
      <c r="R749" s="1" t="s">
        <v>162</v>
      </c>
      <c r="S749" s="1">
        <v>606</v>
      </c>
      <c r="T749" s="1">
        <v>625</v>
      </c>
    </row>
    <row r="750" spans="1:20" ht="21" customHeight="1">
      <c r="A750" s="8">
        <v>46269</v>
      </c>
      <c r="B750" s="1" t="s">
        <v>34</v>
      </c>
      <c r="C750" s="1" t="s">
        <v>87</v>
      </c>
      <c r="D750" s="7">
        <v>8300</v>
      </c>
      <c r="E750" s="7">
        <v>8600</v>
      </c>
      <c r="F750" s="7">
        <v>8900</v>
      </c>
      <c r="G750" s="7">
        <f>'Option source'!B383</f>
        <v>91.92</v>
      </c>
      <c r="H750" s="7">
        <f>'Option source'!B402</f>
        <v>56.19</v>
      </c>
      <c r="I750" s="7">
        <f>'Option source'!B421</f>
        <v>34.74</v>
      </c>
      <c r="J750" s="7">
        <f t="shared" si="77"/>
        <v>14.280000000000008</v>
      </c>
      <c r="K750" s="7">
        <f t="shared" si="78"/>
        <v>300</v>
      </c>
      <c r="L750" s="7">
        <f t="shared" si="79"/>
        <v>285.71999999999997</v>
      </c>
      <c r="M750" s="7">
        <f t="shared" si="80"/>
        <v>14.280000000000008</v>
      </c>
      <c r="N750" s="7">
        <f t="shared" si="81"/>
        <v>8314.2800000000007</v>
      </c>
      <c r="O750" s="7">
        <f t="shared" si="82"/>
        <v>8885.7199999999993</v>
      </c>
      <c r="P750" s="15">
        <f t="shared" si="83"/>
        <v>20.008403361344524</v>
      </c>
      <c r="Q750" s="7">
        <f>J750*'Model inputs'!$B$8</f>
        <v>1428.0000000000009</v>
      </c>
      <c r="R750" s="1" t="s">
        <v>162</v>
      </c>
      <c r="S750" s="1">
        <v>378</v>
      </c>
      <c r="T750" s="1">
        <v>397</v>
      </c>
    </row>
    <row r="751" spans="1:20" ht="21" customHeight="1">
      <c r="A751" s="8">
        <v>46269</v>
      </c>
      <c r="B751" s="1" t="s">
        <v>34</v>
      </c>
      <c r="C751" s="1" t="s">
        <v>90</v>
      </c>
      <c r="D751" s="7">
        <v>5200</v>
      </c>
      <c r="E751" s="7">
        <v>5400</v>
      </c>
      <c r="F751" s="7">
        <v>5600</v>
      </c>
      <c r="G751" s="7">
        <f>'Option source'!B592</f>
        <v>4.92</v>
      </c>
      <c r="H751" s="7">
        <f>'Option source'!B611</f>
        <v>8.9600000000000009</v>
      </c>
      <c r="I751" s="7">
        <f>'Option source'!B630</f>
        <v>16.25</v>
      </c>
      <c r="J751" s="7">
        <f t="shared" si="77"/>
        <v>3.2499999999999982</v>
      </c>
      <c r="K751" s="7">
        <f t="shared" si="78"/>
        <v>200</v>
      </c>
      <c r="L751" s="7">
        <f t="shared" si="79"/>
        <v>196.75</v>
      </c>
      <c r="M751" s="7">
        <f t="shared" si="80"/>
        <v>3.2499999999999982</v>
      </c>
      <c r="N751" s="7">
        <f t="shared" si="81"/>
        <v>5203.25</v>
      </c>
      <c r="O751" s="7">
        <f t="shared" si="82"/>
        <v>5596.75</v>
      </c>
      <c r="P751" s="15">
        <f t="shared" si="83"/>
        <v>60.538461538461569</v>
      </c>
      <c r="Q751" s="7">
        <f>J751*'Model inputs'!$B$8</f>
        <v>324.99999999999983</v>
      </c>
      <c r="R751" s="1" t="s">
        <v>162</v>
      </c>
      <c r="S751" s="1">
        <v>587</v>
      </c>
      <c r="T751" s="1">
        <v>606</v>
      </c>
    </row>
    <row r="752" spans="1:20" ht="21" customHeight="1">
      <c r="A752" s="8">
        <v>46269</v>
      </c>
      <c r="B752" s="1" t="s">
        <v>34</v>
      </c>
      <c r="C752" s="1" t="s">
        <v>90</v>
      </c>
      <c r="D752" s="7">
        <v>5000</v>
      </c>
      <c r="E752" s="7">
        <v>5200</v>
      </c>
      <c r="F752" s="7">
        <v>5400</v>
      </c>
      <c r="G752" s="7">
        <f>'Option source'!B573</f>
        <v>3.15</v>
      </c>
      <c r="H752" s="7">
        <f>'Option source'!B592</f>
        <v>4.92</v>
      </c>
      <c r="I752" s="7">
        <f>'Option source'!B611</f>
        <v>8.9600000000000009</v>
      </c>
      <c r="J752" s="7">
        <f t="shared" si="77"/>
        <v>2.2700000000000014</v>
      </c>
      <c r="K752" s="7">
        <f t="shared" si="78"/>
        <v>200</v>
      </c>
      <c r="L752" s="7">
        <f t="shared" si="79"/>
        <v>197.73</v>
      </c>
      <c r="M752" s="7">
        <f t="shared" si="80"/>
        <v>2.2700000000000014</v>
      </c>
      <c r="N752" s="7">
        <f t="shared" si="81"/>
        <v>5002.2700000000004</v>
      </c>
      <c r="O752" s="7">
        <f t="shared" si="82"/>
        <v>5397.73</v>
      </c>
      <c r="P752" s="15">
        <f t="shared" si="83"/>
        <v>87.105726872246635</v>
      </c>
      <c r="Q752" s="7">
        <f>J752*'Model inputs'!$B$8</f>
        <v>227.00000000000014</v>
      </c>
      <c r="R752" s="1" t="s">
        <v>162</v>
      </c>
      <c r="S752" s="1">
        <v>568</v>
      </c>
      <c r="T752" s="1">
        <v>587</v>
      </c>
    </row>
    <row r="753" spans="1:20" ht="21" customHeight="1">
      <c r="A753" s="8">
        <v>46269</v>
      </c>
      <c r="B753" s="1" t="s">
        <v>34</v>
      </c>
      <c r="C753" s="1" t="s">
        <v>87</v>
      </c>
      <c r="D753" s="7">
        <v>8600</v>
      </c>
      <c r="E753" s="7">
        <v>8900</v>
      </c>
      <c r="F753" s="7">
        <v>9200</v>
      </c>
      <c r="G753" s="7">
        <f>'Option source'!B402</f>
        <v>56.19</v>
      </c>
      <c r="H753" s="7">
        <f>'Option source'!B421</f>
        <v>34.74</v>
      </c>
      <c r="I753" s="7">
        <f>'Option source'!B440</f>
        <v>21.04</v>
      </c>
      <c r="J753" s="7">
        <f t="shared" si="77"/>
        <v>7.7499999999999929</v>
      </c>
      <c r="K753" s="7">
        <f t="shared" si="78"/>
        <v>300</v>
      </c>
      <c r="L753" s="7">
        <f t="shared" si="79"/>
        <v>292.25</v>
      </c>
      <c r="M753" s="7">
        <f t="shared" si="80"/>
        <v>7.7499999999999929</v>
      </c>
      <c r="N753" s="7">
        <f t="shared" si="81"/>
        <v>8607.75</v>
      </c>
      <c r="O753" s="7">
        <f t="shared" si="82"/>
        <v>9192.25</v>
      </c>
      <c r="P753" s="15">
        <f t="shared" si="83"/>
        <v>37.709677419354875</v>
      </c>
      <c r="Q753" s="7">
        <f>J753*'Model inputs'!$B$8</f>
        <v>774.99999999999932</v>
      </c>
      <c r="R753" s="1" t="s">
        <v>162</v>
      </c>
      <c r="S753" s="1">
        <v>397</v>
      </c>
      <c r="T753" s="1">
        <v>416</v>
      </c>
    </row>
    <row r="754" spans="1:20" ht="21" customHeight="1">
      <c r="A754" s="8">
        <v>46269</v>
      </c>
      <c r="B754" s="1" t="s">
        <v>34</v>
      </c>
      <c r="C754" s="1" t="s">
        <v>90</v>
      </c>
      <c r="D754" s="7">
        <v>4800</v>
      </c>
      <c r="E754" s="7">
        <v>5000</v>
      </c>
      <c r="F754" s="7">
        <v>5200</v>
      </c>
      <c r="G754" s="7">
        <f>'Option source'!B554</f>
        <v>1.8</v>
      </c>
      <c r="H754" s="7">
        <f>'Option source'!B573</f>
        <v>3.15</v>
      </c>
      <c r="I754" s="7">
        <f>'Option source'!B592</f>
        <v>4.92</v>
      </c>
      <c r="J754" s="7">
        <f t="shared" si="77"/>
        <v>0.41999999999999993</v>
      </c>
      <c r="K754" s="7">
        <f t="shared" si="78"/>
        <v>200</v>
      </c>
      <c r="L754" s="7">
        <f t="shared" si="79"/>
        <v>199.58</v>
      </c>
      <c r="M754" s="7">
        <f t="shared" si="80"/>
        <v>0.41999999999999993</v>
      </c>
      <c r="N754" s="7">
        <f t="shared" si="81"/>
        <v>4800.42</v>
      </c>
      <c r="O754" s="7">
        <f t="shared" si="82"/>
        <v>5199.58</v>
      </c>
      <c r="P754" s="15">
        <f t="shared" si="83"/>
        <v>475.19047619047632</v>
      </c>
      <c r="Q754" s="7">
        <f>J754*'Model inputs'!$B$8</f>
        <v>41.999999999999993</v>
      </c>
      <c r="R754" s="1" t="s">
        <v>162</v>
      </c>
      <c r="S754" s="1">
        <v>549</v>
      </c>
      <c r="T754" s="1">
        <v>568</v>
      </c>
    </row>
    <row r="755" spans="1:20" ht="21" customHeight="1">
      <c r="A755" s="8">
        <v>46269</v>
      </c>
      <c r="B755" s="1" t="s">
        <v>34</v>
      </c>
      <c r="C755" s="1" t="s">
        <v>87</v>
      </c>
      <c r="D755" s="7">
        <v>8900</v>
      </c>
      <c r="E755" s="7">
        <v>9200</v>
      </c>
      <c r="F755" s="7">
        <v>9500</v>
      </c>
      <c r="G755" s="7">
        <f>'Option source'!B421</f>
        <v>34.74</v>
      </c>
      <c r="H755" s="7">
        <f>'Option source'!B440</f>
        <v>21.04</v>
      </c>
      <c r="I755" s="7">
        <f>'Option source'!B459</f>
        <v>14.06</v>
      </c>
      <c r="J755" s="7">
        <f t="shared" si="77"/>
        <v>6.7200000000000042</v>
      </c>
      <c r="K755" s="7">
        <f t="shared" si="78"/>
        <v>300</v>
      </c>
      <c r="L755" s="7">
        <f t="shared" si="79"/>
        <v>293.27999999999997</v>
      </c>
      <c r="M755" s="7">
        <f t="shared" si="80"/>
        <v>6.7200000000000042</v>
      </c>
      <c r="N755" s="7">
        <f t="shared" si="81"/>
        <v>8906.7199999999993</v>
      </c>
      <c r="O755" s="7">
        <f t="shared" si="82"/>
        <v>9493.2800000000007</v>
      </c>
      <c r="P755" s="15">
        <f t="shared" si="83"/>
        <v>43.64285714285711</v>
      </c>
      <c r="Q755" s="7">
        <f>J755*'Model inputs'!$B$8</f>
        <v>672.00000000000045</v>
      </c>
      <c r="R755" s="1" t="s">
        <v>162</v>
      </c>
      <c r="S755" s="1">
        <v>416</v>
      </c>
      <c r="T755" s="1">
        <v>435</v>
      </c>
    </row>
    <row r="756" spans="1:20" ht="21" customHeight="1">
      <c r="A756" s="8">
        <v>46269</v>
      </c>
      <c r="B756" s="1" t="s">
        <v>34</v>
      </c>
      <c r="C756" s="1" t="s">
        <v>90</v>
      </c>
      <c r="D756" s="7">
        <v>4600</v>
      </c>
      <c r="E756" s="7">
        <v>4800</v>
      </c>
      <c r="F756" s="7">
        <v>5000</v>
      </c>
      <c r="G756" s="7">
        <f>'Option source'!B535</f>
        <v>1.4</v>
      </c>
      <c r="H756" s="7">
        <f>'Option source'!B554</f>
        <v>1.8</v>
      </c>
      <c r="I756" s="7">
        <f>'Option source'!B573</f>
        <v>3.15</v>
      </c>
      <c r="J756" s="7">
        <f t="shared" si="77"/>
        <v>0.94999999999999973</v>
      </c>
      <c r="K756" s="7">
        <f t="shared" si="78"/>
        <v>200</v>
      </c>
      <c r="L756" s="7">
        <f t="shared" si="79"/>
        <v>199.05</v>
      </c>
      <c r="M756" s="7">
        <f t="shared" si="80"/>
        <v>0.94999999999999973</v>
      </c>
      <c r="N756" s="7">
        <f t="shared" si="81"/>
        <v>4600.95</v>
      </c>
      <c r="O756" s="7">
        <f t="shared" si="82"/>
        <v>4999.05</v>
      </c>
      <c r="P756" s="15">
        <f t="shared" si="83"/>
        <v>209.52631578947376</v>
      </c>
      <c r="Q756" s="7">
        <f>J756*'Model inputs'!$B$8</f>
        <v>94.999999999999972</v>
      </c>
      <c r="R756" s="1" t="s">
        <v>162</v>
      </c>
      <c r="S756" s="1">
        <v>530</v>
      </c>
      <c r="T756" s="1">
        <v>549</v>
      </c>
    </row>
    <row r="757" spans="1:20" ht="21" customHeight="1">
      <c r="A757" s="8">
        <v>46269</v>
      </c>
      <c r="B757" s="1" t="s">
        <v>34</v>
      </c>
      <c r="C757" s="1" t="s">
        <v>90</v>
      </c>
      <c r="D757" s="7">
        <v>4400</v>
      </c>
      <c r="E757" s="7">
        <v>4600</v>
      </c>
      <c r="F757" s="7">
        <v>4800</v>
      </c>
      <c r="G757" s="7">
        <f>'Option source'!B516</f>
        <v>1.17</v>
      </c>
      <c r="H757" s="7">
        <f>'Option source'!B535</f>
        <v>1.4</v>
      </c>
      <c r="I757" s="7">
        <f>'Option source'!B554</f>
        <v>1.8</v>
      </c>
      <c r="J757" s="7">
        <f t="shared" si="77"/>
        <v>0.17000000000000015</v>
      </c>
      <c r="K757" s="7">
        <f t="shared" si="78"/>
        <v>200</v>
      </c>
      <c r="L757" s="7">
        <f t="shared" si="79"/>
        <v>199.83</v>
      </c>
      <c r="M757" s="7">
        <f t="shared" si="80"/>
        <v>0.17000000000000015</v>
      </c>
      <c r="N757" s="7">
        <f t="shared" si="81"/>
        <v>4400.17</v>
      </c>
      <c r="O757" s="7">
        <f t="shared" si="82"/>
        <v>4799.83</v>
      </c>
      <c r="P757" s="15">
        <f t="shared" si="83"/>
        <v>1175.4705882352932</v>
      </c>
      <c r="Q757" s="7">
        <f>J757*'Model inputs'!$B$8</f>
        <v>17.000000000000014</v>
      </c>
      <c r="R757" s="1" t="s">
        <v>162</v>
      </c>
      <c r="S757" s="1">
        <v>511</v>
      </c>
      <c r="T757" s="1">
        <v>530</v>
      </c>
    </row>
    <row r="758" spans="1:20" ht="21" customHeight="1">
      <c r="A758" s="8">
        <v>46269</v>
      </c>
      <c r="B758" s="1" t="s">
        <v>34</v>
      </c>
      <c r="C758" s="1" t="s">
        <v>90</v>
      </c>
      <c r="D758" s="7">
        <v>4200</v>
      </c>
      <c r="E758" s="7">
        <v>4400</v>
      </c>
      <c r="F758" s="7">
        <v>4600</v>
      </c>
      <c r="G758" s="7">
        <f>'Option source'!B497</f>
        <v>1.0900000000000001</v>
      </c>
      <c r="H758" s="7">
        <f>'Option source'!B516</f>
        <v>1.17</v>
      </c>
      <c r="I758" s="7">
        <f>'Option source'!B535</f>
        <v>1.4</v>
      </c>
      <c r="J758" s="7">
        <f t="shared" si="77"/>
        <v>0.15000000000000013</v>
      </c>
      <c r="K758" s="7">
        <f t="shared" si="78"/>
        <v>200</v>
      </c>
      <c r="L758" s="7">
        <f t="shared" si="79"/>
        <v>199.85</v>
      </c>
      <c r="M758" s="7">
        <f t="shared" si="80"/>
        <v>0.15000000000000013</v>
      </c>
      <c r="N758" s="7">
        <f t="shared" si="81"/>
        <v>4200.1499999999996</v>
      </c>
      <c r="O758" s="7">
        <f t="shared" si="82"/>
        <v>4599.8500000000004</v>
      </c>
      <c r="P758" s="15">
        <f t="shared" si="83"/>
        <v>1332.3333333333321</v>
      </c>
      <c r="Q758" s="7">
        <f>J758*'Model inputs'!$B$8</f>
        <v>15.000000000000014</v>
      </c>
      <c r="R758" s="1" t="s">
        <v>162</v>
      </c>
      <c r="S758" s="1">
        <v>492</v>
      </c>
      <c r="T758" s="1">
        <v>511</v>
      </c>
    </row>
    <row r="759" spans="1:20" ht="21" customHeight="1">
      <c r="A759" s="8">
        <v>46269</v>
      </c>
      <c r="B759" s="1" t="s">
        <v>34</v>
      </c>
      <c r="C759" s="1" t="s">
        <v>87</v>
      </c>
      <c r="D759" s="7">
        <v>6400</v>
      </c>
      <c r="E759" s="7">
        <v>6600</v>
      </c>
      <c r="F759" s="7">
        <v>6800</v>
      </c>
      <c r="G759" s="7">
        <f>'Option source'!B212</f>
        <v>850</v>
      </c>
      <c r="H759" s="7">
        <f>'Option source'!B231</f>
        <v>738.92</v>
      </c>
      <c r="I759" s="7">
        <f>'Option source'!B250</f>
        <v>616.63</v>
      </c>
      <c r="J759" s="7">
        <f t="shared" si="77"/>
        <v>-11.209999999999923</v>
      </c>
      <c r="K759" s="7">
        <f t="shared" si="78"/>
        <v>200</v>
      </c>
      <c r="L759" s="7">
        <f t="shared" si="79"/>
        <v>211.20999999999992</v>
      </c>
      <c r="M759" s="7">
        <f t="shared" si="80"/>
        <v>0</v>
      </c>
      <c r="N759" s="7" t="str">
        <f t="shared" si="81"/>
        <v>n.a.</v>
      </c>
      <c r="O759" s="7" t="str">
        <f t="shared" si="82"/>
        <v>n.a.</v>
      </c>
      <c r="P759" s="15" t="str">
        <f t="shared" si="83"/>
        <v>n.a.</v>
      </c>
      <c r="Q759" s="7">
        <f>J759*'Model inputs'!$B$8</f>
        <v>-1120.9999999999923</v>
      </c>
      <c r="R759" s="1" t="s">
        <v>163</v>
      </c>
      <c r="S759" s="1">
        <v>207</v>
      </c>
      <c r="T759" s="1">
        <v>226</v>
      </c>
    </row>
    <row r="760" spans="1:20" ht="21" customHeight="1">
      <c r="A760" s="8">
        <v>46269</v>
      </c>
      <c r="B760" s="1" t="s">
        <v>34</v>
      </c>
      <c r="C760" s="1" t="s">
        <v>90</v>
      </c>
      <c r="D760" s="7">
        <v>7400</v>
      </c>
      <c r="E760" s="7">
        <v>7600</v>
      </c>
      <c r="F760" s="7">
        <v>7800</v>
      </c>
      <c r="G760" s="7">
        <f>'Option source'!B801</f>
        <v>534.29999999999995</v>
      </c>
      <c r="H760" s="7">
        <f>'Option source'!B820</f>
        <v>660</v>
      </c>
      <c r="I760" s="7">
        <f>'Option source'!B839</f>
        <v>780</v>
      </c>
      <c r="J760" s="7">
        <f t="shared" si="77"/>
        <v>-5.7000000000000455</v>
      </c>
      <c r="K760" s="7">
        <f t="shared" si="78"/>
        <v>200</v>
      </c>
      <c r="L760" s="7">
        <f t="shared" si="79"/>
        <v>205.70000000000005</v>
      </c>
      <c r="M760" s="7">
        <f t="shared" si="80"/>
        <v>0</v>
      </c>
      <c r="N760" s="7" t="str">
        <f t="shared" si="81"/>
        <v>n.a.</v>
      </c>
      <c r="O760" s="7" t="str">
        <f t="shared" si="82"/>
        <v>n.a.</v>
      </c>
      <c r="P760" s="15" t="str">
        <f t="shared" si="83"/>
        <v>n.a.</v>
      </c>
      <c r="Q760" s="7">
        <f>J760*'Model inputs'!$B$8</f>
        <v>-570.00000000000455</v>
      </c>
      <c r="R760" s="1" t="s">
        <v>163</v>
      </c>
      <c r="S760" s="1">
        <v>796</v>
      </c>
      <c r="T760" s="1">
        <v>815</v>
      </c>
    </row>
    <row r="761" spans="1:20" ht="21" customHeight="1">
      <c r="A761" s="8">
        <v>46269</v>
      </c>
      <c r="B761" s="1" t="s">
        <v>34</v>
      </c>
      <c r="C761" s="1" t="s">
        <v>87</v>
      </c>
      <c r="D761" s="7">
        <v>6200</v>
      </c>
      <c r="E761" s="7">
        <v>6400</v>
      </c>
      <c r="F761" s="7">
        <v>6600</v>
      </c>
      <c r="G761" s="7">
        <f>'Option source'!B193</f>
        <v>1015</v>
      </c>
      <c r="H761" s="7">
        <f>'Option source'!B212</f>
        <v>850</v>
      </c>
      <c r="I761" s="7">
        <f>'Option source'!B231</f>
        <v>738.92</v>
      </c>
      <c r="J761" s="7">
        <f t="shared" si="77"/>
        <v>53.919999999999959</v>
      </c>
      <c r="K761" s="7">
        <f t="shared" si="78"/>
        <v>200</v>
      </c>
      <c r="L761" s="7">
        <f t="shared" si="79"/>
        <v>146.08000000000004</v>
      </c>
      <c r="M761" s="7">
        <f t="shared" si="80"/>
        <v>53.919999999999959</v>
      </c>
      <c r="N761" s="7">
        <f t="shared" si="81"/>
        <v>6253.92</v>
      </c>
      <c r="O761" s="7">
        <f t="shared" si="82"/>
        <v>6546.08</v>
      </c>
      <c r="P761" s="15">
        <f t="shared" si="83"/>
        <v>2.7091988130563824</v>
      </c>
      <c r="Q761" s="7">
        <f>J761*'Model inputs'!$B$8</f>
        <v>5391.9999999999964</v>
      </c>
      <c r="R761" s="1" t="s">
        <v>164</v>
      </c>
      <c r="S761" s="1">
        <v>188</v>
      </c>
      <c r="T761" s="1">
        <v>207</v>
      </c>
    </row>
    <row r="762" spans="1:20" ht="21" customHeight="1">
      <c r="A762" s="8">
        <v>46269</v>
      </c>
      <c r="B762" s="1" t="s">
        <v>34</v>
      </c>
      <c r="C762" s="1" t="s">
        <v>90</v>
      </c>
      <c r="D762" s="7">
        <v>7600</v>
      </c>
      <c r="E762" s="7">
        <v>7800</v>
      </c>
      <c r="F762" s="7">
        <v>8000</v>
      </c>
      <c r="G762" s="7">
        <f>'Option source'!B820</f>
        <v>660</v>
      </c>
      <c r="H762" s="7">
        <f>'Option source'!B839</f>
        <v>780</v>
      </c>
      <c r="I762" s="7">
        <f>'Option source'!B858</f>
        <v>1000</v>
      </c>
      <c r="J762" s="7">
        <f t="shared" si="77"/>
        <v>100</v>
      </c>
      <c r="K762" s="7">
        <f t="shared" si="78"/>
        <v>200</v>
      </c>
      <c r="L762" s="7">
        <f t="shared" si="79"/>
        <v>100</v>
      </c>
      <c r="M762" s="7">
        <f t="shared" si="80"/>
        <v>100</v>
      </c>
      <c r="N762" s="7">
        <f t="shared" si="81"/>
        <v>7700</v>
      </c>
      <c r="O762" s="7">
        <f t="shared" si="82"/>
        <v>7900</v>
      </c>
      <c r="P762" s="15">
        <f t="shared" si="83"/>
        <v>1</v>
      </c>
      <c r="Q762" s="7">
        <f>J762*'Model inputs'!$B$8</f>
        <v>10000</v>
      </c>
      <c r="R762" s="1" t="s">
        <v>164</v>
      </c>
      <c r="S762" s="1">
        <v>815</v>
      </c>
      <c r="T762" s="1">
        <v>834</v>
      </c>
    </row>
    <row r="763" spans="1:20" ht="21" customHeight="1">
      <c r="A763" s="8">
        <v>46269</v>
      </c>
      <c r="B763" s="1" t="s">
        <v>34</v>
      </c>
      <c r="C763" s="1" t="s">
        <v>87</v>
      </c>
      <c r="D763" s="7">
        <v>6000</v>
      </c>
      <c r="E763" s="7">
        <v>6200</v>
      </c>
      <c r="F763" s="7">
        <v>6400</v>
      </c>
      <c r="G763" s="7">
        <f>'Option source'!B174</f>
        <v>1200.05</v>
      </c>
      <c r="H763" s="7">
        <f>'Option source'!B193</f>
        <v>1015</v>
      </c>
      <c r="I763" s="7">
        <f>'Option source'!B212</f>
        <v>850</v>
      </c>
      <c r="J763" s="7">
        <f t="shared" si="77"/>
        <v>20.049999999999955</v>
      </c>
      <c r="K763" s="7">
        <f t="shared" si="78"/>
        <v>200</v>
      </c>
      <c r="L763" s="7">
        <f t="shared" si="79"/>
        <v>179.95000000000005</v>
      </c>
      <c r="M763" s="7">
        <f t="shared" si="80"/>
        <v>20.049999999999955</v>
      </c>
      <c r="N763" s="7">
        <f t="shared" si="81"/>
        <v>6020.05</v>
      </c>
      <c r="O763" s="7">
        <f t="shared" si="82"/>
        <v>6379.95</v>
      </c>
      <c r="P763" s="15">
        <f t="shared" si="83"/>
        <v>8.9750623441396726</v>
      </c>
      <c r="Q763" s="7">
        <f>J763*'Model inputs'!$B$8</f>
        <v>2004.9999999999955</v>
      </c>
      <c r="R763" s="1" t="s">
        <v>164</v>
      </c>
      <c r="S763" s="1">
        <v>169</v>
      </c>
      <c r="T763" s="1">
        <v>188</v>
      </c>
    </row>
    <row r="764" spans="1:20" ht="21" customHeight="1">
      <c r="A764" s="8">
        <v>46269</v>
      </c>
      <c r="B764" s="1" t="s">
        <v>34</v>
      </c>
      <c r="C764" s="1" t="s">
        <v>87</v>
      </c>
      <c r="D764" s="7">
        <v>5800</v>
      </c>
      <c r="E764" s="7">
        <v>6000</v>
      </c>
      <c r="F764" s="7">
        <v>6200</v>
      </c>
      <c r="G764" s="7">
        <f>'Option source'!B155</f>
        <v>1490</v>
      </c>
      <c r="H764" s="7">
        <f>'Option source'!B174</f>
        <v>1200.05</v>
      </c>
      <c r="I764" s="7">
        <f>'Option source'!B193</f>
        <v>1015</v>
      </c>
      <c r="J764" s="7">
        <f t="shared" si="77"/>
        <v>104.90000000000009</v>
      </c>
      <c r="K764" s="7">
        <f t="shared" si="78"/>
        <v>200</v>
      </c>
      <c r="L764" s="7">
        <f t="shared" si="79"/>
        <v>95.099999999999909</v>
      </c>
      <c r="M764" s="7">
        <f t="shared" si="80"/>
        <v>104.90000000000009</v>
      </c>
      <c r="N764" s="7">
        <f t="shared" si="81"/>
        <v>5904.9</v>
      </c>
      <c r="O764" s="7">
        <f t="shared" si="82"/>
        <v>6095.1</v>
      </c>
      <c r="P764" s="15">
        <f t="shared" si="83"/>
        <v>0.90657769304098978</v>
      </c>
      <c r="Q764" s="7">
        <f>J764*'Model inputs'!$B$8</f>
        <v>10490.000000000009</v>
      </c>
      <c r="R764" s="1" t="s">
        <v>164</v>
      </c>
      <c r="S764" s="1">
        <v>150</v>
      </c>
      <c r="T764" s="1">
        <v>169</v>
      </c>
    </row>
    <row r="765" spans="1:20" ht="21" customHeight="1">
      <c r="A765" s="8">
        <v>46269</v>
      </c>
      <c r="B765" s="1" t="s">
        <v>34</v>
      </c>
      <c r="C765" s="1" t="s">
        <v>87</v>
      </c>
      <c r="D765" s="7">
        <v>5600</v>
      </c>
      <c r="E765" s="7">
        <v>5800</v>
      </c>
      <c r="F765" s="7">
        <v>6000</v>
      </c>
      <c r="G765" s="7">
        <f>'Option source'!B145</f>
        <v>1600</v>
      </c>
      <c r="H765" s="7">
        <f>'Option source'!B155</f>
        <v>1490</v>
      </c>
      <c r="I765" s="7">
        <f>'Option source'!B174</f>
        <v>1200.05</v>
      </c>
      <c r="J765" s="7">
        <f t="shared" si="77"/>
        <v>-179.95000000000005</v>
      </c>
      <c r="K765" s="7">
        <f t="shared" si="78"/>
        <v>200</v>
      </c>
      <c r="L765" s="7">
        <f t="shared" si="79"/>
        <v>379.95000000000005</v>
      </c>
      <c r="M765" s="7">
        <f t="shared" si="80"/>
        <v>0</v>
      </c>
      <c r="N765" s="7" t="str">
        <f t="shared" si="81"/>
        <v>n.a.</v>
      </c>
      <c r="O765" s="7" t="str">
        <f t="shared" si="82"/>
        <v>n.a.</v>
      </c>
      <c r="P765" s="15" t="str">
        <f t="shared" si="83"/>
        <v>n.a.</v>
      </c>
      <c r="Q765" s="7">
        <f>J765*'Model inputs'!$B$8</f>
        <v>-17995.000000000004</v>
      </c>
      <c r="R765" s="1" t="s">
        <v>163</v>
      </c>
      <c r="S765" s="1">
        <v>140</v>
      </c>
      <c r="T765" s="1">
        <v>150</v>
      </c>
    </row>
    <row r="766" spans="1:20" ht="21" customHeight="1">
      <c r="A766" s="8">
        <v>46269</v>
      </c>
      <c r="B766" s="1" t="s">
        <v>34</v>
      </c>
      <c r="C766" s="1" t="s">
        <v>90</v>
      </c>
      <c r="D766" s="7">
        <v>8000</v>
      </c>
      <c r="E766" s="7">
        <v>8300</v>
      </c>
      <c r="F766" s="7">
        <v>8600</v>
      </c>
      <c r="G766" s="7">
        <f>'Option source'!B858</f>
        <v>1000</v>
      </c>
      <c r="H766" s="7">
        <f>'Option source'!B877</f>
        <v>1350</v>
      </c>
      <c r="I766" s="7">
        <f>'Option source'!B896</f>
        <v>1555.11</v>
      </c>
      <c r="J766" s="7">
        <f t="shared" si="77"/>
        <v>-144.8900000000001</v>
      </c>
      <c r="K766" s="7">
        <f t="shared" si="78"/>
        <v>300</v>
      </c>
      <c r="L766" s="7">
        <f t="shared" si="79"/>
        <v>444.8900000000001</v>
      </c>
      <c r="M766" s="7">
        <f t="shared" si="80"/>
        <v>0</v>
      </c>
      <c r="N766" s="7" t="str">
        <f t="shared" si="81"/>
        <v>n.a.</v>
      </c>
      <c r="O766" s="7" t="str">
        <f t="shared" si="82"/>
        <v>n.a.</v>
      </c>
      <c r="P766" s="15" t="str">
        <f t="shared" si="83"/>
        <v>n.a.</v>
      </c>
      <c r="Q766" s="7">
        <f>J766*'Model inputs'!$B$8</f>
        <v>-14489.000000000011</v>
      </c>
      <c r="R766" s="1" t="s">
        <v>163</v>
      </c>
      <c r="S766" s="1">
        <v>853</v>
      </c>
      <c r="T766" s="1">
        <v>872</v>
      </c>
    </row>
    <row r="767" spans="1:20" ht="21" customHeight="1">
      <c r="A767" s="8">
        <v>46269</v>
      </c>
      <c r="B767" s="1" t="s">
        <v>34</v>
      </c>
      <c r="C767" s="1" t="s">
        <v>87</v>
      </c>
      <c r="D767" s="7">
        <v>5400</v>
      </c>
      <c r="E767" s="7">
        <v>5600</v>
      </c>
      <c r="F767" s="7">
        <v>5800</v>
      </c>
      <c r="G767" s="7">
        <f>'Option source'!B127</f>
        <v>1680.06</v>
      </c>
      <c r="H767" s="7">
        <f>'Option source'!B145</f>
        <v>1600</v>
      </c>
      <c r="I767" s="7">
        <f>'Option source'!B155</f>
        <v>1490</v>
      </c>
      <c r="J767" s="7">
        <f t="shared" si="77"/>
        <v>-29.940000000000055</v>
      </c>
      <c r="K767" s="7">
        <f t="shared" si="78"/>
        <v>200</v>
      </c>
      <c r="L767" s="7">
        <f t="shared" si="79"/>
        <v>229.94000000000005</v>
      </c>
      <c r="M767" s="7">
        <f t="shared" si="80"/>
        <v>0</v>
      </c>
      <c r="N767" s="7" t="str">
        <f t="shared" si="81"/>
        <v>n.a.</v>
      </c>
      <c r="O767" s="7" t="str">
        <f t="shared" si="82"/>
        <v>n.a.</v>
      </c>
      <c r="P767" s="15" t="str">
        <f t="shared" si="83"/>
        <v>n.a.</v>
      </c>
      <c r="Q767" s="7">
        <f>J767*'Model inputs'!$B$8</f>
        <v>-2994.0000000000055</v>
      </c>
      <c r="R767" s="1" t="s">
        <v>163</v>
      </c>
      <c r="S767" s="1">
        <v>122</v>
      </c>
      <c r="T767" s="1">
        <v>140</v>
      </c>
    </row>
    <row r="768" spans="1:20" ht="21" customHeight="1">
      <c r="A768" s="8">
        <v>46269</v>
      </c>
      <c r="B768" s="1" t="s">
        <v>34</v>
      </c>
      <c r="C768" s="1" t="s">
        <v>90</v>
      </c>
      <c r="D768" s="7">
        <v>8300</v>
      </c>
      <c r="E768" s="7">
        <v>8600</v>
      </c>
      <c r="F768" s="7">
        <v>8900</v>
      </c>
      <c r="G768" s="7">
        <f>'Option source'!B877</f>
        <v>1350</v>
      </c>
      <c r="H768" s="7">
        <f>'Option source'!B896</f>
        <v>1555.11</v>
      </c>
      <c r="I768" s="7">
        <f>'Option source'!B911</f>
        <v>2022.5</v>
      </c>
      <c r="J768" s="7">
        <f t="shared" si="77"/>
        <v>262.2800000000002</v>
      </c>
      <c r="K768" s="7">
        <f t="shared" si="78"/>
        <v>300</v>
      </c>
      <c r="L768" s="7">
        <f t="shared" si="79"/>
        <v>37.7199999999998</v>
      </c>
      <c r="M768" s="7">
        <f t="shared" si="80"/>
        <v>262.2800000000002</v>
      </c>
      <c r="N768" s="7">
        <f t="shared" si="81"/>
        <v>8562.2800000000007</v>
      </c>
      <c r="O768" s="7">
        <f t="shared" si="82"/>
        <v>8637.7199999999993</v>
      </c>
      <c r="P768" s="15">
        <f t="shared" si="83"/>
        <v>0.14381576940674001</v>
      </c>
      <c r="Q768" s="7">
        <f>J768*'Model inputs'!$B$8</f>
        <v>26228.000000000022</v>
      </c>
      <c r="R768" s="1" t="s">
        <v>164</v>
      </c>
      <c r="S768" s="1">
        <v>872</v>
      </c>
      <c r="T768" s="1">
        <v>891</v>
      </c>
    </row>
    <row r="769" spans="1:20" ht="21" customHeight="1">
      <c r="A769" s="8">
        <v>46269</v>
      </c>
      <c r="B769" s="1" t="s">
        <v>34</v>
      </c>
      <c r="C769" s="1" t="s">
        <v>87</v>
      </c>
      <c r="D769" s="7">
        <v>5200</v>
      </c>
      <c r="E769" s="7">
        <v>5400</v>
      </c>
      <c r="F769" s="7">
        <v>5600</v>
      </c>
      <c r="G769" s="7">
        <f>'Option source'!B108</f>
        <v>2076.9299999999998</v>
      </c>
      <c r="H769" s="7">
        <f>'Option source'!B127</f>
        <v>1680.06</v>
      </c>
      <c r="I769" s="7">
        <f>'Option source'!B145</f>
        <v>1600</v>
      </c>
      <c r="J769" s="7">
        <f t="shared" si="77"/>
        <v>316.80999999999995</v>
      </c>
      <c r="K769" s="7">
        <f t="shared" si="78"/>
        <v>200</v>
      </c>
      <c r="L769" s="7">
        <f t="shared" si="79"/>
        <v>-116.80999999999995</v>
      </c>
      <c r="M769" s="7">
        <f t="shared" si="80"/>
        <v>316.80999999999995</v>
      </c>
      <c r="N769" s="7" t="str">
        <f t="shared" si="81"/>
        <v>n.a.</v>
      </c>
      <c r="O769" s="7" t="str">
        <f t="shared" si="82"/>
        <v>n.a.</v>
      </c>
      <c r="P769" s="15" t="str">
        <f t="shared" si="83"/>
        <v>n.a.</v>
      </c>
      <c r="Q769" s="7">
        <f>J769*'Model inputs'!$B$8</f>
        <v>31680.999999999993</v>
      </c>
      <c r="R769" s="1" t="s">
        <v>163</v>
      </c>
      <c r="S769" s="1">
        <v>103</v>
      </c>
      <c r="T769" s="1">
        <v>122</v>
      </c>
    </row>
    <row r="770" spans="1:20" ht="21" customHeight="1">
      <c r="A770" s="8">
        <v>46269</v>
      </c>
      <c r="B770" s="1" t="s">
        <v>34</v>
      </c>
      <c r="C770" s="1" t="s">
        <v>87</v>
      </c>
      <c r="D770" s="7">
        <v>5000</v>
      </c>
      <c r="E770" s="7">
        <v>5200</v>
      </c>
      <c r="F770" s="7">
        <v>5400</v>
      </c>
      <c r="G770" s="7">
        <f>'Option source'!B89</f>
        <v>2133.58</v>
      </c>
      <c r="H770" s="7">
        <f>'Option source'!B108</f>
        <v>2076.9299999999998</v>
      </c>
      <c r="I770" s="7">
        <f>'Option source'!B127</f>
        <v>1680.06</v>
      </c>
      <c r="J770" s="7">
        <f t="shared" si="77"/>
        <v>-340.2199999999998</v>
      </c>
      <c r="K770" s="7">
        <f t="shared" si="78"/>
        <v>200</v>
      </c>
      <c r="L770" s="7">
        <f t="shared" si="79"/>
        <v>540.2199999999998</v>
      </c>
      <c r="M770" s="7">
        <f t="shared" si="80"/>
        <v>0</v>
      </c>
      <c r="N770" s="7" t="str">
        <f t="shared" si="81"/>
        <v>n.a.</v>
      </c>
      <c r="O770" s="7" t="str">
        <f t="shared" si="82"/>
        <v>n.a.</v>
      </c>
      <c r="P770" s="15" t="str">
        <f t="shared" si="83"/>
        <v>n.a.</v>
      </c>
      <c r="Q770" s="7">
        <f>J770*'Model inputs'!$B$8</f>
        <v>-34021.999999999978</v>
      </c>
      <c r="R770" s="1" t="s">
        <v>163</v>
      </c>
      <c r="S770" s="1">
        <v>84</v>
      </c>
      <c r="T770" s="1">
        <v>103</v>
      </c>
    </row>
    <row r="771" spans="1:20" ht="21" customHeight="1">
      <c r="A771" s="8">
        <v>46269</v>
      </c>
      <c r="B771" s="1" t="s">
        <v>34</v>
      </c>
      <c r="C771" s="1" t="s">
        <v>87</v>
      </c>
      <c r="D771" s="7">
        <v>4800</v>
      </c>
      <c r="E771" s="7">
        <v>5000</v>
      </c>
      <c r="F771" s="7">
        <v>5200</v>
      </c>
      <c r="G771" s="7">
        <f>'Option source'!B72</f>
        <v>2375</v>
      </c>
      <c r="H771" s="7">
        <f>'Option source'!B89</f>
        <v>2133.58</v>
      </c>
      <c r="I771" s="7">
        <f>'Option source'!B108</f>
        <v>2076.9299999999998</v>
      </c>
      <c r="J771" s="7">
        <f t="shared" si="77"/>
        <v>184.76999999999998</v>
      </c>
      <c r="K771" s="7">
        <f t="shared" si="78"/>
        <v>200</v>
      </c>
      <c r="L771" s="7">
        <f t="shared" si="79"/>
        <v>15.230000000000018</v>
      </c>
      <c r="M771" s="7">
        <f t="shared" si="80"/>
        <v>184.76999999999998</v>
      </c>
      <c r="N771" s="7">
        <f t="shared" si="81"/>
        <v>4984.7700000000004</v>
      </c>
      <c r="O771" s="7">
        <f t="shared" si="82"/>
        <v>5015.2299999999996</v>
      </c>
      <c r="P771" s="15">
        <f t="shared" si="83"/>
        <v>8.2426800887590079E-2</v>
      </c>
      <c r="Q771" s="7">
        <f>J771*'Model inputs'!$B$8</f>
        <v>18477</v>
      </c>
      <c r="R771" s="1" t="s">
        <v>164</v>
      </c>
      <c r="S771" s="1">
        <v>67</v>
      </c>
      <c r="T771" s="1">
        <v>84</v>
      </c>
    </row>
    <row r="772" spans="1:20" ht="21" customHeight="1">
      <c r="A772" s="8">
        <v>46269</v>
      </c>
      <c r="B772" s="1" t="s">
        <v>34</v>
      </c>
      <c r="C772" s="1" t="s">
        <v>87</v>
      </c>
      <c r="D772" s="7">
        <v>4600</v>
      </c>
      <c r="E772" s="7">
        <v>4800</v>
      </c>
      <c r="F772" s="7">
        <v>5000</v>
      </c>
      <c r="G772" s="7">
        <f>'Option source'!B55</f>
        <v>2502.92</v>
      </c>
      <c r="H772" s="7">
        <f>'Option source'!B72</f>
        <v>2375</v>
      </c>
      <c r="I772" s="7">
        <f>'Option source'!B89</f>
        <v>2133.58</v>
      </c>
      <c r="J772" s="7">
        <f t="shared" si="77"/>
        <v>-113.5</v>
      </c>
      <c r="K772" s="7">
        <f t="shared" si="78"/>
        <v>200</v>
      </c>
      <c r="L772" s="7">
        <f t="shared" si="79"/>
        <v>313.5</v>
      </c>
      <c r="M772" s="7">
        <f t="shared" si="80"/>
        <v>0</v>
      </c>
      <c r="N772" s="7" t="str">
        <f t="shared" si="81"/>
        <v>n.a.</v>
      </c>
      <c r="O772" s="7" t="str">
        <f t="shared" si="82"/>
        <v>n.a.</v>
      </c>
      <c r="P772" s="15" t="str">
        <f t="shared" si="83"/>
        <v>n.a.</v>
      </c>
      <c r="Q772" s="7">
        <f>J772*'Model inputs'!$B$8</f>
        <v>-11350</v>
      </c>
      <c r="R772" s="1" t="s">
        <v>163</v>
      </c>
      <c r="S772" s="1">
        <v>50</v>
      </c>
      <c r="T772" s="1">
        <v>67</v>
      </c>
    </row>
    <row r="773" spans="1:20" ht="21" customHeight="1">
      <c r="A773" s="8">
        <v>46269</v>
      </c>
      <c r="B773" s="1" t="s">
        <v>34</v>
      </c>
      <c r="C773" s="1" t="s">
        <v>87</v>
      </c>
      <c r="D773" s="7">
        <v>4400</v>
      </c>
      <c r="E773" s="7">
        <v>4600</v>
      </c>
      <c r="F773" s="7">
        <v>4800</v>
      </c>
      <c r="G773" s="7">
        <f>'Option source'!B36</f>
        <v>2707.45</v>
      </c>
      <c r="H773" s="7">
        <f>'Option source'!B55</f>
        <v>2502.92</v>
      </c>
      <c r="I773" s="7">
        <f>'Option source'!B72</f>
        <v>2375</v>
      </c>
      <c r="J773" s="7">
        <f t="shared" si="77"/>
        <v>76.609999999999673</v>
      </c>
      <c r="K773" s="7">
        <f t="shared" si="78"/>
        <v>200</v>
      </c>
      <c r="L773" s="7">
        <f t="shared" si="79"/>
        <v>123.39000000000033</v>
      </c>
      <c r="M773" s="7">
        <f t="shared" si="80"/>
        <v>76.609999999999673</v>
      </c>
      <c r="N773" s="7">
        <f t="shared" si="81"/>
        <v>4476.6099999999997</v>
      </c>
      <c r="O773" s="7">
        <f t="shared" si="82"/>
        <v>4723.3900000000003</v>
      </c>
      <c r="P773" s="15">
        <f t="shared" si="83"/>
        <v>1.6106252447461278</v>
      </c>
      <c r="Q773" s="7">
        <f>J773*'Model inputs'!$B$8</f>
        <v>7660.9999999999673</v>
      </c>
      <c r="R773" s="1" t="s">
        <v>164</v>
      </c>
      <c r="S773" s="1">
        <v>31</v>
      </c>
      <c r="T773" s="1">
        <v>50</v>
      </c>
    </row>
    <row r="774" spans="1:20" ht="21" customHeight="1">
      <c r="A774" s="8">
        <v>46269</v>
      </c>
      <c r="B774" s="1" t="s">
        <v>34</v>
      </c>
      <c r="C774" s="1" t="s">
        <v>87</v>
      </c>
      <c r="D774" s="7">
        <v>4200</v>
      </c>
      <c r="E774" s="7">
        <v>4400</v>
      </c>
      <c r="F774" s="7">
        <v>4600</v>
      </c>
      <c r="G774" s="7">
        <f>'Option source'!B17</f>
        <v>2964.84</v>
      </c>
      <c r="H774" s="7">
        <f>'Option source'!B36</f>
        <v>2707.45</v>
      </c>
      <c r="I774" s="7">
        <f>'Option source'!B55</f>
        <v>2502.92</v>
      </c>
      <c r="J774" s="7">
        <f t="shared" si="77"/>
        <v>52.860000000000582</v>
      </c>
      <c r="K774" s="7">
        <f t="shared" si="78"/>
        <v>200</v>
      </c>
      <c r="L774" s="7">
        <f t="shared" si="79"/>
        <v>147.13999999999942</v>
      </c>
      <c r="M774" s="7">
        <f t="shared" si="80"/>
        <v>52.860000000000582</v>
      </c>
      <c r="N774" s="7">
        <f t="shared" si="81"/>
        <v>4252.8600000000006</v>
      </c>
      <c r="O774" s="7">
        <f t="shared" si="82"/>
        <v>4547.1399999999994</v>
      </c>
      <c r="P774" s="15">
        <f t="shared" si="83"/>
        <v>2.7835792659855807</v>
      </c>
      <c r="Q774" s="7">
        <f>J774*'Model inputs'!$B$8</f>
        <v>5286.0000000000582</v>
      </c>
      <c r="R774" s="1" t="s">
        <v>164</v>
      </c>
      <c r="S774" s="1">
        <v>12</v>
      </c>
      <c r="T774" s="1">
        <v>31</v>
      </c>
    </row>
    <row r="775" spans="1:20" ht="21" customHeight="1">
      <c r="A775" s="8">
        <v>46269</v>
      </c>
      <c r="B775" s="1" t="s">
        <v>36</v>
      </c>
      <c r="C775" s="1" t="s">
        <v>87</v>
      </c>
      <c r="D775" s="7">
        <v>6800</v>
      </c>
      <c r="E775" s="7">
        <v>7000</v>
      </c>
      <c r="F775" s="7"/>
      <c r="G775" s="7">
        <f>'Option source'!B250</f>
        <v>616.63</v>
      </c>
      <c r="H775" s="7">
        <f>'Option source'!B269</f>
        <v>501.55</v>
      </c>
      <c r="I775" s="7"/>
      <c r="J775" s="7">
        <f t="shared" ref="J775:J838" si="84">G775-2*H775+IF(B775="Butterfly",I775,0)</f>
        <v>-386.47</v>
      </c>
      <c r="K775" s="7">
        <f t="shared" ref="K775:K838" si="85">ABS(E775-D775)</f>
        <v>200</v>
      </c>
      <c r="L775" s="7">
        <f t="shared" ref="L775:L838" si="86">K775-J775</f>
        <v>586.47</v>
      </c>
      <c r="M775" s="7" t="str">
        <f t="shared" ref="M775:M838" si="87">IF(B775="Butterfly",MAX(J775,0),IF(C775="call","Unlimited",MAX(2*E775-D775+J775,J775,0)))</f>
        <v>Unlimited</v>
      </c>
      <c r="N775" s="7" t="str">
        <f t="shared" ref="N775:N838" si="88">IF(B775="Butterfly",IF(AND(J775&gt;0,J775&lt;K775),D775+J775,"n.a."),IF(C775="call",IF(AND(J775&gt;0,J775&lt;K775),D775+J775,"n.a."),IF(AND(K775&gt;J775,2*E775-D775+J775&gt;=0),2*E775-D775+J775,"n.a.")))</f>
        <v>n.a.</v>
      </c>
      <c r="O775" s="7">
        <f t="shared" ref="O775:O838" si="89">IF(B775="Butterfly",IF(AND(J775&gt;0,J775&lt;K775),F775-J775,"n.a."),IF(C775="call",IF(K775&gt;J775,2*E775-D775-J775,"n.a."),IF(AND(J775&gt;0,J775&lt;K775),D775-J775,"n.a.")))</f>
        <v>7586.47</v>
      </c>
      <c r="P775" s="15" t="str">
        <f t="shared" ref="P775:P838" si="90">IF(AND(B775="Butterfly",J775&gt;0,J775&lt;K775),L775/J775,"n.a.")</f>
        <v>n.a.</v>
      </c>
      <c r="Q775" s="7">
        <f>J775*'Model inputs'!$B$8</f>
        <v>-38647</v>
      </c>
      <c r="R775" s="1" t="s">
        <v>162</v>
      </c>
      <c r="S775" s="1">
        <v>245</v>
      </c>
      <c r="T775" s="1">
        <v>264</v>
      </c>
    </row>
    <row r="776" spans="1:20" ht="21" customHeight="1">
      <c r="A776" s="8">
        <v>46269</v>
      </c>
      <c r="B776" s="1" t="s">
        <v>36</v>
      </c>
      <c r="C776" s="1" t="s">
        <v>90</v>
      </c>
      <c r="D776" s="7">
        <v>7200</v>
      </c>
      <c r="E776" s="7">
        <v>7000</v>
      </c>
      <c r="F776" s="7"/>
      <c r="G776" s="7">
        <f>'Option source'!B782</f>
        <v>420.47</v>
      </c>
      <c r="H776" s="7">
        <f>'Option source'!B763</f>
        <v>319.58</v>
      </c>
      <c r="I776" s="7"/>
      <c r="J776" s="7">
        <f t="shared" si="84"/>
        <v>-218.68999999999994</v>
      </c>
      <c r="K776" s="7">
        <f t="shared" si="85"/>
        <v>200</v>
      </c>
      <c r="L776" s="7">
        <f t="shared" si="86"/>
        <v>418.68999999999994</v>
      </c>
      <c r="M776" s="7">
        <f t="shared" si="87"/>
        <v>6581.31</v>
      </c>
      <c r="N776" s="7">
        <f t="shared" si="88"/>
        <v>6581.31</v>
      </c>
      <c r="O776" s="7" t="str">
        <f t="shared" si="89"/>
        <v>n.a.</v>
      </c>
      <c r="P776" s="15" t="str">
        <f t="shared" si="90"/>
        <v>n.a.</v>
      </c>
      <c r="Q776" s="7">
        <f>J776*'Model inputs'!$B$8</f>
        <v>-21868.999999999993</v>
      </c>
      <c r="R776" s="1" t="s">
        <v>162</v>
      </c>
      <c r="S776" s="1">
        <v>777</v>
      </c>
      <c r="T776" s="1">
        <v>758</v>
      </c>
    </row>
    <row r="777" spans="1:20" ht="21" customHeight="1">
      <c r="A777" s="8">
        <v>46269</v>
      </c>
      <c r="B777" s="1" t="s">
        <v>36</v>
      </c>
      <c r="C777" s="1" t="s">
        <v>87</v>
      </c>
      <c r="D777" s="7">
        <v>7000</v>
      </c>
      <c r="E777" s="7">
        <v>7200</v>
      </c>
      <c r="F777" s="7"/>
      <c r="G777" s="7">
        <f>'Option source'!B269</f>
        <v>501.55</v>
      </c>
      <c r="H777" s="7">
        <f>'Option source'!B288</f>
        <v>399.74</v>
      </c>
      <c r="I777" s="7"/>
      <c r="J777" s="7">
        <f t="shared" si="84"/>
        <v>-297.93</v>
      </c>
      <c r="K777" s="7">
        <f t="shared" si="85"/>
        <v>200</v>
      </c>
      <c r="L777" s="7">
        <f t="shared" si="86"/>
        <v>497.93</v>
      </c>
      <c r="M777" s="7" t="str">
        <f t="shared" si="87"/>
        <v>Unlimited</v>
      </c>
      <c r="N777" s="7" t="str">
        <f t="shared" si="88"/>
        <v>n.a.</v>
      </c>
      <c r="O777" s="7">
        <f t="shared" si="89"/>
        <v>7697.93</v>
      </c>
      <c r="P777" s="15" t="str">
        <f t="shared" si="90"/>
        <v>n.a.</v>
      </c>
      <c r="Q777" s="7">
        <f>J777*'Model inputs'!$B$8</f>
        <v>-29793</v>
      </c>
      <c r="R777" s="1" t="s">
        <v>162</v>
      </c>
      <c r="S777" s="1">
        <v>264</v>
      </c>
      <c r="T777" s="1">
        <v>283</v>
      </c>
    </row>
    <row r="778" spans="1:20" ht="21" customHeight="1">
      <c r="A778" s="8">
        <v>46269</v>
      </c>
      <c r="B778" s="1" t="s">
        <v>36</v>
      </c>
      <c r="C778" s="1" t="s">
        <v>90</v>
      </c>
      <c r="D778" s="7">
        <v>7400</v>
      </c>
      <c r="E778" s="7">
        <v>7200</v>
      </c>
      <c r="F778" s="7"/>
      <c r="G778" s="7">
        <f>'Option source'!B801</f>
        <v>534.29999999999995</v>
      </c>
      <c r="H778" s="7">
        <f>'Option source'!B782</f>
        <v>420.47</v>
      </c>
      <c r="I778" s="7"/>
      <c r="J778" s="7">
        <f t="shared" si="84"/>
        <v>-306.6400000000001</v>
      </c>
      <c r="K778" s="7">
        <f t="shared" si="85"/>
        <v>200</v>
      </c>
      <c r="L778" s="7">
        <f t="shared" si="86"/>
        <v>506.6400000000001</v>
      </c>
      <c r="M778" s="7">
        <f t="shared" si="87"/>
        <v>6693.36</v>
      </c>
      <c r="N778" s="7">
        <f t="shared" si="88"/>
        <v>6693.36</v>
      </c>
      <c r="O778" s="7" t="str">
        <f t="shared" si="89"/>
        <v>n.a.</v>
      </c>
      <c r="P778" s="15" t="str">
        <f t="shared" si="90"/>
        <v>n.a.</v>
      </c>
      <c r="Q778" s="7">
        <f>J778*'Model inputs'!$B$8</f>
        <v>-30664.000000000011</v>
      </c>
      <c r="R778" s="1" t="s">
        <v>162</v>
      </c>
      <c r="S778" s="1">
        <v>796</v>
      </c>
      <c r="T778" s="1">
        <v>777</v>
      </c>
    </row>
    <row r="779" spans="1:20" ht="21" customHeight="1">
      <c r="A779" s="8">
        <v>46269</v>
      </c>
      <c r="B779" s="1" t="s">
        <v>36</v>
      </c>
      <c r="C779" s="1" t="s">
        <v>87</v>
      </c>
      <c r="D779" s="7">
        <v>6600</v>
      </c>
      <c r="E779" s="7">
        <v>6800</v>
      </c>
      <c r="F779" s="7"/>
      <c r="G779" s="7">
        <f>'Option source'!B231</f>
        <v>738.92</v>
      </c>
      <c r="H779" s="7">
        <f>'Option source'!B250</f>
        <v>616.63</v>
      </c>
      <c r="I779" s="7"/>
      <c r="J779" s="7">
        <f t="shared" si="84"/>
        <v>-494.34000000000003</v>
      </c>
      <c r="K779" s="7">
        <f t="shared" si="85"/>
        <v>200</v>
      </c>
      <c r="L779" s="7">
        <f t="shared" si="86"/>
        <v>694.34</v>
      </c>
      <c r="M779" s="7" t="str">
        <f t="shared" si="87"/>
        <v>Unlimited</v>
      </c>
      <c r="N779" s="7" t="str">
        <f t="shared" si="88"/>
        <v>n.a.</v>
      </c>
      <c r="O779" s="7">
        <f t="shared" si="89"/>
        <v>7494.34</v>
      </c>
      <c r="P779" s="15" t="str">
        <f t="shared" si="90"/>
        <v>n.a.</v>
      </c>
      <c r="Q779" s="7">
        <f>J779*'Model inputs'!$B$8</f>
        <v>-49434</v>
      </c>
      <c r="R779" s="1" t="s">
        <v>162</v>
      </c>
      <c r="S779" s="1">
        <v>226</v>
      </c>
      <c r="T779" s="1">
        <v>245</v>
      </c>
    </row>
    <row r="780" spans="1:20" ht="21" customHeight="1">
      <c r="A780" s="8">
        <v>46269</v>
      </c>
      <c r="B780" s="1" t="s">
        <v>36</v>
      </c>
      <c r="C780" s="1" t="s">
        <v>90</v>
      </c>
      <c r="D780" s="7">
        <v>7000</v>
      </c>
      <c r="E780" s="7">
        <v>6800</v>
      </c>
      <c r="F780" s="7"/>
      <c r="G780" s="7">
        <f>'Option source'!B763</f>
        <v>319.58</v>
      </c>
      <c r="H780" s="7">
        <f>'Option source'!B744</f>
        <v>237.19</v>
      </c>
      <c r="I780" s="7"/>
      <c r="J780" s="7">
        <f t="shared" si="84"/>
        <v>-154.80000000000001</v>
      </c>
      <c r="K780" s="7">
        <f t="shared" si="85"/>
        <v>200</v>
      </c>
      <c r="L780" s="7">
        <f t="shared" si="86"/>
        <v>354.8</v>
      </c>
      <c r="M780" s="7">
        <f t="shared" si="87"/>
        <v>6445.2</v>
      </c>
      <c r="N780" s="7">
        <f t="shared" si="88"/>
        <v>6445.2</v>
      </c>
      <c r="O780" s="7" t="str">
        <f t="shared" si="89"/>
        <v>n.a.</v>
      </c>
      <c r="P780" s="15" t="str">
        <f t="shared" si="90"/>
        <v>n.a.</v>
      </c>
      <c r="Q780" s="7">
        <f>J780*'Model inputs'!$B$8</f>
        <v>-15480.000000000002</v>
      </c>
      <c r="R780" s="1" t="s">
        <v>162</v>
      </c>
      <c r="S780" s="1">
        <v>758</v>
      </c>
      <c r="T780" s="1">
        <v>739</v>
      </c>
    </row>
    <row r="781" spans="1:20" ht="21" customHeight="1">
      <c r="A781" s="8">
        <v>46269</v>
      </c>
      <c r="B781" s="1" t="s">
        <v>36</v>
      </c>
      <c r="C781" s="1" t="s">
        <v>87</v>
      </c>
      <c r="D781" s="7">
        <v>7200</v>
      </c>
      <c r="E781" s="7">
        <v>7400</v>
      </c>
      <c r="F781" s="7"/>
      <c r="G781" s="7">
        <f>'Option source'!B288</f>
        <v>399.74</v>
      </c>
      <c r="H781" s="7">
        <f>'Option source'!B307</f>
        <v>315.27</v>
      </c>
      <c r="I781" s="7"/>
      <c r="J781" s="7">
        <f t="shared" si="84"/>
        <v>-230.79999999999995</v>
      </c>
      <c r="K781" s="7">
        <f t="shared" si="85"/>
        <v>200</v>
      </c>
      <c r="L781" s="7">
        <f t="shared" si="86"/>
        <v>430.79999999999995</v>
      </c>
      <c r="M781" s="7" t="str">
        <f t="shared" si="87"/>
        <v>Unlimited</v>
      </c>
      <c r="N781" s="7" t="str">
        <f t="shared" si="88"/>
        <v>n.a.</v>
      </c>
      <c r="O781" s="7">
        <f t="shared" si="89"/>
        <v>7830.8</v>
      </c>
      <c r="P781" s="15" t="str">
        <f t="shared" si="90"/>
        <v>n.a.</v>
      </c>
      <c r="Q781" s="7">
        <f>J781*'Model inputs'!$B$8</f>
        <v>-23079.999999999996</v>
      </c>
      <c r="R781" s="1" t="s">
        <v>162</v>
      </c>
      <c r="S781" s="1">
        <v>283</v>
      </c>
      <c r="T781" s="1">
        <v>302</v>
      </c>
    </row>
    <row r="782" spans="1:20" ht="21" customHeight="1">
      <c r="A782" s="8">
        <v>46269</v>
      </c>
      <c r="B782" s="1" t="s">
        <v>36</v>
      </c>
      <c r="C782" s="1" t="s">
        <v>90</v>
      </c>
      <c r="D782" s="7">
        <v>7600</v>
      </c>
      <c r="E782" s="7">
        <v>7400</v>
      </c>
      <c r="F782" s="7"/>
      <c r="G782" s="7">
        <f>'Option source'!B820</f>
        <v>660</v>
      </c>
      <c r="H782" s="7">
        <f>'Option source'!B801</f>
        <v>534.29999999999995</v>
      </c>
      <c r="I782" s="7"/>
      <c r="J782" s="7">
        <f t="shared" si="84"/>
        <v>-408.59999999999991</v>
      </c>
      <c r="K782" s="7">
        <f t="shared" si="85"/>
        <v>200</v>
      </c>
      <c r="L782" s="7">
        <f t="shared" si="86"/>
        <v>608.59999999999991</v>
      </c>
      <c r="M782" s="7">
        <f t="shared" si="87"/>
        <v>6791.4</v>
      </c>
      <c r="N782" s="7">
        <f t="shared" si="88"/>
        <v>6791.4</v>
      </c>
      <c r="O782" s="7" t="str">
        <f t="shared" si="89"/>
        <v>n.a.</v>
      </c>
      <c r="P782" s="15" t="str">
        <f t="shared" si="90"/>
        <v>n.a.</v>
      </c>
      <c r="Q782" s="7">
        <f>J782*'Model inputs'!$B$8</f>
        <v>-40859.999999999993</v>
      </c>
      <c r="R782" s="1" t="s">
        <v>162</v>
      </c>
      <c r="S782" s="1">
        <v>815</v>
      </c>
      <c r="T782" s="1">
        <v>796</v>
      </c>
    </row>
    <row r="783" spans="1:20" ht="21" customHeight="1">
      <c r="A783" s="8">
        <v>46269</v>
      </c>
      <c r="B783" s="1" t="s">
        <v>36</v>
      </c>
      <c r="C783" s="1" t="s">
        <v>90</v>
      </c>
      <c r="D783" s="7">
        <v>6800</v>
      </c>
      <c r="E783" s="7">
        <v>6600</v>
      </c>
      <c r="F783" s="7"/>
      <c r="G783" s="7">
        <f>'Option source'!B744</f>
        <v>237.19</v>
      </c>
      <c r="H783" s="7">
        <f>'Option source'!B725</f>
        <v>169.4</v>
      </c>
      <c r="I783" s="7"/>
      <c r="J783" s="7">
        <f t="shared" si="84"/>
        <v>-101.61000000000001</v>
      </c>
      <c r="K783" s="7">
        <f t="shared" si="85"/>
        <v>200</v>
      </c>
      <c r="L783" s="7">
        <f t="shared" si="86"/>
        <v>301.61</v>
      </c>
      <c r="M783" s="7">
        <f t="shared" si="87"/>
        <v>6298.39</v>
      </c>
      <c r="N783" s="7">
        <f t="shared" si="88"/>
        <v>6298.39</v>
      </c>
      <c r="O783" s="7" t="str">
        <f t="shared" si="89"/>
        <v>n.a.</v>
      </c>
      <c r="P783" s="15" t="str">
        <f t="shared" si="90"/>
        <v>n.a.</v>
      </c>
      <c r="Q783" s="7">
        <f>J783*'Model inputs'!$B$8</f>
        <v>-10161.000000000002</v>
      </c>
      <c r="R783" s="1" t="s">
        <v>162</v>
      </c>
      <c r="S783" s="1">
        <v>739</v>
      </c>
      <c r="T783" s="1">
        <v>720</v>
      </c>
    </row>
    <row r="784" spans="1:20" ht="21" customHeight="1">
      <c r="A784" s="8">
        <v>46269</v>
      </c>
      <c r="B784" s="1" t="s">
        <v>36</v>
      </c>
      <c r="C784" s="1" t="s">
        <v>87</v>
      </c>
      <c r="D784" s="7">
        <v>7400</v>
      </c>
      <c r="E784" s="7">
        <v>7600</v>
      </c>
      <c r="F784" s="7"/>
      <c r="G784" s="7">
        <f>'Option source'!B307</f>
        <v>315.27</v>
      </c>
      <c r="H784" s="7">
        <f>'Option source'!B326</f>
        <v>246.84</v>
      </c>
      <c r="I784" s="7"/>
      <c r="J784" s="7">
        <f t="shared" si="84"/>
        <v>-178.41000000000003</v>
      </c>
      <c r="K784" s="7">
        <f t="shared" si="85"/>
        <v>200</v>
      </c>
      <c r="L784" s="7">
        <f t="shared" si="86"/>
        <v>378.41</v>
      </c>
      <c r="M784" s="7" t="str">
        <f t="shared" si="87"/>
        <v>Unlimited</v>
      </c>
      <c r="N784" s="7" t="str">
        <f t="shared" si="88"/>
        <v>n.a.</v>
      </c>
      <c r="O784" s="7">
        <f t="shared" si="89"/>
        <v>7978.41</v>
      </c>
      <c r="P784" s="15" t="str">
        <f t="shared" si="90"/>
        <v>n.a.</v>
      </c>
      <c r="Q784" s="7">
        <f>J784*'Model inputs'!$B$8</f>
        <v>-17841.000000000004</v>
      </c>
      <c r="R784" s="1" t="s">
        <v>162</v>
      </c>
      <c r="S784" s="1">
        <v>302</v>
      </c>
      <c r="T784" s="1">
        <v>321</v>
      </c>
    </row>
    <row r="785" spans="1:20" ht="21" customHeight="1">
      <c r="A785" s="8">
        <v>46269</v>
      </c>
      <c r="B785" s="1" t="s">
        <v>36</v>
      </c>
      <c r="C785" s="1" t="s">
        <v>90</v>
      </c>
      <c r="D785" s="7">
        <v>6600</v>
      </c>
      <c r="E785" s="7">
        <v>6400</v>
      </c>
      <c r="F785" s="7"/>
      <c r="G785" s="7">
        <f>'Option source'!B725</f>
        <v>169.4</v>
      </c>
      <c r="H785" s="7">
        <f>'Option source'!B706</f>
        <v>116.45</v>
      </c>
      <c r="I785" s="7"/>
      <c r="J785" s="7">
        <f t="shared" si="84"/>
        <v>-63.5</v>
      </c>
      <c r="K785" s="7">
        <f t="shared" si="85"/>
        <v>200</v>
      </c>
      <c r="L785" s="7">
        <f t="shared" si="86"/>
        <v>263.5</v>
      </c>
      <c r="M785" s="7">
        <f t="shared" si="87"/>
        <v>6136.5</v>
      </c>
      <c r="N785" s="7">
        <f t="shared" si="88"/>
        <v>6136.5</v>
      </c>
      <c r="O785" s="7" t="str">
        <f t="shared" si="89"/>
        <v>n.a.</v>
      </c>
      <c r="P785" s="15" t="str">
        <f t="shared" si="90"/>
        <v>n.a.</v>
      </c>
      <c r="Q785" s="7">
        <f>J785*'Model inputs'!$B$8</f>
        <v>-6350</v>
      </c>
      <c r="R785" s="1" t="s">
        <v>162</v>
      </c>
      <c r="S785" s="1">
        <v>720</v>
      </c>
      <c r="T785" s="1">
        <v>701</v>
      </c>
    </row>
    <row r="786" spans="1:20" ht="21" customHeight="1">
      <c r="A786" s="8">
        <v>46269</v>
      </c>
      <c r="B786" s="1" t="s">
        <v>36</v>
      </c>
      <c r="C786" s="1" t="s">
        <v>87</v>
      </c>
      <c r="D786" s="7">
        <v>7600</v>
      </c>
      <c r="E786" s="7">
        <v>7800</v>
      </c>
      <c r="F786" s="7"/>
      <c r="G786" s="7">
        <f>'Option source'!B326</f>
        <v>246.84</v>
      </c>
      <c r="H786" s="7">
        <f>'Option source'!B345</f>
        <v>186.47</v>
      </c>
      <c r="I786" s="7"/>
      <c r="J786" s="7">
        <f t="shared" si="84"/>
        <v>-126.1</v>
      </c>
      <c r="K786" s="7">
        <f t="shared" si="85"/>
        <v>200</v>
      </c>
      <c r="L786" s="7">
        <f t="shared" si="86"/>
        <v>326.10000000000002</v>
      </c>
      <c r="M786" s="7" t="str">
        <f t="shared" si="87"/>
        <v>Unlimited</v>
      </c>
      <c r="N786" s="7" t="str">
        <f t="shared" si="88"/>
        <v>n.a.</v>
      </c>
      <c r="O786" s="7">
        <f t="shared" si="89"/>
        <v>8126.1</v>
      </c>
      <c r="P786" s="15" t="str">
        <f t="shared" si="90"/>
        <v>n.a.</v>
      </c>
      <c r="Q786" s="7">
        <f>J786*'Model inputs'!$B$8</f>
        <v>-12610</v>
      </c>
      <c r="R786" s="1" t="s">
        <v>162</v>
      </c>
      <c r="S786" s="1">
        <v>321</v>
      </c>
      <c r="T786" s="1">
        <v>340</v>
      </c>
    </row>
    <row r="787" spans="1:20" ht="21" customHeight="1">
      <c r="A787" s="8">
        <v>46269</v>
      </c>
      <c r="B787" s="1" t="s">
        <v>36</v>
      </c>
      <c r="C787" s="1" t="s">
        <v>90</v>
      </c>
      <c r="D787" s="7">
        <v>6400</v>
      </c>
      <c r="E787" s="7">
        <v>6200</v>
      </c>
      <c r="F787" s="7"/>
      <c r="G787" s="7">
        <f>'Option source'!B706</f>
        <v>116.45</v>
      </c>
      <c r="H787" s="7">
        <f>'Option source'!B687</f>
        <v>76.05</v>
      </c>
      <c r="I787" s="7"/>
      <c r="J787" s="7">
        <f t="shared" si="84"/>
        <v>-35.649999999999991</v>
      </c>
      <c r="K787" s="7">
        <f t="shared" si="85"/>
        <v>200</v>
      </c>
      <c r="L787" s="7">
        <f t="shared" si="86"/>
        <v>235.64999999999998</v>
      </c>
      <c r="M787" s="7">
        <f t="shared" si="87"/>
        <v>5964.35</v>
      </c>
      <c r="N787" s="7">
        <f t="shared" si="88"/>
        <v>5964.35</v>
      </c>
      <c r="O787" s="7" t="str">
        <f t="shared" si="89"/>
        <v>n.a.</v>
      </c>
      <c r="P787" s="15" t="str">
        <f t="shared" si="90"/>
        <v>n.a.</v>
      </c>
      <c r="Q787" s="7">
        <f>J787*'Model inputs'!$B$8</f>
        <v>-3564.9999999999991</v>
      </c>
      <c r="R787" s="1" t="s">
        <v>162</v>
      </c>
      <c r="S787" s="1">
        <v>701</v>
      </c>
      <c r="T787" s="1">
        <v>682</v>
      </c>
    </row>
    <row r="788" spans="1:20" ht="21" customHeight="1">
      <c r="A788" s="8">
        <v>46269</v>
      </c>
      <c r="B788" s="1" t="s">
        <v>36</v>
      </c>
      <c r="C788" s="1" t="s">
        <v>87</v>
      </c>
      <c r="D788" s="7">
        <v>7800</v>
      </c>
      <c r="E788" s="7">
        <v>8000</v>
      </c>
      <c r="F788" s="7"/>
      <c r="G788" s="7">
        <f>'Option source'!B345</f>
        <v>186.47</v>
      </c>
      <c r="H788" s="7">
        <f>'Option source'!B364</f>
        <v>143.25</v>
      </c>
      <c r="I788" s="7"/>
      <c r="J788" s="7">
        <f t="shared" si="84"/>
        <v>-100.03</v>
      </c>
      <c r="K788" s="7">
        <f t="shared" si="85"/>
        <v>200</v>
      </c>
      <c r="L788" s="7">
        <f t="shared" si="86"/>
        <v>300.02999999999997</v>
      </c>
      <c r="M788" s="7" t="str">
        <f t="shared" si="87"/>
        <v>Unlimited</v>
      </c>
      <c r="N788" s="7" t="str">
        <f t="shared" si="88"/>
        <v>n.a.</v>
      </c>
      <c r="O788" s="7">
        <f t="shared" si="89"/>
        <v>8300.0300000000007</v>
      </c>
      <c r="P788" s="15" t="str">
        <f t="shared" si="90"/>
        <v>n.a.</v>
      </c>
      <c r="Q788" s="7">
        <f>J788*'Model inputs'!$B$8</f>
        <v>-10003</v>
      </c>
      <c r="R788" s="1" t="s">
        <v>162</v>
      </c>
      <c r="S788" s="1">
        <v>340</v>
      </c>
      <c r="T788" s="1">
        <v>359</v>
      </c>
    </row>
    <row r="789" spans="1:20" ht="21" customHeight="1">
      <c r="A789" s="8">
        <v>46269</v>
      </c>
      <c r="B789" s="1" t="s">
        <v>36</v>
      </c>
      <c r="C789" s="1" t="s">
        <v>90</v>
      </c>
      <c r="D789" s="7">
        <v>8300</v>
      </c>
      <c r="E789" s="7">
        <v>8000</v>
      </c>
      <c r="F789" s="7"/>
      <c r="G789" s="7">
        <f>'Option source'!B877</f>
        <v>1350</v>
      </c>
      <c r="H789" s="7">
        <f>'Option source'!B858</f>
        <v>1000</v>
      </c>
      <c r="I789" s="7"/>
      <c r="J789" s="7">
        <f t="shared" si="84"/>
        <v>-650</v>
      </c>
      <c r="K789" s="7">
        <f t="shared" si="85"/>
        <v>300</v>
      </c>
      <c r="L789" s="7">
        <f t="shared" si="86"/>
        <v>950</v>
      </c>
      <c r="M789" s="7">
        <f t="shared" si="87"/>
        <v>7050</v>
      </c>
      <c r="N789" s="7">
        <f t="shared" si="88"/>
        <v>7050</v>
      </c>
      <c r="O789" s="7" t="str">
        <f t="shared" si="89"/>
        <v>n.a.</v>
      </c>
      <c r="P789" s="15" t="str">
        <f t="shared" si="90"/>
        <v>n.a.</v>
      </c>
      <c r="Q789" s="7">
        <f>J789*'Model inputs'!$B$8</f>
        <v>-65000</v>
      </c>
      <c r="R789" s="1" t="s">
        <v>162</v>
      </c>
      <c r="S789" s="1">
        <v>872</v>
      </c>
      <c r="T789" s="1">
        <v>853</v>
      </c>
    </row>
    <row r="790" spans="1:20" ht="21" customHeight="1">
      <c r="A790" s="8">
        <v>46269</v>
      </c>
      <c r="B790" s="1" t="s">
        <v>36</v>
      </c>
      <c r="C790" s="1" t="s">
        <v>90</v>
      </c>
      <c r="D790" s="7">
        <v>6200</v>
      </c>
      <c r="E790" s="7">
        <v>6000</v>
      </c>
      <c r="F790" s="7"/>
      <c r="G790" s="7">
        <f>'Option source'!B687</f>
        <v>76.05</v>
      </c>
      <c r="H790" s="7">
        <f>'Option source'!B668</f>
        <v>46.91</v>
      </c>
      <c r="I790" s="7"/>
      <c r="J790" s="7">
        <f t="shared" si="84"/>
        <v>-17.769999999999996</v>
      </c>
      <c r="K790" s="7">
        <f t="shared" si="85"/>
        <v>200</v>
      </c>
      <c r="L790" s="7">
        <f t="shared" si="86"/>
        <v>217.76999999999998</v>
      </c>
      <c r="M790" s="7">
        <f t="shared" si="87"/>
        <v>5782.23</v>
      </c>
      <c r="N790" s="7">
        <f t="shared" si="88"/>
        <v>5782.23</v>
      </c>
      <c r="O790" s="7" t="str">
        <f t="shared" si="89"/>
        <v>n.a.</v>
      </c>
      <c r="P790" s="15" t="str">
        <f t="shared" si="90"/>
        <v>n.a.</v>
      </c>
      <c r="Q790" s="7">
        <f>J790*'Model inputs'!$B$8</f>
        <v>-1776.9999999999995</v>
      </c>
      <c r="R790" s="1" t="s">
        <v>162</v>
      </c>
      <c r="S790" s="1">
        <v>682</v>
      </c>
      <c r="T790" s="1">
        <v>663</v>
      </c>
    </row>
    <row r="791" spans="1:20" ht="21" customHeight="1">
      <c r="A791" s="8">
        <v>46269</v>
      </c>
      <c r="B791" s="1" t="s">
        <v>36</v>
      </c>
      <c r="C791" s="1" t="s">
        <v>90</v>
      </c>
      <c r="D791" s="7">
        <v>6000</v>
      </c>
      <c r="E791" s="7">
        <v>5800</v>
      </c>
      <c r="F791" s="7"/>
      <c r="G791" s="7">
        <f>'Option source'!B668</f>
        <v>46.91</v>
      </c>
      <c r="H791" s="7">
        <f>'Option source'!B649</f>
        <v>27.57</v>
      </c>
      <c r="I791" s="7"/>
      <c r="J791" s="7">
        <f t="shared" si="84"/>
        <v>-8.230000000000004</v>
      </c>
      <c r="K791" s="7">
        <f t="shared" si="85"/>
        <v>200</v>
      </c>
      <c r="L791" s="7">
        <f t="shared" si="86"/>
        <v>208.23000000000002</v>
      </c>
      <c r="M791" s="7">
        <f t="shared" si="87"/>
        <v>5591.77</v>
      </c>
      <c r="N791" s="7">
        <f t="shared" si="88"/>
        <v>5591.77</v>
      </c>
      <c r="O791" s="7" t="str">
        <f t="shared" si="89"/>
        <v>n.a.</v>
      </c>
      <c r="P791" s="15" t="str">
        <f t="shared" si="90"/>
        <v>n.a.</v>
      </c>
      <c r="Q791" s="7">
        <f>J791*'Model inputs'!$B$8</f>
        <v>-823.00000000000045</v>
      </c>
      <c r="R791" s="1" t="s">
        <v>162</v>
      </c>
      <c r="S791" s="1">
        <v>663</v>
      </c>
      <c r="T791" s="1">
        <v>644</v>
      </c>
    </row>
    <row r="792" spans="1:20" ht="21" customHeight="1">
      <c r="A792" s="8">
        <v>46269</v>
      </c>
      <c r="B792" s="1" t="s">
        <v>36</v>
      </c>
      <c r="C792" s="1" t="s">
        <v>87</v>
      </c>
      <c r="D792" s="7">
        <v>8000</v>
      </c>
      <c r="E792" s="7">
        <v>8300</v>
      </c>
      <c r="F792" s="7"/>
      <c r="G792" s="7">
        <f>'Option source'!B364</f>
        <v>143.25</v>
      </c>
      <c r="H792" s="7">
        <f>'Option source'!B383</f>
        <v>91.92</v>
      </c>
      <c r="I792" s="7"/>
      <c r="J792" s="7">
        <f t="shared" si="84"/>
        <v>-40.590000000000003</v>
      </c>
      <c r="K792" s="7">
        <f t="shared" si="85"/>
        <v>300</v>
      </c>
      <c r="L792" s="7">
        <f t="shared" si="86"/>
        <v>340.59000000000003</v>
      </c>
      <c r="M792" s="7" t="str">
        <f t="shared" si="87"/>
        <v>Unlimited</v>
      </c>
      <c r="N792" s="7" t="str">
        <f t="shared" si="88"/>
        <v>n.a.</v>
      </c>
      <c r="O792" s="7">
        <f t="shared" si="89"/>
        <v>8640.59</v>
      </c>
      <c r="P792" s="15" t="str">
        <f t="shared" si="90"/>
        <v>n.a.</v>
      </c>
      <c r="Q792" s="7">
        <f>J792*'Model inputs'!$B$8</f>
        <v>-4059.0000000000005</v>
      </c>
      <c r="R792" s="1" t="s">
        <v>162</v>
      </c>
      <c r="S792" s="1">
        <v>359</v>
      </c>
      <c r="T792" s="1">
        <v>378</v>
      </c>
    </row>
    <row r="793" spans="1:20" ht="21" customHeight="1">
      <c r="A793" s="8">
        <v>46269</v>
      </c>
      <c r="B793" s="1" t="s">
        <v>36</v>
      </c>
      <c r="C793" s="1" t="s">
        <v>90</v>
      </c>
      <c r="D793" s="7">
        <v>5800</v>
      </c>
      <c r="E793" s="7">
        <v>5600</v>
      </c>
      <c r="F793" s="7"/>
      <c r="G793" s="7">
        <f>'Option source'!B649</f>
        <v>27.57</v>
      </c>
      <c r="H793" s="7">
        <f>'Option source'!B630</f>
        <v>16.25</v>
      </c>
      <c r="I793" s="7"/>
      <c r="J793" s="7">
        <f t="shared" si="84"/>
        <v>-4.93</v>
      </c>
      <c r="K793" s="7">
        <f t="shared" si="85"/>
        <v>200</v>
      </c>
      <c r="L793" s="7">
        <f t="shared" si="86"/>
        <v>204.93</v>
      </c>
      <c r="M793" s="7">
        <f t="shared" si="87"/>
        <v>5395.07</v>
      </c>
      <c r="N793" s="7">
        <f t="shared" si="88"/>
        <v>5395.07</v>
      </c>
      <c r="O793" s="7" t="str">
        <f t="shared" si="89"/>
        <v>n.a.</v>
      </c>
      <c r="P793" s="15" t="str">
        <f t="shared" si="90"/>
        <v>n.a.</v>
      </c>
      <c r="Q793" s="7">
        <f>J793*'Model inputs'!$B$8</f>
        <v>-493</v>
      </c>
      <c r="R793" s="1" t="s">
        <v>162</v>
      </c>
      <c r="S793" s="1">
        <v>644</v>
      </c>
      <c r="T793" s="1">
        <v>625</v>
      </c>
    </row>
    <row r="794" spans="1:20" ht="21" customHeight="1">
      <c r="A794" s="8">
        <v>46269</v>
      </c>
      <c r="B794" s="1" t="s">
        <v>36</v>
      </c>
      <c r="C794" s="1" t="s">
        <v>87</v>
      </c>
      <c r="D794" s="7">
        <v>8300</v>
      </c>
      <c r="E794" s="7">
        <v>8600</v>
      </c>
      <c r="F794" s="7"/>
      <c r="G794" s="7">
        <f>'Option source'!B383</f>
        <v>91.92</v>
      </c>
      <c r="H794" s="7">
        <f>'Option source'!B402</f>
        <v>56.19</v>
      </c>
      <c r="I794" s="7"/>
      <c r="J794" s="7">
        <f t="shared" si="84"/>
        <v>-20.459999999999994</v>
      </c>
      <c r="K794" s="7">
        <f t="shared" si="85"/>
        <v>300</v>
      </c>
      <c r="L794" s="7">
        <f t="shared" si="86"/>
        <v>320.45999999999998</v>
      </c>
      <c r="M794" s="7" t="str">
        <f t="shared" si="87"/>
        <v>Unlimited</v>
      </c>
      <c r="N794" s="7" t="str">
        <f t="shared" si="88"/>
        <v>n.a.</v>
      </c>
      <c r="O794" s="7">
        <f t="shared" si="89"/>
        <v>8920.4599999999991</v>
      </c>
      <c r="P794" s="15" t="str">
        <f t="shared" si="90"/>
        <v>n.a.</v>
      </c>
      <c r="Q794" s="7">
        <f>J794*'Model inputs'!$B$8</f>
        <v>-2045.9999999999993</v>
      </c>
      <c r="R794" s="1" t="s">
        <v>162</v>
      </c>
      <c r="S794" s="1">
        <v>378</v>
      </c>
      <c r="T794" s="1">
        <v>397</v>
      </c>
    </row>
    <row r="795" spans="1:20" ht="21" customHeight="1">
      <c r="A795" s="8">
        <v>46269</v>
      </c>
      <c r="B795" s="1" t="s">
        <v>36</v>
      </c>
      <c r="C795" s="1" t="s">
        <v>90</v>
      </c>
      <c r="D795" s="7">
        <v>5600</v>
      </c>
      <c r="E795" s="7">
        <v>5400</v>
      </c>
      <c r="F795" s="7"/>
      <c r="G795" s="7">
        <f>'Option source'!B630</f>
        <v>16.25</v>
      </c>
      <c r="H795" s="7">
        <f>'Option source'!B611</f>
        <v>8.9600000000000009</v>
      </c>
      <c r="I795" s="7"/>
      <c r="J795" s="7">
        <f t="shared" si="84"/>
        <v>-1.6700000000000017</v>
      </c>
      <c r="K795" s="7">
        <f t="shared" si="85"/>
        <v>200</v>
      </c>
      <c r="L795" s="7">
        <f t="shared" si="86"/>
        <v>201.67000000000002</v>
      </c>
      <c r="M795" s="7">
        <f t="shared" si="87"/>
        <v>5198.33</v>
      </c>
      <c r="N795" s="7">
        <f t="shared" si="88"/>
        <v>5198.33</v>
      </c>
      <c r="O795" s="7" t="str">
        <f t="shared" si="89"/>
        <v>n.a.</v>
      </c>
      <c r="P795" s="15" t="str">
        <f t="shared" si="90"/>
        <v>n.a.</v>
      </c>
      <c r="Q795" s="7">
        <f>J795*'Model inputs'!$B$8</f>
        <v>-167.00000000000017</v>
      </c>
      <c r="R795" s="1" t="s">
        <v>162</v>
      </c>
      <c r="S795" s="1">
        <v>625</v>
      </c>
      <c r="T795" s="1">
        <v>606</v>
      </c>
    </row>
    <row r="796" spans="1:20" ht="21" customHeight="1">
      <c r="A796" s="8">
        <v>46269</v>
      </c>
      <c r="B796" s="1" t="s">
        <v>36</v>
      </c>
      <c r="C796" s="1" t="s">
        <v>90</v>
      </c>
      <c r="D796" s="7">
        <v>5400</v>
      </c>
      <c r="E796" s="7">
        <v>5200</v>
      </c>
      <c r="F796" s="7"/>
      <c r="G796" s="7">
        <f>'Option source'!B611</f>
        <v>8.9600000000000009</v>
      </c>
      <c r="H796" s="7">
        <f>'Option source'!B592</f>
        <v>4.92</v>
      </c>
      <c r="I796" s="7"/>
      <c r="J796" s="7">
        <f t="shared" si="84"/>
        <v>-0.87999999999999901</v>
      </c>
      <c r="K796" s="7">
        <f t="shared" si="85"/>
        <v>200</v>
      </c>
      <c r="L796" s="7">
        <f t="shared" si="86"/>
        <v>200.88</v>
      </c>
      <c r="M796" s="7">
        <f t="shared" si="87"/>
        <v>4999.12</v>
      </c>
      <c r="N796" s="7">
        <f t="shared" si="88"/>
        <v>4999.12</v>
      </c>
      <c r="O796" s="7" t="str">
        <f t="shared" si="89"/>
        <v>n.a.</v>
      </c>
      <c r="P796" s="15" t="str">
        <f t="shared" si="90"/>
        <v>n.a.</v>
      </c>
      <c r="Q796" s="7">
        <f>J796*'Model inputs'!$B$8</f>
        <v>-87.999999999999901</v>
      </c>
      <c r="R796" s="1" t="s">
        <v>162</v>
      </c>
      <c r="S796" s="1">
        <v>606</v>
      </c>
      <c r="T796" s="1">
        <v>587</v>
      </c>
    </row>
    <row r="797" spans="1:20" ht="21" customHeight="1">
      <c r="A797" s="8">
        <v>46269</v>
      </c>
      <c r="B797" s="1" t="s">
        <v>36</v>
      </c>
      <c r="C797" s="1" t="s">
        <v>87</v>
      </c>
      <c r="D797" s="7">
        <v>8600</v>
      </c>
      <c r="E797" s="7">
        <v>8900</v>
      </c>
      <c r="F797" s="7"/>
      <c r="G797" s="7">
        <f>'Option source'!B402</f>
        <v>56.19</v>
      </c>
      <c r="H797" s="7">
        <f>'Option source'!B421</f>
        <v>34.74</v>
      </c>
      <c r="I797" s="7"/>
      <c r="J797" s="7">
        <f t="shared" si="84"/>
        <v>-13.290000000000006</v>
      </c>
      <c r="K797" s="7">
        <f t="shared" si="85"/>
        <v>300</v>
      </c>
      <c r="L797" s="7">
        <f t="shared" si="86"/>
        <v>313.29000000000002</v>
      </c>
      <c r="M797" s="7" t="str">
        <f t="shared" si="87"/>
        <v>Unlimited</v>
      </c>
      <c r="N797" s="7" t="str">
        <f t="shared" si="88"/>
        <v>n.a.</v>
      </c>
      <c r="O797" s="7">
        <f t="shared" si="89"/>
        <v>9213.2900000000009</v>
      </c>
      <c r="P797" s="15" t="str">
        <f t="shared" si="90"/>
        <v>n.a.</v>
      </c>
      <c r="Q797" s="7">
        <f>J797*'Model inputs'!$B$8</f>
        <v>-1329.0000000000007</v>
      </c>
      <c r="R797" s="1" t="s">
        <v>162</v>
      </c>
      <c r="S797" s="1">
        <v>397</v>
      </c>
      <c r="T797" s="1">
        <v>416</v>
      </c>
    </row>
    <row r="798" spans="1:20" ht="21" customHeight="1">
      <c r="A798" s="8">
        <v>46269</v>
      </c>
      <c r="B798" s="1" t="s">
        <v>36</v>
      </c>
      <c r="C798" s="1" t="s">
        <v>90</v>
      </c>
      <c r="D798" s="7">
        <v>5200</v>
      </c>
      <c r="E798" s="7">
        <v>5000</v>
      </c>
      <c r="F798" s="7"/>
      <c r="G798" s="7">
        <f>'Option source'!B592</f>
        <v>4.92</v>
      </c>
      <c r="H798" s="7">
        <f>'Option source'!B573</f>
        <v>3.15</v>
      </c>
      <c r="I798" s="7"/>
      <c r="J798" s="7">
        <f t="shared" si="84"/>
        <v>-1.38</v>
      </c>
      <c r="K798" s="7">
        <f t="shared" si="85"/>
        <v>200</v>
      </c>
      <c r="L798" s="7">
        <f t="shared" si="86"/>
        <v>201.38</v>
      </c>
      <c r="M798" s="7">
        <f t="shared" si="87"/>
        <v>4798.62</v>
      </c>
      <c r="N798" s="7">
        <f t="shared" si="88"/>
        <v>4798.62</v>
      </c>
      <c r="O798" s="7" t="str">
        <f t="shared" si="89"/>
        <v>n.a.</v>
      </c>
      <c r="P798" s="15" t="str">
        <f t="shared" si="90"/>
        <v>n.a.</v>
      </c>
      <c r="Q798" s="7">
        <f>J798*'Model inputs'!$B$8</f>
        <v>-138</v>
      </c>
      <c r="R798" s="1" t="s">
        <v>162</v>
      </c>
      <c r="S798" s="1">
        <v>587</v>
      </c>
      <c r="T798" s="1">
        <v>568</v>
      </c>
    </row>
    <row r="799" spans="1:20" ht="21" customHeight="1">
      <c r="A799" s="8">
        <v>46269</v>
      </c>
      <c r="B799" s="1" t="s">
        <v>36</v>
      </c>
      <c r="C799" s="1" t="s">
        <v>87</v>
      </c>
      <c r="D799" s="7">
        <v>8900</v>
      </c>
      <c r="E799" s="7">
        <v>9200</v>
      </c>
      <c r="F799" s="7"/>
      <c r="G799" s="7">
        <f>'Option source'!B421</f>
        <v>34.74</v>
      </c>
      <c r="H799" s="7">
        <f>'Option source'!B440</f>
        <v>21.04</v>
      </c>
      <c r="I799" s="7"/>
      <c r="J799" s="7">
        <f t="shared" si="84"/>
        <v>-7.3399999999999963</v>
      </c>
      <c r="K799" s="7">
        <f t="shared" si="85"/>
        <v>300</v>
      </c>
      <c r="L799" s="7">
        <f t="shared" si="86"/>
        <v>307.33999999999997</v>
      </c>
      <c r="M799" s="7" t="str">
        <f t="shared" si="87"/>
        <v>Unlimited</v>
      </c>
      <c r="N799" s="7" t="str">
        <f t="shared" si="88"/>
        <v>n.a.</v>
      </c>
      <c r="O799" s="7">
        <f t="shared" si="89"/>
        <v>9507.34</v>
      </c>
      <c r="P799" s="15" t="str">
        <f t="shared" si="90"/>
        <v>n.a.</v>
      </c>
      <c r="Q799" s="7">
        <f>J799*'Model inputs'!$B$8</f>
        <v>-733.99999999999966</v>
      </c>
      <c r="R799" s="1" t="s">
        <v>162</v>
      </c>
      <c r="S799" s="1">
        <v>416</v>
      </c>
      <c r="T799" s="1">
        <v>435</v>
      </c>
    </row>
    <row r="800" spans="1:20" ht="21" customHeight="1">
      <c r="A800" s="8">
        <v>46269</v>
      </c>
      <c r="B800" s="1" t="s">
        <v>36</v>
      </c>
      <c r="C800" s="1" t="s">
        <v>90</v>
      </c>
      <c r="D800" s="7">
        <v>5000</v>
      </c>
      <c r="E800" s="7">
        <v>4800</v>
      </c>
      <c r="F800" s="7"/>
      <c r="G800" s="7">
        <f>'Option source'!B573</f>
        <v>3.15</v>
      </c>
      <c r="H800" s="7">
        <f>'Option source'!B554</f>
        <v>1.8</v>
      </c>
      <c r="I800" s="7"/>
      <c r="J800" s="7">
        <f t="shared" si="84"/>
        <v>-0.45000000000000018</v>
      </c>
      <c r="K800" s="7">
        <f t="shared" si="85"/>
        <v>200</v>
      </c>
      <c r="L800" s="7">
        <f t="shared" si="86"/>
        <v>200.45</v>
      </c>
      <c r="M800" s="7">
        <f t="shared" si="87"/>
        <v>4599.55</v>
      </c>
      <c r="N800" s="7">
        <f t="shared" si="88"/>
        <v>4599.55</v>
      </c>
      <c r="O800" s="7" t="str">
        <f t="shared" si="89"/>
        <v>n.a.</v>
      </c>
      <c r="P800" s="15" t="str">
        <f t="shared" si="90"/>
        <v>n.a.</v>
      </c>
      <c r="Q800" s="7">
        <f>J800*'Model inputs'!$B$8</f>
        <v>-45.000000000000014</v>
      </c>
      <c r="R800" s="1" t="s">
        <v>162</v>
      </c>
      <c r="S800" s="1">
        <v>568</v>
      </c>
      <c r="T800" s="1">
        <v>549</v>
      </c>
    </row>
    <row r="801" spans="1:20" ht="21" customHeight="1">
      <c r="A801" s="8">
        <v>46269</v>
      </c>
      <c r="B801" s="1" t="s">
        <v>36</v>
      </c>
      <c r="C801" s="1" t="s">
        <v>90</v>
      </c>
      <c r="D801" s="7">
        <v>4800</v>
      </c>
      <c r="E801" s="7">
        <v>4600</v>
      </c>
      <c r="F801" s="7"/>
      <c r="G801" s="7">
        <f>'Option source'!B554</f>
        <v>1.8</v>
      </c>
      <c r="H801" s="7">
        <f>'Option source'!B535</f>
        <v>1.4</v>
      </c>
      <c r="I801" s="7"/>
      <c r="J801" s="7">
        <f t="shared" si="84"/>
        <v>-0.99999999999999978</v>
      </c>
      <c r="K801" s="7">
        <f t="shared" si="85"/>
        <v>200</v>
      </c>
      <c r="L801" s="7">
        <f t="shared" si="86"/>
        <v>201</v>
      </c>
      <c r="M801" s="7">
        <f t="shared" si="87"/>
        <v>4399</v>
      </c>
      <c r="N801" s="7">
        <f t="shared" si="88"/>
        <v>4399</v>
      </c>
      <c r="O801" s="7" t="str">
        <f t="shared" si="89"/>
        <v>n.a.</v>
      </c>
      <c r="P801" s="15" t="str">
        <f t="shared" si="90"/>
        <v>n.a.</v>
      </c>
      <c r="Q801" s="7">
        <f>J801*'Model inputs'!$B$8</f>
        <v>-99.999999999999972</v>
      </c>
      <c r="R801" s="1" t="s">
        <v>162</v>
      </c>
      <c r="S801" s="1">
        <v>549</v>
      </c>
      <c r="T801" s="1">
        <v>530</v>
      </c>
    </row>
    <row r="802" spans="1:20" ht="21" customHeight="1">
      <c r="A802" s="8">
        <v>46269</v>
      </c>
      <c r="B802" s="1" t="s">
        <v>36</v>
      </c>
      <c r="C802" s="1" t="s">
        <v>87</v>
      </c>
      <c r="D802" s="7">
        <v>9200</v>
      </c>
      <c r="E802" s="7">
        <v>9500</v>
      </c>
      <c r="F802" s="7"/>
      <c r="G802" s="7">
        <f>'Option source'!B440</f>
        <v>21.04</v>
      </c>
      <c r="H802" s="7">
        <f>'Option source'!B459</f>
        <v>14.06</v>
      </c>
      <c r="I802" s="7"/>
      <c r="J802" s="7">
        <f t="shared" si="84"/>
        <v>-7.0800000000000018</v>
      </c>
      <c r="K802" s="7">
        <f t="shared" si="85"/>
        <v>300</v>
      </c>
      <c r="L802" s="7">
        <f t="shared" si="86"/>
        <v>307.08</v>
      </c>
      <c r="M802" s="7" t="str">
        <f t="shared" si="87"/>
        <v>Unlimited</v>
      </c>
      <c r="N802" s="7" t="str">
        <f t="shared" si="88"/>
        <v>n.a.</v>
      </c>
      <c r="O802" s="7">
        <f t="shared" si="89"/>
        <v>9807.08</v>
      </c>
      <c r="P802" s="15" t="str">
        <f t="shared" si="90"/>
        <v>n.a.</v>
      </c>
      <c r="Q802" s="7">
        <f>J802*'Model inputs'!$B$8</f>
        <v>-708.00000000000023</v>
      </c>
      <c r="R802" s="1" t="s">
        <v>162</v>
      </c>
      <c r="S802" s="1">
        <v>435</v>
      </c>
      <c r="T802" s="1">
        <v>454</v>
      </c>
    </row>
    <row r="803" spans="1:20" ht="21" customHeight="1">
      <c r="A803" s="8">
        <v>46269</v>
      </c>
      <c r="B803" s="1" t="s">
        <v>36</v>
      </c>
      <c r="C803" s="1" t="s">
        <v>90</v>
      </c>
      <c r="D803" s="7">
        <v>4600</v>
      </c>
      <c r="E803" s="7">
        <v>4400</v>
      </c>
      <c r="F803" s="7"/>
      <c r="G803" s="7">
        <f>'Option source'!B535</f>
        <v>1.4</v>
      </c>
      <c r="H803" s="7">
        <f>'Option source'!B516</f>
        <v>1.17</v>
      </c>
      <c r="I803" s="7"/>
      <c r="J803" s="7">
        <f t="shared" si="84"/>
        <v>-0.94</v>
      </c>
      <c r="K803" s="7">
        <f t="shared" si="85"/>
        <v>200</v>
      </c>
      <c r="L803" s="7">
        <f t="shared" si="86"/>
        <v>200.94</v>
      </c>
      <c r="M803" s="7">
        <f t="shared" si="87"/>
        <v>4199.0600000000004</v>
      </c>
      <c r="N803" s="7">
        <f t="shared" si="88"/>
        <v>4199.0600000000004</v>
      </c>
      <c r="O803" s="7" t="str">
        <f t="shared" si="89"/>
        <v>n.a.</v>
      </c>
      <c r="P803" s="15" t="str">
        <f t="shared" si="90"/>
        <v>n.a.</v>
      </c>
      <c r="Q803" s="7">
        <f>J803*'Model inputs'!$B$8</f>
        <v>-94</v>
      </c>
      <c r="R803" s="1" t="s">
        <v>162</v>
      </c>
      <c r="S803" s="1">
        <v>530</v>
      </c>
      <c r="T803" s="1">
        <v>511</v>
      </c>
    </row>
    <row r="804" spans="1:20" ht="21" customHeight="1">
      <c r="A804" s="8">
        <v>46269</v>
      </c>
      <c r="B804" s="1" t="s">
        <v>36</v>
      </c>
      <c r="C804" s="1" t="s">
        <v>90</v>
      </c>
      <c r="D804" s="7">
        <v>4400</v>
      </c>
      <c r="E804" s="7">
        <v>4200</v>
      </c>
      <c r="F804" s="7"/>
      <c r="G804" s="7">
        <f>'Option source'!B516</f>
        <v>1.17</v>
      </c>
      <c r="H804" s="7">
        <f>'Option source'!B497</f>
        <v>1.0900000000000001</v>
      </c>
      <c r="I804" s="7"/>
      <c r="J804" s="7">
        <f t="shared" si="84"/>
        <v>-1.0100000000000002</v>
      </c>
      <c r="K804" s="7">
        <f t="shared" si="85"/>
        <v>200</v>
      </c>
      <c r="L804" s="7">
        <f t="shared" si="86"/>
        <v>201.01</v>
      </c>
      <c r="M804" s="7">
        <f t="shared" si="87"/>
        <v>3998.99</v>
      </c>
      <c r="N804" s="7">
        <f t="shared" si="88"/>
        <v>3998.99</v>
      </c>
      <c r="O804" s="7" t="str">
        <f t="shared" si="89"/>
        <v>n.a.</v>
      </c>
      <c r="P804" s="15" t="str">
        <f t="shared" si="90"/>
        <v>n.a.</v>
      </c>
      <c r="Q804" s="7">
        <f>J804*'Model inputs'!$B$8</f>
        <v>-101.00000000000003</v>
      </c>
      <c r="R804" s="1" t="s">
        <v>162</v>
      </c>
      <c r="S804" s="1">
        <v>511</v>
      </c>
      <c r="T804" s="1">
        <v>492</v>
      </c>
    </row>
    <row r="805" spans="1:20" ht="21" customHeight="1">
      <c r="A805" s="8">
        <v>46269</v>
      </c>
      <c r="B805" s="1" t="s">
        <v>36</v>
      </c>
      <c r="C805" s="1" t="s">
        <v>87</v>
      </c>
      <c r="D805" s="7">
        <v>9500</v>
      </c>
      <c r="E805" s="7">
        <v>9900</v>
      </c>
      <c r="F805" s="7"/>
      <c r="G805" s="7">
        <f>'Option source'!B459</f>
        <v>14.06</v>
      </c>
      <c r="H805" s="7">
        <f>'Option source'!B478</f>
        <v>8.02</v>
      </c>
      <c r="I805" s="7"/>
      <c r="J805" s="7">
        <f t="shared" si="84"/>
        <v>-1.9799999999999986</v>
      </c>
      <c r="K805" s="7">
        <f t="shared" si="85"/>
        <v>400</v>
      </c>
      <c r="L805" s="7">
        <f t="shared" si="86"/>
        <v>401.98</v>
      </c>
      <c r="M805" s="7" t="str">
        <f t="shared" si="87"/>
        <v>Unlimited</v>
      </c>
      <c r="N805" s="7" t="str">
        <f t="shared" si="88"/>
        <v>n.a.</v>
      </c>
      <c r="O805" s="7">
        <f t="shared" si="89"/>
        <v>10301.98</v>
      </c>
      <c r="P805" s="15" t="str">
        <f t="shared" si="90"/>
        <v>n.a.</v>
      </c>
      <c r="Q805" s="7">
        <f>J805*'Model inputs'!$B$8</f>
        <v>-197.99999999999986</v>
      </c>
      <c r="R805" s="1" t="s">
        <v>162</v>
      </c>
      <c r="S805" s="1">
        <v>454</v>
      </c>
      <c r="T805" s="1">
        <v>473</v>
      </c>
    </row>
    <row r="806" spans="1:20" ht="21" customHeight="1">
      <c r="A806" s="8">
        <v>46269</v>
      </c>
      <c r="B806" s="1" t="s">
        <v>36</v>
      </c>
      <c r="C806" s="1" t="s">
        <v>87</v>
      </c>
      <c r="D806" s="7">
        <v>6400</v>
      </c>
      <c r="E806" s="7">
        <v>6600</v>
      </c>
      <c r="F806" s="7"/>
      <c r="G806" s="7">
        <f>'Option source'!B212</f>
        <v>850</v>
      </c>
      <c r="H806" s="7">
        <f>'Option source'!B231</f>
        <v>738.92</v>
      </c>
      <c r="I806" s="7"/>
      <c r="J806" s="7">
        <f t="shared" si="84"/>
        <v>-627.83999999999992</v>
      </c>
      <c r="K806" s="7">
        <f t="shared" si="85"/>
        <v>200</v>
      </c>
      <c r="L806" s="7">
        <f t="shared" si="86"/>
        <v>827.83999999999992</v>
      </c>
      <c r="M806" s="7" t="str">
        <f t="shared" si="87"/>
        <v>Unlimited</v>
      </c>
      <c r="N806" s="7" t="str">
        <f t="shared" si="88"/>
        <v>n.a.</v>
      </c>
      <c r="O806" s="7">
        <f t="shared" si="89"/>
        <v>7427.84</v>
      </c>
      <c r="P806" s="15" t="str">
        <f t="shared" si="90"/>
        <v>n.a.</v>
      </c>
      <c r="Q806" s="7">
        <f>J806*'Model inputs'!$B$8</f>
        <v>-62783.999999999993</v>
      </c>
      <c r="R806" s="1" t="s">
        <v>164</v>
      </c>
      <c r="S806" s="1">
        <v>207</v>
      </c>
      <c r="T806" s="1">
        <v>226</v>
      </c>
    </row>
    <row r="807" spans="1:20" ht="21" customHeight="1">
      <c r="A807" s="8">
        <v>46269</v>
      </c>
      <c r="B807" s="1" t="s">
        <v>36</v>
      </c>
      <c r="C807" s="1" t="s">
        <v>90</v>
      </c>
      <c r="D807" s="7">
        <v>7800</v>
      </c>
      <c r="E807" s="7">
        <v>7600</v>
      </c>
      <c r="F807" s="7"/>
      <c r="G807" s="7">
        <f>'Option source'!B839</f>
        <v>780</v>
      </c>
      <c r="H807" s="7">
        <f>'Option source'!B820</f>
        <v>660</v>
      </c>
      <c r="I807" s="7"/>
      <c r="J807" s="7">
        <f t="shared" si="84"/>
        <v>-540</v>
      </c>
      <c r="K807" s="7">
        <f t="shared" si="85"/>
        <v>200</v>
      </c>
      <c r="L807" s="7">
        <f t="shared" si="86"/>
        <v>740</v>
      </c>
      <c r="M807" s="7">
        <f t="shared" si="87"/>
        <v>6860</v>
      </c>
      <c r="N807" s="7">
        <f t="shared" si="88"/>
        <v>6860</v>
      </c>
      <c r="O807" s="7" t="str">
        <f t="shared" si="89"/>
        <v>n.a.</v>
      </c>
      <c r="P807" s="15" t="str">
        <f t="shared" si="90"/>
        <v>n.a.</v>
      </c>
      <c r="Q807" s="7">
        <f>J807*'Model inputs'!$B$8</f>
        <v>-54000</v>
      </c>
      <c r="R807" s="1" t="s">
        <v>164</v>
      </c>
      <c r="S807" s="1">
        <v>834</v>
      </c>
      <c r="T807" s="1">
        <v>815</v>
      </c>
    </row>
    <row r="808" spans="1:20" ht="21" customHeight="1">
      <c r="A808" s="8">
        <v>46269</v>
      </c>
      <c r="B808" s="1" t="s">
        <v>36</v>
      </c>
      <c r="C808" s="1" t="s">
        <v>87</v>
      </c>
      <c r="D808" s="7">
        <v>6200</v>
      </c>
      <c r="E808" s="7">
        <v>6400</v>
      </c>
      <c r="F808" s="7"/>
      <c r="G808" s="7">
        <f>'Option source'!B193</f>
        <v>1015</v>
      </c>
      <c r="H808" s="7">
        <f>'Option source'!B212</f>
        <v>850</v>
      </c>
      <c r="I808" s="7"/>
      <c r="J808" s="7">
        <f t="shared" si="84"/>
        <v>-685</v>
      </c>
      <c r="K808" s="7">
        <f t="shared" si="85"/>
        <v>200</v>
      </c>
      <c r="L808" s="7">
        <f t="shared" si="86"/>
        <v>885</v>
      </c>
      <c r="M808" s="7" t="str">
        <f t="shared" si="87"/>
        <v>Unlimited</v>
      </c>
      <c r="N808" s="7" t="str">
        <f t="shared" si="88"/>
        <v>n.a.</v>
      </c>
      <c r="O808" s="7">
        <f t="shared" si="89"/>
        <v>7285</v>
      </c>
      <c r="P808" s="15" t="str">
        <f t="shared" si="90"/>
        <v>n.a.</v>
      </c>
      <c r="Q808" s="7">
        <f>J808*'Model inputs'!$B$8</f>
        <v>-68500</v>
      </c>
      <c r="R808" s="1" t="s">
        <v>164</v>
      </c>
      <c r="S808" s="1">
        <v>188</v>
      </c>
      <c r="T808" s="1">
        <v>207</v>
      </c>
    </row>
    <row r="809" spans="1:20" ht="21" customHeight="1">
      <c r="A809" s="8">
        <v>46269</v>
      </c>
      <c r="B809" s="1" t="s">
        <v>36</v>
      </c>
      <c r="C809" s="1" t="s">
        <v>90</v>
      </c>
      <c r="D809" s="7">
        <v>8000</v>
      </c>
      <c r="E809" s="7">
        <v>7800</v>
      </c>
      <c r="F809" s="7"/>
      <c r="G809" s="7">
        <f>'Option source'!B858</f>
        <v>1000</v>
      </c>
      <c r="H809" s="7">
        <f>'Option source'!B839</f>
        <v>780</v>
      </c>
      <c r="I809" s="7"/>
      <c r="J809" s="7">
        <f t="shared" si="84"/>
        <v>-560</v>
      </c>
      <c r="K809" s="7">
        <f t="shared" si="85"/>
        <v>200</v>
      </c>
      <c r="L809" s="7">
        <f t="shared" si="86"/>
        <v>760</v>
      </c>
      <c r="M809" s="7">
        <f t="shared" si="87"/>
        <v>7040</v>
      </c>
      <c r="N809" s="7">
        <f t="shared" si="88"/>
        <v>7040</v>
      </c>
      <c r="O809" s="7" t="str">
        <f t="shared" si="89"/>
        <v>n.a.</v>
      </c>
      <c r="P809" s="15" t="str">
        <f t="shared" si="90"/>
        <v>n.a.</v>
      </c>
      <c r="Q809" s="7">
        <f>J809*'Model inputs'!$B$8</f>
        <v>-56000</v>
      </c>
      <c r="R809" s="1" t="s">
        <v>164</v>
      </c>
      <c r="S809" s="1">
        <v>853</v>
      </c>
      <c r="T809" s="1">
        <v>834</v>
      </c>
    </row>
    <row r="810" spans="1:20" ht="21" customHeight="1">
      <c r="A810" s="8">
        <v>46269</v>
      </c>
      <c r="B810" s="1" t="s">
        <v>36</v>
      </c>
      <c r="C810" s="1" t="s">
        <v>87</v>
      </c>
      <c r="D810" s="7">
        <v>6000</v>
      </c>
      <c r="E810" s="7">
        <v>6200</v>
      </c>
      <c r="F810" s="7"/>
      <c r="G810" s="7">
        <f>'Option source'!B174</f>
        <v>1200.05</v>
      </c>
      <c r="H810" s="7">
        <f>'Option source'!B193</f>
        <v>1015</v>
      </c>
      <c r="I810" s="7"/>
      <c r="J810" s="7">
        <f t="shared" si="84"/>
        <v>-829.95</v>
      </c>
      <c r="K810" s="7">
        <f t="shared" si="85"/>
        <v>200</v>
      </c>
      <c r="L810" s="7">
        <f t="shared" si="86"/>
        <v>1029.95</v>
      </c>
      <c r="M810" s="7" t="str">
        <f t="shared" si="87"/>
        <v>Unlimited</v>
      </c>
      <c r="N810" s="7" t="str">
        <f t="shared" si="88"/>
        <v>n.a.</v>
      </c>
      <c r="O810" s="7">
        <f t="shared" si="89"/>
        <v>7229.95</v>
      </c>
      <c r="P810" s="15" t="str">
        <f t="shared" si="90"/>
        <v>n.a.</v>
      </c>
      <c r="Q810" s="7">
        <f>J810*'Model inputs'!$B$8</f>
        <v>-82995</v>
      </c>
      <c r="R810" s="1" t="s">
        <v>164</v>
      </c>
      <c r="S810" s="1">
        <v>169</v>
      </c>
      <c r="T810" s="1">
        <v>188</v>
      </c>
    </row>
    <row r="811" spans="1:20" ht="21" customHeight="1">
      <c r="A811" s="8">
        <v>46269</v>
      </c>
      <c r="B811" s="1" t="s">
        <v>36</v>
      </c>
      <c r="C811" s="1" t="s">
        <v>87</v>
      </c>
      <c r="D811" s="7">
        <v>5800</v>
      </c>
      <c r="E811" s="7">
        <v>6000</v>
      </c>
      <c r="F811" s="7"/>
      <c r="G811" s="7">
        <f>'Option source'!B155</f>
        <v>1490</v>
      </c>
      <c r="H811" s="7">
        <f>'Option source'!B174</f>
        <v>1200.05</v>
      </c>
      <c r="I811" s="7"/>
      <c r="J811" s="7">
        <f t="shared" si="84"/>
        <v>-910.09999999999991</v>
      </c>
      <c r="K811" s="7">
        <f t="shared" si="85"/>
        <v>200</v>
      </c>
      <c r="L811" s="7">
        <f t="shared" si="86"/>
        <v>1110.0999999999999</v>
      </c>
      <c r="M811" s="7" t="str">
        <f t="shared" si="87"/>
        <v>Unlimited</v>
      </c>
      <c r="N811" s="7" t="str">
        <f t="shared" si="88"/>
        <v>n.a.</v>
      </c>
      <c r="O811" s="7">
        <f t="shared" si="89"/>
        <v>7110.1</v>
      </c>
      <c r="P811" s="15" t="str">
        <f t="shared" si="90"/>
        <v>n.a.</v>
      </c>
      <c r="Q811" s="7">
        <f>J811*'Model inputs'!$B$8</f>
        <v>-91009.999999999985</v>
      </c>
      <c r="R811" s="1" t="s">
        <v>164</v>
      </c>
      <c r="S811" s="1">
        <v>150</v>
      </c>
      <c r="T811" s="1">
        <v>169</v>
      </c>
    </row>
    <row r="812" spans="1:20" ht="21" customHeight="1">
      <c r="A812" s="8">
        <v>46269</v>
      </c>
      <c r="B812" s="1" t="s">
        <v>36</v>
      </c>
      <c r="C812" s="1" t="s">
        <v>87</v>
      </c>
      <c r="D812" s="7">
        <v>5600</v>
      </c>
      <c r="E812" s="7">
        <v>5800</v>
      </c>
      <c r="F812" s="7"/>
      <c r="G812" s="7">
        <f>'Option source'!B145</f>
        <v>1600</v>
      </c>
      <c r="H812" s="7">
        <f>'Option source'!B155</f>
        <v>1490</v>
      </c>
      <c r="I812" s="7"/>
      <c r="J812" s="7">
        <f t="shared" si="84"/>
        <v>-1380</v>
      </c>
      <c r="K812" s="7">
        <f t="shared" si="85"/>
        <v>200</v>
      </c>
      <c r="L812" s="7">
        <f t="shared" si="86"/>
        <v>1580</v>
      </c>
      <c r="M812" s="7" t="str">
        <f t="shared" si="87"/>
        <v>Unlimited</v>
      </c>
      <c r="N812" s="7" t="str">
        <f t="shared" si="88"/>
        <v>n.a.</v>
      </c>
      <c r="O812" s="7">
        <f t="shared" si="89"/>
        <v>7380</v>
      </c>
      <c r="P812" s="15" t="str">
        <f t="shared" si="90"/>
        <v>n.a.</v>
      </c>
      <c r="Q812" s="7">
        <f>J812*'Model inputs'!$B$8</f>
        <v>-138000</v>
      </c>
      <c r="R812" s="1" t="s">
        <v>164</v>
      </c>
      <c r="S812" s="1">
        <v>140</v>
      </c>
      <c r="T812" s="1">
        <v>150</v>
      </c>
    </row>
    <row r="813" spans="1:20" ht="21" customHeight="1">
      <c r="A813" s="8">
        <v>46269</v>
      </c>
      <c r="B813" s="1" t="s">
        <v>36</v>
      </c>
      <c r="C813" s="1" t="s">
        <v>90</v>
      </c>
      <c r="D813" s="7">
        <v>8600</v>
      </c>
      <c r="E813" s="7">
        <v>8300</v>
      </c>
      <c r="F813" s="7"/>
      <c r="G813" s="7">
        <f>'Option source'!B896</f>
        <v>1555.11</v>
      </c>
      <c r="H813" s="7">
        <f>'Option source'!B877</f>
        <v>1350</v>
      </c>
      <c r="I813" s="7"/>
      <c r="J813" s="7">
        <f t="shared" si="84"/>
        <v>-1144.8900000000001</v>
      </c>
      <c r="K813" s="7">
        <f t="shared" si="85"/>
        <v>300</v>
      </c>
      <c r="L813" s="7">
        <f t="shared" si="86"/>
        <v>1444.89</v>
      </c>
      <c r="M813" s="7">
        <f t="shared" si="87"/>
        <v>6855.11</v>
      </c>
      <c r="N813" s="7">
        <f t="shared" si="88"/>
        <v>6855.11</v>
      </c>
      <c r="O813" s="7" t="str">
        <f t="shared" si="89"/>
        <v>n.a.</v>
      </c>
      <c r="P813" s="15" t="str">
        <f t="shared" si="90"/>
        <v>n.a.</v>
      </c>
      <c r="Q813" s="7">
        <f>J813*'Model inputs'!$B$8</f>
        <v>-114489.00000000001</v>
      </c>
      <c r="R813" s="1" t="s">
        <v>164</v>
      </c>
      <c r="S813" s="1">
        <v>891</v>
      </c>
      <c r="T813" s="1">
        <v>872</v>
      </c>
    </row>
    <row r="814" spans="1:20" ht="21" customHeight="1">
      <c r="A814" s="8">
        <v>46269</v>
      </c>
      <c r="B814" s="1" t="s">
        <v>36</v>
      </c>
      <c r="C814" s="1" t="s">
        <v>87</v>
      </c>
      <c r="D814" s="7">
        <v>5400</v>
      </c>
      <c r="E814" s="7">
        <v>5600</v>
      </c>
      <c r="F814" s="7"/>
      <c r="G814" s="7">
        <f>'Option source'!B127</f>
        <v>1680.06</v>
      </c>
      <c r="H814" s="7">
        <f>'Option source'!B145</f>
        <v>1600</v>
      </c>
      <c r="I814" s="7"/>
      <c r="J814" s="7">
        <f t="shared" si="84"/>
        <v>-1519.94</v>
      </c>
      <c r="K814" s="7">
        <f t="shared" si="85"/>
        <v>200</v>
      </c>
      <c r="L814" s="7">
        <f t="shared" si="86"/>
        <v>1719.94</v>
      </c>
      <c r="M814" s="7" t="str">
        <f t="shared" si="87"/>
        <v>Unlimited</v>
      </c>
      <c r="N814" s="7" t="str">
        <f t="shared" si="88"/>
        <v>n.a.</v>
      </c>
      <c r="O814" s="7">
        <f t="shared" si="89"/>
        <v>7319.9400000000005</v>
      </c>
      <c r="P814" s="15" t="str">
        <f t="shared" si="90"/>
        <v>n.a.</v>
      </c>
      <c r="Q814" s="7">
        <f>J814*'Model inputs'!$B$8</f>
        <v>-151994</v>
      </c>
      <c r="R814" s="1" t="s">
        <v>164</v>
      </c>
      <c r="S814" s="1">
        <v>122</v>
      </c>
      <c r="T814" s="1">
        <v>140</v>
      </c>
    </row>
    <row r="815" spans="1:20" ht="21" customHeight="1">
      <c r="A815" s="8">
        <v>46269</v>
      </c>
      <c r="B815" s="1" t="s">
        <v>36</v>
      </c>
      <c r="C815" s="1" t="s">
        <v>90</v>
      </c>
      <c r="D815" s="7">
        <v>8900</v>
      </c>
      <c r="E815" s="7">
        <v>8600</v>
      </c>
      <c r="F815" s="7"/>
      <c r="G815" s="7">
        <f>'Option source'!B911</f>
        <v>2022.5</v>
      </c>
      <c r="H815" s="7">
        <f>'Option source'!B896</f>
        <v>1555.11</v>
      </c>
      <c r="I815" s="7"/>
      <c r="J815" s="7">
        <f t="shared" si="84"/>
        <v>-1087.7199999999998</v>
      </c>
      <c r="K815" s="7">
        <f t="shared" si="85"/>
        <v>300</v>
      </c>
      <c r="L815" s="7">
        <f t="shared" si="86"/>
        <v>1387.7199999999998</v>
      </c>
      <c r="M815" s="7">
        <f t="shared" si="87"/>
        <v>7212.2800000000007</v>
      </c>
      <c r="N815" s="7">
        <f t="shared" si="88"/>
        <v>7212.2800000000007</v>
      </c>
      <c r="O815" s="7" t="str">
        <f t="shared" si="89"/>
        <v>n.a.</v>
      </c>
      <c r="P815" s="15" t="str">
        <f t="shared" si="90"/>
        <v>n.a.</v>
      </c>
      <c r="Q815" s="7">
        <f>J815*'Model inputs'!$B$8</f>
        <v>-108771.99999999999</v>
      </c>
      <c r="R815" s="1" t="s">
        <v>164</v>
      </c>
      <c r="S815" s="1">
        <v>906</v>
      </c>
      <c r="T815" s="1">
        <v>891</v>
      </c>
    </row>
    <row r="816" spans="1:20" ht="21" customHeight="1">
      <c r="A816" s="8">
        <v>46269</v>
      </c>
      <c r="B816" s="1" t="s">
        <v>36</v>
      </c>
      <c r="C816" s="1" t="s">
        <v>87</v>
      </c>
      <c r="D816" s="7">
        <v>5200</v>
      </c>
      <c r="E816" s="7">
        <v>5400</v>
      </c>
      <c r="F816" s="7"/>
      <c r="G816" s="7">
        <f>'Option source'!B108</f>
        <v>2076.9299999999998</v>
      </c>
      <c r="H816" s="7">
        <f>'Option source'!B127</f>
        <v>1680.06</v>
      </c>
      <c r="I816" s="7"/>
      <c r="J816" s="7">
        <f t="shared" si="84"/>
        <v>-1283.19</v>
      </c>
      <c r="K816" s="7">
        <f t="shared" si="85"/>
        <v>200</v>
      </c>
      <c r="L816" s="7">
        <f t="shared" si="86"/>
        <v>1483.19</v>
      </c>
      <c r="M816" s="7" t="str">
        <f t="shared" si="87"/>
        <v>Unlimited</v>
      </c>
      <c r="N816" s="7" t="str">
        <f t="shared" si="88"/>
        <v>n.a.</v>
      </c>
      <c r="O816" s="7">
        <f t="shared" si="89"/>
        <v>6883.1900000000005</v>
      </c>
      <c r="P816" s="15" t="str">
        <f t="shared" si="90"/>
        <v>n.a.</v>
      </c>
      <c r="Q816" s="7">
        <f>J816*'Model inputs'!$B$8</f>
        <v>-128319</v>
      </c>
      <c r="R816" s="1" t="s">
        <v>164</v>
      </c>
      <c r="S816" s="1">
        <v>103</v>
      </c>
      <c r="T816" s="1">
        <v>122</v>
      </c>
    </row>
    <row r="817" spans="1:20" ht="21" customHeight="1">
      <c r="A817" s="8">
        <v>46269</v>
      </c>
      <c r="B817" s="1" t="s">
        <v>36</v>
      </c>
      <c r="C817" s="1" t="s">
        <v>87</v>
      </c>
      <c r="D817" s="7">
        <v>5000</v>
      </c>
      <c r="E817" s="7">
        <v>5200</v>
      </c>
      <c r="F817" s="7"/>
      <c r="G817" s="7">
        <f>'Option source'!B89</f>
        <v>2133.58</v>
      </c>
      <c r="H817" s="7">
        <f>'Option source'!B108</f>
        <v>2076.9299999999998</v>
      </c>
      <c r="I817" s="7"/>
      <c r="J817" s="7">
        <f t="shared" si="84"/>
        <v>-2020.2799999999997</v>
      </c>
      <c r="K817" s="7">
        <f t="shared" si="85"/>
        <v>200</v>
      </c>
      <c r="L817" s="7">
        <f t="shared" si="86"/>
        <v>2220.2799999999997</v>
      </c>
      <c r="M817" s="7" t="str">
        <f t="shared" si="87"/>
        <v>Unlimited</v>
      </c>
      <c r="N817" s="7" t="str">
        <f t="shared" si="88"/>
        <v>n.a.</v>
      </c>
      <c r="O817" s="7">
        <f t="shared" si="89"/>
        <v>7420.28</v>
      </c>
      <c r="P817" s="15" t="str">
        <f t="shared" si="90"/>
        <v>n.a.</v>
      </c>
      <c r="Q817" s="7">
        <f>J817*'Model inputs'!$B$8</f>
        <v>-202027.99999999997</v>
      </c>
      <c r="R817" s="1" t="s">
        <v>164</v>
      </c>
      <c r="S817" s="1">
        <v>84</v>
      </c>
      <c r="T817" s="1">
        <v>103</v>
      </c>
    </row>
    <row r="818" spans="1:20" ht="21" customHeight="1">
      <c r="A818" s="8">
        <v>46269</v>
      </c>
      <c r="B818" s="1" t="s">
        <v>36</v>
      </c>
      <c r="C818" s="1" t="s">
        <v>87</v>
      </c>
      <c r="D818" s="7">
        <v>4800</v>
      </c>
      <c r="E818" s="7">
        <v>5000</v>
      </c>
      <c r="F818" s="7"/>
      <c r="G818" s="7">
        <f>'Option source'!B72</f>
        <v>2375</v>
      </c>
      <c r="H818" s="7">
        <f>'Option source'!B89</f>
        <v>2133.58</v>
      </c>
      <c r="I818" s="7"/>
      <c r="J818" s="7">
        <f t="shared" si="84"/>
        <v>-1892.1599999999999</v>
      </c>
      <c r="K818" s="7">
        <f t="shared" si="85"/>
        <v>200</v>
      </c>
      <c r="L818" s="7">
        <f t="shared" si="86"/>
        <v>2092.16</v>
      </c>
      <c r="M818" s="7" t="str">
        <f t="shared" si="87"/>
        <v>Unlimited</v>
      </c>
      <c r="N818" s="7" t="str">
        <f t="shared" si="88"/>
        <v>n.a.</v>
      </c>
      <c r="O818" s="7">
        <f t="shared" si="89"/>
        <v>7092.16</v>
      </c>
      <c r="P818" s="15" t="str">
        <f t="shared" si="90"/>
        <v>n.a.</v>
      </c>
      <c r="Q818" s="7">
        <f>J818*'Model inputs'!$B$8</f>
        <v>-189216</v>
      </c>
      <c r="R818" s="1" t="s">
        <v>164</v>
      </c>
      <c r="S818" s="1">
        <v>67</v>
      </c>
      <c r="T818" s="1">
        <v>84</v>
      </c>
    </row>
    <row r="819" spans="1:20" ht="21" customHeight="1">
      <c r="A819" s="8">
        <v>46269</v>
      </c>
      <c r="B819" s="1" t="s">
        <v>36</v>
      </c>
      <c r="C819" s="1" t="s">
        <v>87</v>
      </c>
      <c r="D819" s="7">
        <v>4600</v>
      </c>
      <c r="E819" s="7">
        <v>4800</v>
      </c>
      <c r="F819" s="7"/>
      <c r="G819" s="7">
        <f>'Option source'!B55</f>
        <v>2502.92</v>
      </c>
      <c r="H819" s="7">
        <f>'Option source'!B72</f>
        <v>2375</v>
      </c>
      <c r="I819" s="7"/>
      <c r="J819" s="7">
        <f t="shared" si="84"/>
        <v>-2247.08</v>
      </c>
      <c r="K819" s="7">
        <f t="shared" si="85"/>
        <v>200</v>
      </c>
      <c r="L819" s="7">
        <f t="shared" si="86"/>
        <v>2447.08</v>
      </c>
      <c r="M819" s="7" t="str">
        <f t="shared" si="87"/>
        <v>Unlimited</v>
      </c>
      <c r="N819" s="7" t="str">
        <f t="shared" si="88"/>
        <v>n.a.</v>
      </c>
      <c r="O819" s="7">
        <f t="shared" si="89"/>
        <v>7247.08</v>
      </c>
      <c r="P819" s="15" t="str">
        <f t="shared" si="90"/>
        <v>n.a.</v>
      </c>
      <c r="Q819" s="7">
        <f>J819*'Model inputs'!$B$8</f>
        <v>-224708</v>
      </c>
      <c r="R819" s="1" t="s">
        <v>164</v>
      </c>
      <c r="S819" s="1">
        <v>50</v>
      </c>
      <c r="T819" s="1">
        <v>67</v>
      </c>
    </row>
    <row r="820" spans="1:20" ht="21" customHeight="1">
      <c r="A820" s="8">
        <v>46269</v>
      </c>
      <c r="B820" s="1" t="s">
        <v>36</v>
      </c>
      <c r="C820" s="1" t="s">
        <v>87</v>
      </c>
      <c r="D820" s="7">
        <v>4400</v>
      </c>
      <c r="E820" s="7">
        <v>4600</v>
      </c>
      <c r="F820" s="7"/>
      <c r="G820" s="7">
        <f>'Option source'!B36</f>
        <v>2707.45</v>
      </c>
      <c r="H820" s="7">
        <f>'Option source'!B55</f>
        <v>2502.92</v>
      </c>
      <c r="I820" s="7"/>
      <c r="J820" s="7">
        <f t="shared" si="84"/>
        <v>-2298.3900000000003</v>
      </c>
      <c r="K820" s="7">
        <f t="shared" si="85"/>
        <v>200</v>
      </c>
      <c r="L820" s="7">
        <f t="shared" si="86"/>
        <v>2498.3900000000003</v>
      </c>
      <c r="M820" s="7" t="str">
        <f t="shared" si="87"/>
        <v>Unlimited</v>
      </c>
      <c r="N820" s="7" t="str">
        <f t="shared" si="88"/>
        <v>n.a.</v>
      </c>
      <c r="O820" s="7">
        <f t="shared" si="89"/>
        <v>7098.39</v>
      </c>
      <c r="P820" s="15" t="str">
        <f t="shared" si="90"/>
        <v>n.a.</v>
      </c>
      <c r="Q820" s="7">
        <f>J820*'Model inputs'!$B$8</f>
        <v>-229839.00000000003</v>
      </c>
      <c r="R820" s="1" t="s">
        <v>164</v>
      </c>
      <c r="S820" s="1">
        <v>31</v>
      </c>
      <c r="T820" s="1">
        <v>50</v>
      </c>
    </row>
    <row r="821" spans="1:20" ht="21" customHeight="1">
      <c r="A821" s="8">
        <v>46269</v>
      </c>
      <c r="B821" s="1" t="s">
        <v>36</v>
      </c>
      <c r="C821" s="1" t="s">
        <v>87</v>
      </c>
      <c r="D821" s="7">
        <v>4200</v>
      </c>
      <c r="E821" s="7">
        <v>4400</v>
      </c>
      <c r="F821" s="7"/>
      <c r="G821" s="7">
        <f>'Option source'!B17</f>
        <v>2964.84</v>
      </c>
      <c r="H821" s="7">
        <f>'Option source'!B36</f>
        <v>2707.45</v>
      </c>
      <c r="I821" s="7"/>
      <c r="J821" s="7">
        <f t="shared" si="84"/>
        <v>-2450.0599999999995</v>
      </c>
      <c r="K821" s="7">
        <f t="shared" si="85"/>
        <v>200</v>
      </c>
      <c r="L821" s="7">
        <f t="shared" si="86"/>
        <v>2650.0599999999995</v>
      </c>
      <c r="M821" s="7" t="str">
        <f t="shared" si="87"/>
        <v>Unlimited</v>
      </c>
      <c r="N821" s="7" t="str">
        <f t="shared" si="88"/>
        <v>n.a.</v>
      </c>
      <c r="O821" s="7">
        <f t="shared" si="89"/>
        <v>7050.0599999999995</v>
      </c>
      <c r="P821" s="15" t="str">
        <f t="shared" si="90"/>
        <v>n.a.</v>
      </c>
      <c r="Q821" s="7">
        <f>J821*'Model inputs'!$B$8</f>
        <v>-245005.99999999994</v>
      </c>
      <c r="R821" s="1" t="s">
        <v>164</v>
      </c>
      <c r="S821" s="1">
        <v>12</v>
      </c>
      <c r="T821" s="1">
        <v>31</v>
      </c>
    </row>
    <row r="822" spans="1:20" ht="21" customHeight="1">
      <c r="A822" s="8">
        <v>46268</v>
      </c>
      <c r="B822" s="1" t="s">
        <v>34</v>
      </c>
      <c r="C822" s="1" t="s">
        <v>87</v>
      </c>
      <c r="D822" s="7">
        <v>6800</v>
      </c>
      <c r="E822" s="7">
        <v>7000</v>
      </c>
      <c r="F822" s="7">
        <v>7200</v>
      </c>
      <c r="G822" s="7">
        <f>'Option source'!B249</f>
        <v>665.11</v>
      </c>
      <c r="H822" s="7">
        <f>'Option source'!B268</f>
        <v>547.83000000000004</v>
      </c>
      <c r="I822" s="7">
        <f>'Option source'!B287</f>
        <v>446.85</v>
      </c>
      <c r="J822" s="7">
        <f t="shared" si="84"/>
        <v>16.299999999999955</v>
      </c>
      <c r="K822" s="7">
        <f t="shared" si="85"/>
        <v>200</v>
      </c>
      <c r="L822" s="7">
        <f t="shared" si="86"/>
        <v>183.70000000000005</v>
      </c>
      <c r="M822" s="7">
        <f t="shared" si="87"/>
        <v>16.299999999999955</v>
      </c>
      <c r="N822" s="7">
        <f t="shared" si="88"/>
        <v>6816.3</v>
      </c>
      <c r="O822" s="7">
        <f t="shared" si="89"/>
        <v>7183.7</v>
      </c>
      <c r="P822" s="15">
        <f t="shared" si="90"/>
        <v>11.269938650306782</v>
      </c>
      <c r="Q822" s="7">
        <f>J822*'Model inputs'!$B$8</f>
        <v>1629.9999999999955</v>
      </c>
      <c r="R822" s="1" t="s">
        <v>162</v>
      </c>
      <c r="S822" s="1">
        <v>244</v>
      </c>
      <c r="T822" s="1">
        <v>263</v>
      </c>
    </row>
    <row r="823" spans="1:20" ht="21" customHeight="1">
      <c r="A823" s="8">
        <v>46268</v>
      </c>
      <c r="B823" s="1" t="s">
        <v>34</v>
      </c>
      <c r="C823" s="1" t="s">
        <v>90</v>
      </c>
      <c r="D823" s="7">
        <v>6800</v>
      </c>
      <c r="E823" s="7">
        <v>7000</v>
      </c>
      <c r="F823" s="7">
        <v>7200</v>
      </c>
      <c r="G823" s="7">
        <f>'Option source'!B743</f>
        <v>235.69</v>
      </c>
      <c r="H823" s="7">
        <f>'Option source'!B762</f>
        <v>315.24</v>
      </c>
      <c r="I823" s="7">
        <f>'Option source'!B781</f>
        <v>403.61</v>
      </c>
      <c r="J823" s="7">
        <f t="shared" si="84"/>
        <v>8.8199999999999932</v>
      </c>
      <c r="K823" s="7">
        <f t="shared" si="85"/>
        <v>200</v>
      </c>
      <c r="L823" s="7">
        <f t="shared" si="86"/>
        <v>191.18</v>
      </c>
      <c r="M823" s="7">
        <f t="shared" si="87"/>
        <v>8.8199999999999932</v>
      </c>
      <c r="N823" s="7">
        <f t="shared" si="88"/>
        <v>6808.82</v>
      </c>
      <c r="O823" s="7">
        <f t="shared" si="89"/>
        <v>7191.18</v>
      </c>
      <c r="P823" s="15">
        <f t="shared" si="90"/>
        <v>21.675736961451264</v>
      </c>
      <c r="Q823" s="7">
        <f>J823*'Model inputs'!$B$8</f>
        <v>881.99999999999932</v>
      </c>
      <c r="R823" s="1" t="s">
        <v>162</v>
      </c>
      <c r="S823" s="1">
        <v>738</v>
      </c>
      <c r="T823" s="1">
        <v>757</v>
      </c>
    </row>
    <row r="824" spans="1:20" ht="21" customHeight="1">
      <c r="A824" s="8">
        <v>46268</v>
      </c>
      <c r="B824" s="1" t="s">
        <v>34</v>
      </c>
      <c r="C824" s="1" t="s">
        <v>87</v>
      </c>
      <c r="D824" s="7">
        <v>7000</v>
      </c>
      <c r="E824" s="7">
        <v>7200</v>
      </c>
      <c r="F824" s="7">
        <v>7400</v>
      </c>
      <c r="G824" s="7">
        <f>'Option source'!B268</f>
        <v>547.83000000000004</v>
      </c>
      <c r="H824" s="7">
        <f>'Option source'!B287</f>
        <v>446.85</v>
      </c>
      <c r="I824" s="7">
        <f>'Option source'!B306</f>
        <v>355.55</v>
      </c>
      <c r="J824" s="7">
        <f t="shared" si="84"/>
        <v>9.6800000000000068</v>
      </c>
      <c r="K824" s="7">
        <f t="shared" si="85"/>
        <v>200</v>
      </c>
      <c r="L824" s="7">
        <f t="shared" si="86"/>
        <v>190.32</v>
      </c>
      <c r="M824" s="7">
        <f t="shared" si="87"/>
        <v>9.6800000000000068</v>
      </c>
      <c r="N824" s="7">
        <f t="shared" si="88"/>
        <v>7009.68</v>
      </c>
      <c r="O824" s="7">
        <f t="shared" si="89"/>
        <v>7390.32</v>
      </c>
      <c r="P824" s="15">
        <f t="shared" si="90"/>
        <v>19.661157024793376</v>
      </c>
      <c r="Q824" s="7">
        <f>J824*'Model inputs'!$B$8</f>
        <v>968.00000000000068</v>
      </c>
      <c r="R824" s="1" t="s">
        <v>162</v>
      </c>
      <c r="S824" s="1">
        <v>263</v>
      </c>
      <c r="T824" s="1">
        <v>282</v>
      </c>
    </row>
    <row r="825" spans="1:20" ht="21" customHeight="1">
      <c r="A825" s="8">
        <v>46268</v>
      </c>
      <c r="B825" s="1" t="s">
        <v>34</v>
      </c>
      <c r="C825" s="1" t="s">
        <v>90</v>
      </c>
      <c r="D825" s="7">
        <v>7000</v>
      </c>
      <c r="E825" s="7">
        <v>7200</v>
      </c>
      <c r="F825" s="7">
        <v>7400</v>
      </c>
      <c r="G825" s="7">
        <f>'Option source'!B762</f>
        <v>315.24</v>
      </c>
      <c r="H825" s="7">
        <f>'Option source'!B781</f>
        <v>403.61</v>
      </c>
      <c r="I825" s="7">
        <f>'Option source'!B800</f>
        <v>521.53</v>
      </c>
      <c r="J825" s="7">
        <f t="shared" si="84"/>
        <v>29.549999999999955</v>
      </c>
      <c r="K825" s="7">
        <f t="shared" si="85"/>
        <v>200</v>
      </c>
      <c r="L825" s="7">
        <f t="shared" si="86"/>
        <v>170.45000000000005</v>
      </c>
      <c r="M825" s="7">
        <f t="shared" si="87"/>
        <v>29.549999999999955</v>
      </c>
      <c r="N825" s="7">
        <f t="shared" si="88"/>
        <v>7029.55</v>
      </c>
      <c r="O825" s="7">
        <f t="shared" si="89"/>
        <v>7370.45</v>
      </c>
      <c r="P825" s="15">
        <f t="shared" si="90"/>
        <v>5.7681895093062714</v>
      </c>
      <c r="Q825" s="7">
        <f>J825*'Model inputs'!$B$8</f>
        <v>2954.9999999999955</v>
      </c>
      <c r="R825" s="1" t="s">
        <v>162</v>
      </c>
      <c r="S825" s="1">
        <v>757</v>
      </c>
      <c r="T825" s="1">
        <v>776</v>
      </c>
    </row>
    <row r="826" spans="1:20" ht="21" customHeight="1">
      <c r="A826" s="8">
        <v>46268</v>
      </c>
      <c r="B826" s="1" t="s">
        <v>34</v>
      </c>
      <c r="C826" s="1" t="s">
        <v>87</v>
      </c>
      <c r="D826" s="7">
        <v>6600</v>
      </c>
      <c r="E826" s="7">
        <v>6800</v>
      </c>
      <c r="F826" s="7">
        <v>7000</v>
      </c>
      <c r="G826" s="7">
        <f>'Option source'!B230</f>
        <v>800.04</v>
      </c>
      <c r="H826" s="7">
        <f>'Option source'!B249</f>
        <v>665.11</v>
      </c>
      <c r="I826" s="7">
        <f>'Option source'!B268</f>
        <v>547.83000000000004</v>
      </c>
      <c r="J826" s="7">
        <f t="shared" si="84"/>
        <v>17.649999999999977</v>
      </c>
      <c r="K826" s="7">
        <f t="shared" si="85"/>
        <v>200</v>
      </c>
      <c r="L826" s="7">
        <f t="shared" si="86"/>
        <v>182.35000000000002</v>
      </c>
      <c r="M826" s="7">
        <f t="shared" si="87"/>
        <v>17.649999999999977</v>
      </c>
      <c r="N826" s="7">
        <f t="shared" si="88"/>
        <v>6617.65</v>
      </c>
      <c r="O826" s="7">
        <f t="shared" si="89"/>
        <v>6982.35</v>
      </c>
      <c r="P826" s="15">
        <f t="shared" si="90"/>
        <v>10.331444759206814</v>
      </c>
      <c r="Q826" s="7">
        <f>J826*'Model inputs'!$B$8</f>
        <v>1764.9999999999977</v>
      </c>
      <c r="R826" s="1" t="s">
        <v>162</v>
      </c>
      <c r="S826" s="1">
        <v>225</v>
      </c>
      <c r="T826" s="1">
        <v>244</v>
      </c>
    </row>
    <row r="827" spans="1:20" ht="21" customHeight="1">
      <c r="A827" s="8">
        <v>46268</v>
      </c>
      <c r="B827" s="1" t="s">
        <v>34</v>
      </c>
      <c r="C827" s="1" t="s">
        <v>90</v>
      </c>
      <c r="D827" s="7">
        <v>6600</v>
      </c>
      <c r="E827" s="7">
        <v>6800</v>
      </c>
      <c r="F827" s="7">
        <v>7000</v>
      </c>
      <c r="G827" s="7">
        <f>'Option source'!B724</f>
        <v>167.73</v>
      </c>
      <c r="H827" s="7">
        <f>'Option source'!B743</f>
        <v>235.69</v>
      </c>
      <c r="I827" s="7">
        <f>'Option source'!B762</f>
        <v>315.24</v>
      </c>
      <c r="J827" s="7">
        <f t="shared" si="84"/>
        <v>11.590000000000032</v>
      </c>
      <c r="K827" s="7">
        <f t="shared" si="85"/>
        <v>200</v>
      </c>
      <c r="L827" s="7">
        <f t="shared" si="86"/>
        <v>188.40999999999997</v>
      </c>
      <c r="M827" s="7">
        <f t="shared" si="87"/>
        <v>11.590000000000032</v>
      </c>
      <c r="N827" s="7">
        <f t="shared" si="88"/>
        <v>6611.59</v>
      </c>
      <c r="O827" s="7">
        <f t="shared" si="89"/>
        <v>6988.41</v>
      </c>
      <c r="P827" s="15">
        <f t="shared" si="90"/>
        <v>16.256255392579764</v>
      </c>
      <c r="Q827" s="7">
        <f>J827*'Model inputs'!$B$8</f>
        <v>1159.0000000000032</v>
      </c>
      <c r="R827" s="1" t="s">
        <v>162</v>
      </c>
      <c r="S827" s="1">
        <v>719</v>
      </c>
      <c r="T827" s="1">
        <v>738</v>
      </c>
    </row>
    <row r="828" spans="1:20" ht="21" customHeight="1">
      <c r="A828" s="8">
        <v>46268</v>
      </c>
      <c r="B828" s="1" t="s">
        <v>34</v>
      </c>
      <c r="C828" s="1" t="s">
        <v>87</v>
      </c>
      <c r="D828" s="7">
        <v>7200</v>
      </c>
      <c r="E828" s="7">
        <v>7400</v>
      </c>
      <c r="F828" s="7">
        <v>7600</v>
      </c>
      <c r="G828" s="7">
        <f>'Option source'!B287</f>
        <v>446.85</v>
      </c>
      <c r="H828" s="7">
        <f>'Option source'!B306</f>
        <v>355.55</v>
      </c>
      <c r="I828" s="7">
        <f>'Option source'!B325</f>
        <v>280.92</v>
      </c>
      <c r="J828" s="7">
        <f t="shared" si="84"/>
        <v>16.670000000000016</v>
      </c>
      <c r="K828" s="7">
        <f t="shared" si="85"/>
        <v>200</v>
      </c>
      <c r="L828" s="7">
        <f t="shared" si="86"/>
        <v>183.32999999999998</v>
      </c>
      <c r="M828" s="7">
        <f t="shared" si="87"/>
        <v>16.670000000000016</v>
      </c>
      <c r="N828" s="7">
        <f t="shared" si="88"/>
        <v>7216.67</v>
      </c>
      <c r="O828" s="7">
        <f t="shared" si="89"/>
        <v>7583.33</v>
      </c>
      <c r="P828" s="15">
        <f t="shared" si="90"/>
        <v>10.997600479904008</v>
      </c>
      <c r="Q828" s="7">
        <f>J828*'Model inputs'!$B$8</f>
        <v>1667.0000000000016</v>
      </c>
      <c r="R828" s="1" t="s">
        <v>162</v>
      </c>
      <c r="S828" s="1">
        <v>282</v>
      </c>
      <c r="T828" s="1">
        <v>301</v>
      </c>
    </row>
    <row r="829" spans="1:20" ht="21" customHeight="1">
      <c r="A829" s="8">
        <v>46268</v>
      </c>
      <c r="B829" s="1" t="s">
        <v>34</v>
      </c>
      <c r="C829" s="1" t="s">
        <v>90</v>
      </c>
      <c r="D829" s="7">
        <v>7200</v>
      </c>
      <c r="E829" s="7">
        <v>7400</v>
      </c>
      <c r="F829" s="7">
        <v>7600</v>
      </c>
      <c r="G829" s="7">
        <f>'Option source'!B781</f>
        <v>403.61</v>
      </c>
      <c r="H829" s="7">
        <f>'Option source'!B800</f>
        <v>521.53</v>
      </c>
      <c r="I829" s="7">
        <f>'Option source'!B819</f>
        <v>650</v>
      </c>
      <c r="J829" s="7">
        <f t="shared" si="84"/>
        <v>10.550000000000068</v>
      </c>
      <c r="K829" s="7">
        <f t="shared" si="85"/>
        <v>200</v>
      </c>
      <c r="L829" s="7">
        <f t="shared" si="86"/>
        <v>189.44999999999993</v>
      </c>
      <c r="M829" s="7">
        <f t="shared" si="87"/>
        <v>10.550000000000068</v>
      </c>
      <c r="N829" s="7">
        <f t="shared" si="88"/>
        <v>7210.55</v>
      </c>
      <c r="O829" s="7">
        <f t="shared" si="89"/>
        <v>7589.45</v>
      </c>
      <c r="P829" s="15">
        <f t="shared" si="90"/>
        <v>17.957345971563857</v>
      </c>
      <c r="Q829" s="7">
        <f>J829*'Model inputs'!$B$8</f>
        <v>1055.0000000000068</v>
      </c>
      <c r="R829" s="1" t="s">
        <v>162</v>
      </c>
      <c r="S829" s="1">
        <v>776</v>
      </c>
      <c r="T829" s="1">
        <v>795</v>
      </c>
    </row>
    <row r="830" spans="1:20" ht="21" customHeight="1">
      <c r="A830" s="8">
        <v>46268</v>
      </c>
      <c r="B830" s="1" t="s">
        <v>34</v>
      </c>
      <c r="C830" s="1" t="s">
        <v>90</v>
      </c>
      <c r="D830" s="7">
        <v>6400</v>
      </c>
      <c r="E830" s="7">
        <v>6600</v>
      </c>
      <c r="F830" s="7">
        <v>6800</v>
      </c>
      <c r="G830" s="7">
        <f>'Option source'!B705</f>
        <v>113.71</v>
      </c>
      <c r="H830" s="7">
        <f>'Option source'!B724</f>
        <v>167.73</v>
      </c>
      <c r="I830" s="7">
        <f>'Option source'!B743</f>
        <v>235.69</v>
      </c>
      <c r="J830" s="7">
        <f t="shared" si="84"/>
        <v>13.939999999999998</v>
      </c>
      <c r="K830" s="7">
        <f t="shared" si="85"/>
        <v>200</v>
      </c>
      <c r="L830" s="7">
        <f t="shared" si="86"/>
        <v>186.06</v>
      </c>
      <c r="M830" s="7">
        <f t="shared" si="87"/>
        <v>13.939999999999998</v>
      </c>
      <c r="N830" s="7">
        <f t="shared" si="88"/>
        <v>6413.94</v>
      </c>
      <c r="O830" s="7">
        <f t="shared" si="89"/>
        <v>6786.06</v>
      </c>
      <c r="P830" s="15">
        <f t="shared" si="90"/>
        <v>13.347202295552369</v>
      </c>
      <c r="Q830" s="7">
        <f>J830*'Model inputs'!$B$8</f>
        <v>1393.9999999999998</v>
      </c>
      <c r="R830" s="1" t="s">
        <v>162</v>
      </c>
      <c r="S830" s="1">
        <v>700</v>
      </c>
      <c r="T830" s="1">
        <v>719</v>
      </c>
    </row>
    <row r="831" spans="1:20" ht="21" customHeight="1">
      <c r="A831" s="8">
        <v>46268</v>
      </c>
      <c r="B831" s="1" t="s">
        <v>34</v>
      </c>
      <c r="C831" s="1" t="s">
        <v>87</v>
      </c>
      <c r="D831" s="7">
        <v>7400</v>
      </c>
      <c r="E831" s="7">
        <v>7600</v>
      </c>
      <c r="F831" s="7">
        <v>7800</v>
      </c>
      <c r="G831" s="7">
        <f>'Option source'!B306</f>
        <v>355.55</v>
      </c>
      <c r="H831" s="7">
        <f>'Option source'!B325</f>
        <v>280.92</v>
      </c>
      <c r="I831" s="7">
        <f>'Option source'!B344</f>
        <v>216.52</v>
      </c>
      <c r="J831" s="7">
        <f t="shared" si="84"/>
        <v>10.22999999999999</v>
      </c>
      <c r="K831" s="7">
        <f t="shared" si="85"/>
        <v>200</v>
      </c>
      <c r="L831" s="7">
        <f t="shared" si="86"/>
        <v>189.77</v>
      </c>
      <c r="M831" s="7">
        <f t="shared" si="87"/>
        <v>10.22999999999999</v>
      </c>
      <c r="N831" s="7">
        <f t="shared" si="88"/>
        <v>7410.23</v>
      </c>
      <c r="O831" s="7">
        <f t="shared" si="89"/>
        <v>7789.77</v>
      </c>
      <c r="P831" s="15">
        <f t="shared" si="90"/>
        <v>18.55034213098731</v>
      </c>
      <c r="Q831" s="7">
        <f>J831*'Model inputs'!$B$8</f>
        <v>1022.999999999999</v>
      </c>
      <c r="R831" s="1" t="s">
        <v>162</v>
      </c>
      <c r="S831" s="1">
        <v>301</v>
      </c>
      <c r="T831" s="1">
        <v>320</v>
      </c>
    </row>
    <row r="832" spans="1:20" ht="21" customHeight="1">
      <c r="A832" s="8">
        <v>46268</v>
      </c>
      <c r="B832" s="1" t="s">
        <v>34</v>
      </c>
      <c r="C832" s="1" t="s">
        <v>90</v>
      </c>
      <c r="D832" s="7">
        <v>6200</v>
      </c>
      <c r="E832" s="7">
        <v>6400</v>
      </c>
      <c r="F832" s="7">
        <v>6600</v>
      </c>
      <c r="G832" s="7">
        <f>'Option source'!B686</f>
        <v>73.430000000000007</v>
      </c>
      <c r="H832" s="7">
        <f>'Option source'!B705</f>
        <v>113.71</v>
      </c>
      <c r="I832" s="7">
        <f>'Option source'!B724</f>
        <v>167.73</v>
      </c>
      <c r="J832" s="7">
        <f t="shared" si="84"/>
        <v>13.740000000000009</v>
      </c>
      <c r="K832" s="7">
        <f t="shared" si="85"/>
        <v>200</v>
      </c>
      <c r="L832" s="7">
        <f t="shared" si="86"/>
        <v>186.26</v>
      </c>
      <c r="M832" s="7">
        <f t="shared" si="87"/>
        <v>13.740000000000009</v>
      </c>
      <c r="N832" s="7">
        <f t="shared" si="88"/>
        <v>6213.74</v>
      </c>
      <c r="O832" s="7">
        <f t="shared" si="89"/>
        <v>6586.26</v>
      </c>
      <c r="P832" s="15">
        <f t="shared" si="90"/>
        <v>13.556040756914109</v>
      </c>
      <c r="Q832" s="7">
        <f>J832*'Model inputs'!$B$8</f>
        <v>1374.0000000000009</v>
      </c>
      <c r="R832" s="1" t="s">
        <v>162</v>
      </c>
      <c r="S832" s="1">
        <v>681</v>
      </c>
      <c r="T832" s="1">
        <v>700</v>
      </c>
    </row>
    <row r="833" spans="1:20" ht="21" customHeight="1">
      <c r="A833" s="8">
        <v>46268</v>
      </c>
      <c r="B833" s="1" t="s">
        <v>34</v>
      </c>
      <c r="C833" s="1" t="s">
        <v>87</v>
      </c>
      <c r="D833" s="7">
        <v>7600</v>
      </c>
      <c r="E833" s="7">
        <v>7800</v>
      </c>
      <c r="F833" s="7">
        <v>8000</v>
      </c>
      <c r="G833" s="7">
        <f>'Option source'!B325</f>
        <v>280.92</v>
      </c>
      <c r="H833" s="7">
        <f>'Option source'!B344</f>
        <v>216.52</v>
      </c>
      <c r="I833" s="7">
        <f>'Option source'!B363</f>
        <v>167.84</v>
      </c>
      <c r="J833" s="7">
        <f t="shared" si="84"/>
        <v>15.719999999999999</v>
      </c>
      <c r="K833" s="7">
        <f t="shared" si="85"/>
        <v>200</v>
      </c>
      <c r="L833" s="7">
        <f t="shared" si="86"/>
        <v>184.28</v>
      </c>
      <c r="M833" s="7">
        <f t="shared" si="87"/>
        <v>15.719999999999999</v>
      </c>
      <c r="N833" s="7">
        <f t="shared" si="88"/>
        <v>7615.72</v>
      </c>
      <c r="O833" s="7">
        <f t="shared" si="89"/>
        <v>7984.28</v>
      </c>
      <c r="P833" s="15">
        <f t="shared" si="90"/>
        <v>11.722646310432571</v>
      </c>
      <c r="Q833" s="7">
        <f>J833*'Model inputs'!$B$8</f>
        <v>1572</v>
      </c>
      <c r="R833" s="1" t="s">
        <v>162</v>
      </c>
      <c r="S833" s="1">
        <v>320</v>
      </c>
      <c r="T833" s="1">
        <v>339</v>
      </c>
    </row>
    <row r="834" spans="1:20" ht="21" customHeight="1">
      <c r="A834" s="8">
        <v>46268</v>
      </c>
      <c r="B834" s="1" t="s">
        <v>34</v>
      </c>
      <c r="C834" s="1" t="s">
        <v>90</v>
      </c>
      <c r="D834" s="7">
        <v>6000</v>
      </c>
      <c r="E834" s="7">
        <v>6200</v>
      </c>
      <c r="F834" s="7">
        <v>6400</v>
      </c>
      <c r="G834" s="7">
        <f>'Option source'!B667</f>
        <v>45.1</v>
      </c>
      <c r="H834" s="7">
        <f>'Option source'!B686</f>
        <v>73.430000000000007</v>
      </c>
      <c r="I834" s="7">
        <f>'Option source'!B705</f>
        <v>113.71</v>
      </c>
      <c r="J834" s="7">
        <f t="shared" si="84"/>
        <v>11.949999999999974</v>
      </c>
      <c r="K834" s="7">
        <f t="shared" si="85"/>
        <v>200</v>
      </c>
      <c r="L834" s="7">
        <f t="shared" si="86"/>
        <v>188.05</v>
      </c>
      <c r="M834" s="7">
        <f t="shared" si="87"/>
        <v>11.949999999999974</v>
      </c>
      <c r="N834" s="7">
        <f t="shared" si="88"/>
        <v>6011.95</v>
      </c>
      <c r="O834" s="7">
        <f t="shared" si="89"/>
        <v>6388.05</v>
      </c>
      <c r="P834" s="15">
        <f t="shared" si="90"/>
        <v>15.736401673640202</v>
      </c>
      <c r="Q834" s="7">
        <f>J834*'Model inputs'!$B$8</f>
        <v>1194.9999999999975</v>
      </c>
      <c r="R834" s="1" t="s">
        <v>162</v>
      </c>
      <c r="S834" s="1">
        <v>662</v>
      </c>
      <c r="T834" s="1">
        <v>681</v>
      </c>
    </row>
    <row r="835" spans="1:20" ht="21" customHeight="1">
      <c r="A835" s="8">
        <v>46268</v>
      </c>
      <c r="B835" s="1" t="s">
        <v>34</v>
      </c>
      <c r="C835" s="1" t="s">
        <v>90</v>
      </c>
      <c r="D835" s="7">
        <v>5800</v>
      </c>
      <c r="E835" s="7">
        <v>6000</v>
      </c>
      <c r="F835" s="7">
        <v>6200</v>
      </c>
      <c r="G835" s="7">
        <f>'Option source'!B648</f>
        <v>26.51</v>
      </c>
      <c r="H835" s="7">
        <f>'Option source'!B667</f>
        <v>45.1</v>
      </c>
      <c r="I835" s="7">
        <f>'Option source'!B686</f>
        <v>73.430000000000007</v>
      </c>
      <c r="J835" s="7">
        <f t="shared" si="84"/>
        <v>9.7400000000000091</v>
      </c>
      <c r="K835" s="7">
        <f t="shared" si="85"/>
        <v>200</v>
      </c>
      <c r="L835" s="7">
        <f t="shared" si="86"/>
        <v>190.26</v>
      </c>
      <c r="M835" s="7">
        <f t="shared" si="87"/>
        <v>9.7400000000000091</v>
      </c>
      <c r="N835" s="7">
        <f t="shared" si="88"/>
        <v>5809.74</v>
      </c>
      <c r="O835" s="7">
        <f t="shared" si="89"/>
        <v>6190.26</v>
      </c>
      <c r="P835" s="15">
        <f t="shared" si="90"/>
        <v>19.53388090349074</v>
      </c>
      <c r="Q835" s="7">
        <f>J835*'Model inputs'!$B$8</f>
        <v>974.00000000000091</v>
      </c>
      <c r="R835" s="1" t="s">
        <v>162</v>
      </c>
      <c r="S835" s="1">
        <v>643</v>
      </c>
      <c r="T835" s="1">
        <v>662</v>
      </c>
    </row>
    <row r="836" spans="1:20" ht="21" customHeight="1">
      <c r="A836" s="8">
        <v>46268</v>
      </c>
      <c r="B836" s="1" t="s">
        <v>34</v>
      </c>
      <c r="C836" s="1" t="s">
        <v>87</v>
      </c>
      <c r="D836" s="7">
        <v>8000</v>
      </c>
      <c r="E836" s="7">
        <v>8300</v>
      </c>
      <c r="F836" s="7">
        <v>8600</v>
      </c>
      <c r="G836" s="7">
        <f>'Option source'!B363</f>
        <v>167.84</v>
      </c>
      <c r="H836" s="7">
        <f>'Option source'!B382</f>
        <v>112.69</v>
      </c>
      <c r="I836" s="7">
        <f>'Option source'!B401</f>
        <v>70.599999999999994</v>
      </c>
      <c r="J836" s="7">
        <f t="shared" si="84"/>
        <v>13.060000000000002</v>
      </c>
      <c r="K836" s="7">
        <f t="shared" si="85"/>
        <v>300</v>
      </c>
      <c r="L836" s="7">
        <f t="shared" si="86"/>
        <v>286.94</v>
      </c>
      <c r="M836" s="7">
        <f t="shared" si="87"/>
        <v>13.060000000000002</v>
      </c>
      <c r="N836" s="7">
        <f t="shared" si="88"/>
        <v>8013.06</v>
      </c>
      <c r="O836" s="7">
        <f t="shared" si="89"/>
        <v>8586.94</v>
      </c>
      <c r="P836" s="15">
        <f t="shared" si="90"/>
        <v>21.970903522205202</v>
      </c>
      <c r="Q836" s="7">
        <f>J836*'Model inputs'!$B$8</f>
        <v>1306.0000000000002</v>
      </c>
      <c r="R836" s="1" t="s">
        <v>162</v>
      </c>
      <c r="S836" s="1">
        <v>358</v>
      </c>
      <c r="T836" s="1">
        <v>377</v>
      </c>
    </row>
    <row r="837" spans="1:20" ht="21" customHeight="1">
      <c r="A837" s="8">
        <v>46268</v>
      </c>
      <c r="B837" s="1" t="s">
        <v>34</v>
      </c>
      <c r="C837" s="1" t="s">
        <v>90</v>
      </c>
      <c r="D837" s="7">
        <v>5600</v>
      </c>
      <c r="E837" s="7">
        <v>5800</v>
      </c>
      <c r="F837" s="7">
        <v>6000</v>
      </c>
      <c r="G837" s="7">
        <f>'Option source'!B629</f>
        <v>15.36</v>
      </c>
      <c r="H837" s="7">
        <f>'Option source'!B648</f>
        <v>26.51</v>
      </c>
      <c r="I837" s="7">
        <f>'Option source'!B667</f>
        <v>45.1</v>
      </c>
      <c r="J837" s="7">
        <f t="shared" si="84"/>
        <v>7.4399999999999977</v>
      </c>
      <c r="K837" s="7">
        <f t="shared" si="85"/>
        <v>200</v>
      </c>
      <c r="L837" s="7">
        <f t="shared" si="86"/>
        <v>192.56</v>
      </c>
      <c r="M837" s="7">
        <f t="shared" si="87"/>
        <v>7.4399999999999977</v>
      </c>
      <c r="N837" s="7">
        <f t="shared" si="88"/>
        <v>5607.44</v>
      </c>
      <c r="O837" s="7">
        <f t="shared" si="89"/>
        <v>5992.56</v>
      </c>
      <c r="P837" s="15">
        <f t="shared" si="90"/>
        <v>25.881720430107535</v>
      </c>
      <c r="Q837" s="7">
        <f>J837*'Model inputs'!$B$8</f>
        <v>743.99999999999977</v>
      </c>
      <c r="R837" s="1" t="s">
        <v>162</v>
      </c>
      <c r="S837" s="1">
        <v>624</v>
      </c>
      <c r="T837" s="1">
        <v>643</v>
      </c>
    </row>
    <row r="838" spans="1:20" ht="21" customHeight="1">
      <c r="A838" s="8">
        <v>46268</v>
      </c>
      <c r="B838" s="1" t="s">
        <v>34</v>
      </c>
      <c r="C838" s="1" t="s">
        <v>90</v>
      </c>
      <c r="D838" s="7">
        <v>5400</v>
      </c>
      <c r="E838" s="7">
        <v>5600</v>
      </c>
      <c r="F838" s="7">
        <v>5800</v>
      </c>
      <c r="G838" s="7">
        <f>'Option source'!B610</f>
        <v>8.7799999999999994</v>
      </c>
      <c r="H838" s="7">
        <f>'Option source'!B629</f>
        <v>15.36</v>
      </c>
      <c r="I838" s="7">
        <f>'Option source'!B648</f>
        <v>26.51</v>
      </c>
      <c r="J838" s="7">
        <f t="shared" si="84"/>
        <v>4.5700000000000038</v>
      </c>
      <c r="K838" s="7">
        <f t="shared" si="85"/>
        <v>200</v>
      </c>
      <c r="L838" s="7">
        <f t="shared" si="86"/>
        <v>195.43</v>
      </c>
      <c r="M838" s="7">
        <f t="shared" si="87"/>
        <v>4.5700000000000038</v>
      </c>
      <c r="N838" s="7">
        <f t="shared" si="88"/>
        <v>5404.57</v>
      </c>
      <c r="O838" s="7">
        <f t="shared" si="89"/>
        <v>5795.43</v>
      </c>
      <c r="P838" s="15">
        <f t="shared" si="90"/>
        <v>42.763676148796463</v>
      </c>
      <c r="Q838" s="7">
        <f>J838*'Model inputs'!$B$8</f>
        <v>457.0000000000004</v>
      </c>
      <c r="R838" s="1" t="s">
        <v>162</v>
      </c>
      <c r="S838" s="1">
        <v>605</v>
      </c>
      <c r="T838" s="1">
        <v>624</v>
      </c>
    </row>
    <row r="839" spans="1:20" ht="21" customHeight="1">
      <c r="A839" s="8">
        <v>46268</v>
      </c>
      <c r="B839" s="1" t="s">
        <v>34</v>
      </c>
      <c r="C839" s="1" t="s">
        <v>87</v>
      </c>
      <c r="D839" s="7">
        <v>8300</v>
      </c>
      <c r="E839" s="7">
        <v>8600</v>
      </c>
      <c r="F839" s="7">
        <v>8900</v>
      </c>
      <c r="G839" s="7">
        <f>'Option source'!B382</f>
        <v>112.69</v>
      </c>
      <c r="H839" s="7">
        <f>'Option source'!B401</f>
        <v>70.599999999999994</v>
      </c>
      <c r="I839" s="7">
        <f>'Option source'!B420</f>
        <v>41.9</v>
      </c>
      <c r="J839" s="7">
        <f t="shared" ref="J839:J902" si="91">G839-2*H839+IF(B839="Butterfly",I839,0)</f>
        <v>13.390000000000008</v>
      </c>
      <c r="K839" s="7">
        <f t="shared" ref="K839:K902" si="92">ABS(E839-D839)</f>
        <v>300</v>
      </c>
      <c r="L839" s="7">
        <f t="shared" ref="L839:L902" si="93">K839-J839</f>
        <v>286.61</v>
      </c>
      <c r="M839" s="7">
        <f t="shared" ref="M839:M902" si="94">IF(B839="Butterfly",MAX(J839,0),IF(C839="call","Unlimited",MAX(2*E839-D839+J839,J839,0)))</f>
        <v>13.390000000000008</v>
      </c>
      <c r="N839" s="7">
        <f t="shared" ref="N839:N902" si="95">IF(B839="Butterfly",IF(AND(J839&gt;0,J839&lt;K839),D839+J839,"n.a."),IF(C839="call",IF(AND(J839&gt;0,J839&lt;K839),D839+J839,"n.a."),IF(AND(K839&gt;J839,2*E839-D839+J839&gt;=0),2*E839-D839+J839,"n.a.")))</f>
        <v>8313.39</v>
      </c>
      <c r="O839" s="7">
        <f t="shared" ref="O839:O902" si="96">IF(B839="Butterfly",IF(AND(J839&gt;0,J839&lt;K839),F839-J839,"n.a."),IF(C839="call",IF(K839&gt;J839,2*E839-D839-J839,"n.a."),IF(AND(J839&gt;0,J839&lt;K839),D839-J839,"n.a.")))</f>
        <v>8886.61</v>
      </c>
      <c r="P839" s="15">
        <f t="shared" ref="P839:P902" si="97">IF(AND(B839="Butterfly",J839&gt;0,J839&lt;K839),L839/J839,"n.a.")</f>
        <v>21.404779686333072</v>
      </c>
      <c r="Q839" s="7">
        <f>J839*'Model inputs'!$B$8</f>
        <v>1339.0000000000007</v>
      </c>
      <c r="R839" s="1" t="s">
        <v>162</v>
      </c>
      <c r="S839" s="1">
        <v>377</v>
      </c>
      <c r="T839" s="1">
        <v>396</v>
      </c>
    </row>
    <row r="840" spans="1:20" ht="21" customHeight="1">
      <c r="A840" s="8">
        <v>46268</v>
      </c>
      <c r="B840" s="1" t="s">
        <v>34</v>
      </c>
      <c r="C840" s="1" t="s">
        <v>90</v>
      </c>
      <c r="D840" s="7">
        <v>5200</v>
      </c>
      <c r="E840" s="7">
        <v>5400</v>
      </c>
      <c r="F840" s="7">
        <v>5600</v>
      </c>
      <c r="G840" s="7">
        <f>'Option source'!B591</f>
        <v>4.9800000000000004</v>
      </c>
      <c r="H840" s="7">
        <f>'Option source'!B610</f>
        <v>8.7799999999999994</v>
      </c>
      <c r="I840" s="7">
        <f>'Option source'!B629</f>
        <v>15.36</v>
      </c>
      <c r="J840" s="7">
        <f t="shared" si="91"/>
        <v>2.7800000000000011</v>
      </c>
      <c r="K840" s="7">
        <f t="shared" si="92"/>
        <v>200</v>
      </c>
      <c r="L840" s="7">
        <f t="shared" si="93"/>
        <v>197.22</v>
      </c>
      <c r="M840" s="7">
        <f t="shared" si="94"/>
        <v>2.7800000000000011</v>
      </c>
      <c r="N840" s="7">
        <f t="shared" si="95"/>
        <v>5202.78</v>
      </c>
      <c r="O840" s="7">
        <f t="shared" si="96"/>
        <v>5597.22</v>
      </c>
      <c r="P840" s="15">
        <f t="shared" si="97"/>
        <v>70.942446043165432</v>
      </c>
      <c r="Q840" s="7">
        <f>J840*'Model inputs'!$B$8</f>
        <v>278.00000000000011</v>
      </c>
      <c r="R840" s="1" t="s">
        <v>162</v>
      </c>
      <c r="S840" s="1">
        <v>586</v>
      </c>
      <c r="T840" s="1">
        <v>605</v>
      </c>
    </row>
    <row r="841" spans="1:20" ht="21" customHeight="1">
      <c r="A841" s="8">
        <v>46268</v>
      </c>
      <c r="B841" s="1" t="s">
        <v>34</v>
      </c>
      <c r="C841" s="1" t="s">
        <v>87</v>
      </c>
      <c r="D841" s="7">
        <v>8600</v>
      </c>
      <c r="E841" s="7">
        <v>8900</v>
      </c>
      <c r="F841" s="7">
        <v>9200</v>
      </c>
      <c r="G841" s="7">
        <f>'Option source'!B401</f>
        <v>70.599999999999994</v>
      </c>
      <c r="H841" s="7">
        <f>'Option source'!B420</f>
        <v>41.9</v>
      </c>
      <c r="I841" s="7">
        <f>'Option source'!B439</f>
        <v>26.71</v>
      </c>
      <c r="J841" s="7">
        <f t="shared" si="91"/>
        <v>13.509999999999998</v>
      </c>
      <c r="K841" s="7">
        <f t="shared" si="92"/>
        <v>300</v>
      </c>
      <c r="L841" s="7">
        <f t="shared" si="93"/>
        <v>286.49</v>
      </c>
      <c r="M841" s="7">
        <f t="shared" si="94"/>
        <v>13.509999999999998</v>
      </c>
      <c r="N841" s="7">
        <f t="shared" si="95"/>
        <v>8613.51</v>
      </c>
      <c r="O841" s="7">
        <f t="shared" si="96"/>
        <v>9186.49</v>
      </c>
      <c r="P841" s="15">
        <f t="shared" si="97"/>
        <v>21.205773501110293</v>
      </c>
      <c r="Q841" s="7">
        <f>J841*'Model inputs'!$B$8</f>
        <v>1350.9999999999998</v>
      </c>
      <c r="R841" s="1" t="s">
        <v>162</v>
      </c>
      <c r="S841" s="1">
        <v>396</v>
      </c>
      <c r="T841" s="1">
        <v>415</v>
      </c>
    </row>
    <row r="842" spans="1:20" ht="21" customHeight="1">
      <c r="A842" s="8">
        <v>46268</v>
      </c>
      <c r="B842" s="1" t="s">
        <v>34</v>
      </c>
      <c r="C842" s="1" t="s">
        <v>90</v>
      </c>
      <c r="D842" s="7">
        <v>5000</v>
      </c>
      <c r="E842" s="7">
        <v>5200</v>
      </c>
      <c r="F842" s="7">
        <v>5400</v>
      </c>
      <c r="G842" s="7">
        <f>'Option source'!B572</f>
        <v>2.37</v>
      </c>
      <c r="H842" s="7">
        <f>'Option source'!B591</f>
        <v>4.9800000000000004</v>
      </c>
      <c r="I842" s="7">
        <f>'Option source'!B610</f>
        <v>8.7799999999999994</v>
      </c>
      <c r="J842" s="7">
        <f t="shared" si="91"/>
        <v>1.1899999999999986</v>
      </c>
      <c r="K842" s="7">
        <f t="shared" si="92"/>
        <v>200</v>
      </c>
      <c r="L842" s="7">
        <f t="shared" si="93"/>
        <v>198.81</v>
      </c>
      <c r="M842" s="7">
        <f t="shared" si="94"/>
        <v>1.1899999999999986</v>
      </c>
      <c r="N842" s="7">
        <f t="shared" si="95"/>
        <v>5001.1899999999996</v>
      </c>
      <c r="O842" s="7">
        <f t="shared" si="96"/>
        <v>5398.81</v>
      </c>
      <c r="P842" s="15">
        <f t="shared" si="97"/>
        <v>167.0672268907565</v>
      </c>
      <c r="Q842" s="7">
        <f>J842*'Model inputs'!$B$8</f>
        <v>118.99999999999986</v>
      </c>
      <c r="R842" s="1" t="s">
        <v>162</v>
      </c>
      <c r="S842" s="1">
        <v>567</v>
      </c>
      <c r="T842" s="1">
        <v>586</v>
      </c>
    </row>
    <row r="843" spans="1:20" ht="21" customHeight="1">
      <c r="A843" s="8">
        <v>46268</v>
      </c>
      <c r="B843" s="1" t="s">
        <v>34</v>
      </c>
      <c r="C843" s="1" t="s">
        <v>90</v>
      </c>
      <c r="D843" s="7">
        <v>4800</v>
      </c>
      <c r="E843" s="7">
        <v>5000</v>
      </c>
      <c r="F843" s="7">
        <v>5200</v>
      </c>
      <c r="G843" s="7">
        <f>'Option source'!B553</f>
        <v>2.2000000000000002</v>
      </c>
      <c r="H843" s="7">
        <f>'Option source'!B572</f>
        <v>2.37</v>
      </c>
      <c r="I843" s="7">
        <f>'Option source'!B591</f>
        <v>4.9800000000000004</v>
      </c>
      <c r="J843" s="7">
        <f t="shared" si="91"/>
        <v>2.4400000000000004</v>
      </c>
      <c r="K843" s="7">
        <f t="shared" si="92"/>
        <v>200</v>
      </c>
      <c r="L843" s="7">
        <f t="shared" si="93"/>
        <v>197.56</v>
      </c>
      <c r="M843" s="7">
        <f t="shared" si="94"/>
        <v>2.4400000000000004</v>
      </c>
      <c r="N843" s="7">
        <f t="shared" si="95"/>
        <v>4802.4399999999996</v>
      </c>
      <c r="O843" s="7">
        <f t="shared" si="96"/>
        <v>5197.5600000000004</v>
      </c>
      <c r="P843" s="15">
        <f t="shared" si="97"/>
        <v>80.967213114754088</v>
      </c>
      <c r="Q843" s="7">
        <f>J843*'Model inputs'!$B$8</f>
        <v>244.00000000000003</v>
      </c>
      <c r="R843" s="1" t="s">
        <v>162</v>
      </c>
      <c r="S843" s="1">
        <v>548</v>
      </c>
      <c r="T843" s="1">
        <v>567</v>
      </c>
    </row>
    <row r="844" spans="1:20" ht="21" customHeight="1">
      <c r="A844" s="8">
        <v>46268</v>
      </c>
      <c r="B844" s="1" t="s">
        <v>34</v>
      </c>
      <c r="C844" s="1" t="s">
        <v>87</v>
      </c>
      <c r="D844" s="7">
        <v>8900</v>
      </c>
      <c r="E844" s="7">
        <v>9200</v>
      </c>
      <c r="F844" s="7">
        <v>9500</v>
      </c>
      <c r="G844" s="7">
        <f>'Option source'!B420</f>
        <v>41.9</v>
      </c>
      <c r="H844" s="7">
        <f>'Option source'!B439</f>
        <v>26.71</v>
      </c>
      <c r="I844" s="7">
        <f>'Option source'!B458</f>
        <v>16.43</v>
      </c>
      <c r="J844" s="7">
        <f t="shared" si="91"/>
        <v>4.9099999999999966</v>
      </c>
      <c r="K844" s="7">
        <f t="shared" si="92"/>
        <v>300</v>
      </c>
      <c r="L844" s="7">
        <f t="shared" si="93"/>
        <v>295.09000000000003</v>
      </c>
      <c r="M844" s="7">
        <f t="shared" si="94"/>
        <v>4.9099999999999966</v>
      </c>
      <c r="N844" s="7">
        <f t="shared" si="95"/>
        <v>8904.91</v>
      </c>
      <c r="O844" s="7">
        <f t="shared" si="96"/>
        <v>9495.09</v>
      </c>
      <c r="P844" s="15">
        <f t="shared" si="97"/>
        <v>60.099796334012268</v>
      </c>
      <c r="Q844" s="7">
        <f>J844*'Model inputs'!$B$8</f>
        <v>490.99999999999966</v>
      </c>
      <c r="R844" s="1" t="s">
        <v>162</v>
      </c>
      <c r="S844" s="1">
        <v>415</v>
      </c>
      <c r="T844" s="1">
        <v>434</v>
      </c>
    </row>
    <row r="845" spans="1:20" ht="21" customHeight="1">
      <c r="A845" s="8">
        <v>46268</v>
      </c>
      <c r="B845" s="1" t="s">
        <v>34</v>
      </c>
      <c r="C845" s="1" t="s">
        <v>90</v>
      </c>
      <c r="D845" s="7">
        <v>4400</v>
      </c>
      <c r="E845" s="7">
        <v>4600</v>
      </c>
      <c r="F845" s="7">
        <v>4800</v>
      </c>
      <c r="G845" s="7">
        <f>'Option source'!B515</f>
        <v>1.55</v>
      </c>
      <c r="H845" s="7">
        <f>'Option source'!B534</f>
        <v>1.48</v>
      </c>
      <c r="I845" s="7">
        <f>'Option source'!B553</f>
        <v>2.2000000000000002</v>
      </c>
      <c r="J845" s="7">
        <f t="shared" si="91"/>
        <v>0.79000000000000026</v>
      </c>
      <c r="K845" s="7">
        <f t="shared" si="92"/>
        <v>200</v>
      </c>
      <c r="L845" s="7">
        <f t="shared" si="93"/>
        <v>199.21</v>
      </c>
      <c r="M845" s="7">
        <f t="shared" si="94"/>
        <v>0.79000000000000026</v>
      </c>
      <c r="N845" s="7">
        <f t="shared" si="95"/>
        <v>4400.79</v>
      </c>
      <c r="O845" s="7">
        <f t="shared" si="96"/>
        <v>4799.21</v>
      </c>
      <c r="P845" s="15">
        <f t="shared" si="97"/>
        <v>252.16455696202524</v>
      </c>
      <c r="Q845" s="7">
        <f>J845*'Model inputs'!$B$8</f>
        <v>79.000000000000028</v>
      </c>
      <c r="R845" s="1" t="s">
        <v>162</v>
      </c>
      <c r="S845" s="1">
        <v>510</v>
      </c>
      <c r="T845" s="1">
        <v>529</v>
      </c>
    </row>
    <row r="846" spans="1:20" ht="21" customHeight="1">
      <c r="A846" s="8">
        <v>46268</v>
      </c>
      <c r="B846" s="1" t="s">
        <v>34</v>
      </c>
      <c r="C846" s="1" t="s">
        <v>87</v>
      </c>
      <c r="D846" s="7">
        <v>6400</v>
      </c>
      <c r="E846" s="7">
        <v>6600</v>
      </c>
      <c r="F846" s="7">
        <v>6800</v>
      </c>
      <c r="G846" s="7">
        <f>'Option source'!B211</f>
        <v>935</v>
      </c>
      <c r="H846" s="7">
        <f>'Option source'!B230</f>
        <v>800.04</v>
      </c>
      <c r="I846" s="7">
        <f>'Option source'!B249</f>
        <v>665.11</v>
      </c>
      <c r="J846" s="7">
        <f t="shared" si="91"/>
        <v>3.0000000000086402E-2</v>
      </c>
      <c r="K846" s="7">
        <f t="shared" si="92"/>
        <v>200</v>
      </c>
      <c r="L846" s="7">
        <f t="shared" si="93"/>
        <v>199.96999999999991</v>
      </c>
      <c r="M846" s="7">
        <f t="shared" si="94"/>
        <v>3.0000000000086402E-2</v>
      </c>
      <c r="N846" s="7">
        <f t="shared" si="95"/>
        <v>6400.03</v>
      </c>
      <c r="O846" s="7">
        <f t="shared" si="96"/>
        <v>6799.97</v>
      </c>
      <c r="P846" s="15">
        <f t="shared" si="97"/>
        <v>6665.6666666474666</v>
      </c>
      <c r="Q846" s="7">
        <f>J846*'Model inputs'!$B$8</f>
        <v>3.0000000000086402</v>
      </c>
      <c r="R846" s="1" t="s">
        <v>164</v>
      </c>
      <c r="S846" s="1">
        <v>206</v>
      </c>
      <c r="T846" s="1">
        <v>225</v>
      </c>
    </row>
    <row r="847" spans="1:20" ht="21" customHeight="1">
      <c r="A847" s="8">
        <v>46268</v>
      </c>
      <c r="B847" s="1" t="s">
        <v>34</v>
      </c>
      <c r="C847" s="1" t="s">
        <v>90</v>
      </c>
      <c r="D847" s="7">
        <v>7400</v>
      </c>
      <c r="E847" s="7">
        <v>7600</v>
      </c>
      <c r="F847" s="7">
        <v>7800</v>
      </c>
      <c r="G847" s="7">
        <f>'Option source'!B800</f>
        <v>521.53</v>
      </c>
      <c r="H847" s="7">
        <f>'Option source'!B819</f>
        <v>650</v>
      </c>
      <c r="I847" s="7">
        <f>'Option source'!B838</f>
        <v>898.99</v>
      </c>
      <c r="J847" s="7">
        <f t="shared" si="91"/>
        <v>120.51999999999998</v>
      </c>
      <c r="K847" s="7">
        <f t="shared" si="92"/>
        <v>200</v>
      </c>
      <c r="L847" s="7">
        <f t="shared" si="93"/>
        <v>79.480000000000018</v>
      </c>
      <c r="M847" s="7">
        <f t="shared" si="94"/>
        <v>120.51999999999998</v>
      </c>
      <c r="N847" s="7">
        <f t="shared" si="95"/>
        <v>7520.52</v>
      </c>
      <c r="O847" s="7">
        <f t="shared" si="96"/>
        <v>7679.48</v>
      </c>
      <c r="P847" s="15">
        <f t="shared" si="97"/>
        <v>0.65947560570859631</v>
      </c>
      <c r="Q847" s="7">
        <f>J847*'Model inputs'!$B$8</f>
        <v>12051.999999999998</v>
      </c>
      <c r="R847" s="1" t="s">
        <v>164</v>
      </c>
      <c r="S847" s="1">
        <v>795</v>
      </c>
      <c r="T847" s="1">
        <v>814</v>
      </c>
    </row>
    <row r="848" spans="1:20" ht="21" customHeight="1">
      <c r="A848" s="8">
        <v>46268</v>
      </c>
      <c r="B848" s="1" t="s">
        <v>34</v>
      </c>
      <c r="C848" s="1" t="s">
        <v>87</v>
      </c>
      <c r="D848" s="7">
        <v>6200</v>
      </c>
      <c r="E848" s="7">
        <v>6400</v>
      </c>
      <c r="F848" s="7">
        <v>6600</v>
      </c>
      <c r="G848" s="7">
        <f>'Option source'!B192</f>
        <v>1100</v>
      </c>
      <c r="H848" s="7">
        <f>'Option source'!B211</f>
        <v>935</v>
      </c>
      <c r="I848" s="7">
        <f>'Option source'!B230</f>
        <v>800.04</v>
      </c>
      <c r="J848" s="7">
        <f t="shared" si="91"/>
        <v>30.039999999999964</v>
      </c>
      <c r="K848" s="7">
        <f t="shared" si="92"/>
        <v>200</v>
      </c>
      <c r="L848" s="7">
        <f t="shared" si="93"/>
        <v>169.96000000000004</v>
      </c>
      <c r="M848" s="7">
        <f t="shared" si="94"/>
        <v>30.039999999999964</v>
      </c>
      <c r="N848" s="7">
        <f t="shared" si="95"/>
        <v>6230.04</v>
      </c>
      <c r="O848" s="7">
        <f t="shared" si="96"/>
        <v>6569.96</v>
      </c>
      <c r="P848" s="15">
        <f t="shared" si="97"/>
        <v>5.6577896138482107</v>
      </c>
      <c r="Q848" s="7">
        <f>J848*'Model inputs'!$B$8</f>
        <v>3003.9999999999964</v>
      </c>
      <c r="R848" s="1" t="s">
        <v>164</v>
      </c>
      <c r="S848" s="1">
        <v>187</v>
      </c>
      <c r="T848" s="1">
        <v>206</v>
      </c>
    </row>
    <row r="849" spans="1:20" ht="21" customHeight="1">
      <c r="A849" s="8">
        <v>46268</v>
      </c>
      <c r="B849" s="1" t="s">
        <v>34</v>
      </c>
      <c r="C849" s="1" t="s">
        <v>90</v>
      </c>
      <c r="D849" s="7">
        <v>7600</v>
      </c>
      <c r="E849" s="7">
        <v>7800</v>
      </c>
      <c r="F849" s="7">
        <v>8000</v>
      </c>
      <c r="G849" s="7">
        <f>'Option source'!B819</f>
        <v>650</v>
      </c>
      <c r="H849" s="7">
        <f>'Option source'!B838</f>
        <v>898.99</v>
      </c>
      <c r="I849" s="7">
        <f>'Option source'!B857</f>
        <v>1000</v>
      </c>
      <c r="J849" s="7">
        <f t="shared" si="91"/>
        <v>-147.98000000000002</v>
      </c>
      <c r="K849" s="7">
        <f t="shared" si="92"/>
        <v>200</v>
      </c>
      <c r="L849" s="7">
        <f t="shared" si="93"/>
        <v>347.98</v>
      </c>
      <c r="M849" s="7">
        <f t="shared" si="94"/>
        <v>0</v>
      </c>
      <c r="N849" s="7" t="str">
        <f t="shared" si="95"/>
        <v>n.a.</v>
      </c>
      <c r="O849" s="7" t="str">
        <f t="shared" si="96"/>
        <v>n.a.</v>
      </c>
      <c r="P849" s="15" t="str">
        <f t="shared" si="97"/>
        <v>n.a.</v>
      </c>
      <c r="Q849" s="7">
        <f>J849*'Model inputs'!$B$8</f>
        <v>-14798.000000000002</v>
      </c>
      <c r="R849" s="1" t="s">
        <v>163</v>
      </c>
      <c r="S849" s="1">
        <v>814</v>
      </c>
      <c r="T849" s="1">
        <v>833</v>
      </c>
    </row>
    <row r="850" spans="1:20" ht="21" customHeight="1">
      <c r="A850" s="8">
        <v>46268</v>
      </c>
      <c r="B850" s="1" t="s">
        <v>34</v>
      </c>
      <c r="C850" s="1" t="s">
        <v>87</v>
      </c>
      <c r="D850" s="7">
        <v>6000</v>
      </c>
      <c r="E850" s="7">
        <v>6200</v>
      </c>
      <c r="F850" s="7">
        <v>6400</v>
      </c>
      <c r="G850" s="7">
        <f>'Option source'!B173</f>
        <v>1215.5899999999999</v>
      </c>
      <c r="H850" s="7">
        <f>'Option source'!B192</f>
        <v>1100</v>
      </c>
      <c r="I850" s="7">
        <f>'Option source'!B211</f>
        <v>935</v>
      </c>
      <c r="J850" s="7">
        <f t="shared" si="91"/>
        <v>-49.410000000000082</v>
      </c>
      <c r="K850" s="7">
        <f t="shared" si="92"/>
        <v>200</v>
      </c>
      <c r="L850" s="7">
        <f t="shared" si="93"/>
        <v>249.41000000000008</v>
      </c>
      <c r="M850" s="7">
        <f t="shared" si="94"/>
        <v>0</v>
      </c>
      <c r="N850" s="7" t="str">
        <f t="shared" si="95"/>
        <v>n.a.</v>
      </c>
      <c r="O850" s="7" t="str">
        <f t="shared" si="96"/>
        <v>n.a.</v>
      </c>
      <c r="P850" s="15" t="str">
        <f t="shared" si="97"/>
        <v>n.a.</v>
      </c>
      <c r="Q850" s="7">
        <f>J850*'Model inputs'!$B$8</f>
        <v>-4941.0000000000082</v>
      </c>
      <c r="R850" s="1" t="s">
        <v>163</v>
      </c>
      <c r="S850" s="1">
        <v>168</v>
      </c>
      <c r="T850" s="1">
        <v>187</v>
      </c>
    </row>
    <row r="851" spans="1:20" ht="21" customHeight="1">
      <c r="A851" s="8">
        <v>46268</v>
      </c>
      <c r="B851" s="1" t="s">
        <v>34</v>
      </c>
      <c r="C851" s="1" t="s">
        <v>87</v>
      </c>
      <c r="D851" s="7">
        <v>5800</v>
      </c>
      <c r="E851" s="7">
        <v>6000</v>
      </c>
      <c r="F851" s="7">
        <v>6200</v>
      </c>
      <c r="G851" s="7">
        <f>'Option source'!B154</f>
        <v>1490</v>
      </c>
      <c r="H851" s="7">
        <f>'Option source'!B173</f>
        <v>1215.5899999999999</v>
      </c>
      <c r="I851" s="7">
        <f>'Option source'!B192</f>
        <v>1100</v>
      </c>
      <c r="J851" s="7">
        <f t="shared" si="91"/>
        <v>158.82000000000016</v>
      </c>
      <c r="K851" s="7">
        <f t="shared" si="92"/>
        <v>200</v>
      </c>
      <c r="L851" s="7">
        <f t="shared" si="93"/>
        <v>41.179999999999836</v>
      </c>
      <c r="M851" s="7">
        <f t="shared" si="94"/>
        <v>158.82000000000016</v>
      </c>
      <c r="N851" s="7">
        <f t="shared" si="95"/>
        <v>5958.82</v>
      </c>
      <c r="O851" s="7">
        <f t="shared" si="96"/>
        <v>6041.18</v>
      </c>
      <c r="P851" s="15">
        <f t="shared" si="97"/>
        <v>0.25928724342022286</v>
      </c>
      <c r="Q851" s="7">
        <f>J851*'Model inputs'!$B$8</f>
        <v>15882.000000000016</v>
      </c>
      <c r="R851" s="1" t="s">
        <v>164</v>
      </c>
      <c r="S851" s="1">
        <v>149</v>
      </c>
      <c r="T851" s="1">
        <v>168</v>
      </c>
    </row>
    <row r="852" spans="1:20" ht="21" customHeight="1">
      <c r="A852" s="8">
        <v>46268</v>
      </c>
      <c r="B852" s="1" t="s">
        <v>34</v>
      </c>
      <c r="C852" s="1" t="s">
        <v>90</v>
      </c>
      <c r="D852" s="7">
        <v>8000</v>
      </c>
      <c r="E852" s="7">
        <v>8300</v>
      </c>
      <c r="F852" s="7">
        <v>8600</v>
      </c>
      <c r="G852" s="7">
        <f>'Option source'!B857</f>
        <v>1000</v>
      </c>
      <c r="H852" s="7">
        <f>'Option source'!B876</f>
        <v>1270</v>
      </c>
      <c r="I852" s="7">
        <f>'Option source'!B895</f>
        <v>1555.11</v>
      </c>
      <c r="J852" s="7">
        <f t="shared" si="91"/>
        <v>15.1099999999999</v>
      </c>
      <c r="K852" s="7">
        <f t="shared" si="92"/>
        <v>300</v>
      </c>
      <c r="L852" s="7">
        <f t="shared" si="93"/>
        <v>284.8900000000001</v>
      </c>
      <c r="M852" s="7">
        <f t="shared" si="94"/>
        <v>15.1099999999999</v>
      </c>
      <c r="N852" s="7">
        <f t="shared" si="95"/>
        <v>8015.11</v>
      </c>
      <c r="O852" s="7">
        <f t="shared" si="96"/>
        <v>8584.89</v>
      </c>
      <c r="P852" s="15">
        <f t="shared" si="97"/>
        <v>18.854401058901523</v>
      </c>
      <c r="Q852" s="7">
        <f>J852*'Model inputs'!$B$8</f>
        <v>1510.99999999999</v>
      </c>
      <c r="R852" s="1" t="s">
        <v>164</v>
      </c>
      <c r="S852" s="1">
        <v>852</v>
      </c>
      <c r="T852" s="1">
        <v>871</v>
      </c>
    </row>
    <row r="853" spans="1:20" ht="21" customHeight="1">
      <c r="A853" s="8">
        <v>46268</v>
      </c>
      <c r="B853" s="1" t="s">
        <v>34</v>
      </c>
      <c r="C853" s="1" t="s">
        <v>87</v>
      </c>
      <c r="D853" s="7">
        <v>5600</v>
      </c>
      <c r="E853" s="7">
        <v>5800</v>
      </c>
      <c r="F853" s="7">
        <v>6000</v>
      </c>
      <c r="G853" s="7">
        <f>'Option source'!B144</f>
        <v>1600</v>
      </c>
      <c r="H853" s="7">
        <f>'Option source'!B154</f>
        <v>1490</v>
      </c>
      <c r="I853" s="7">
        <f>'Option source'!B173</f>
        <v>1215.5899999999999</v>
      </c>
      <c r="J853" s="7">
        <f t="shared" si="91"/>
        <v>-164.41000000000008</v>
      </c>
      <c r="K853" s="7">
        <f t="shared" si="92"/>
        <v>200</v>
      </c>
      <c r="L853" s="7">
        <f t="shared" si="93"/>
        <v>364.41000000000008</v>
      </c>
      <c r="M853" s="7">
        <f t="shared" si="94"/>
        <v>0</v>
      </c>
      <c r="N853" s="7" t="str">
        <f t="shared" si="95"/>
        <v>n.a.</v>
      </c>
      <c r="O853" s="7" t="str">
        <f t="shared" si="96"/>
        <v>n.a.</v>
      </c>
      <c r="P853" s="15" t="str">
        <f t="shared" si="97"/>
        <v>n.a.</v>
      </c>
      <c r="Q853" s="7">
        <f>J853*'Model inputs'!$B$8</f>
        <v>-16441.000000000007</v>
      </c>
      <c r="R853" s="1" t="s">
        <v>163</v>
      </c>
      <c r="S853" s="1">
        <v>139</v>
      </c>
      <c r="T853" s="1">
        <v>149</v>
      </c>
    </row>
    <row r="854" spans="1:20" ht="21" customHeight="1">
      <c r="A854" s="8">
        <v>46268</v>
      </c>
      <c r="B854" s="1" t="s">
        <v>34</v>
      </c>
      <c r="C854" s="1" t="s">
        <v>87</v>
      </c>
      <c r="D854" s="7">
        <v>5400</v>
      </c>
      <c r="E854" s="7">
        <v>5600</v>
      </c>
      <c r="F854" s="7">
        <v>5800</v>
      </c>
      <c r="G854" s="7">
        <f>'Option source'!B126</f>
        <v>1829.26</v>
      </c>
      <c r="H854" s="7">
        <f>'Option source'!B144</f>
        <v>1600</v>
      </c>
      <c r="I854" s="7">
        <f>'Option source'!B154</f>
        <v>1490</v>
      </c>
      <c r="J854" s="7">
        <f t="shared" si="91"/>
        <v>119.25999999999999</v>
      </c>
      <c r="K854" s="7">
        <f t="shared" si="92"/>
        <v>200</v>
      </c>
      <c r="L854" s="7">
        <f t="shared" si="93"/>
        <v>80.740000000000009</v>
      </c>
      <c r="M854" s="7">
        <f t="shared" si="94"/>
        <v>119.25999999999999</v>
      </c>
      <c r="N854" s="7">
        <f t="shared" si="95"/>
        <v>5519.26</v>
      </c>
      <c r="O854" s="7">
        <f t="shared" si="96"/>
        <v>5680.74</v>
      </c>
      <c r="P854" s="15">
        <f t="shared" si="97"/>
        <v>0.67700821734026506</v>
      </c>
      <c r="Q854" s="7">
        <f>J854*'Model inputs'!$B$8</f>
        <v>11926</v>
      </c>
      <c r="R854" s="1" t="s">
        <v>164</v>
      </c>
      <c r="S854" s="1">
        <v>121</v>
      </c>
      <c r="T854" s="1">
        <v>139</v>
      </c>
    </row>
    <row r="855" spans="1:20" ht="21" customHeight="1">
      <c r="A855" s="8">
        <v>46268</v>
      </c>
      <c r="B855" s="1" t="s">
        <v>34</v>
      </c>
      <c r="C855" s="1" t="s">
        <v>90</v>
      </c>
      <c r="D855" s="7">
        <v>8300</v>
      </c>
      <c r="E855" s="7">
        <v>8600</v>
      </c>
      <c r="F855" s="7">
        <v>8900</v>
      </c>
      <c r="G855" s="7">
        <f>'Option source'!B876</f>
        <v>1270</v>
      </c>
      <c r="H855" s="7">
        <f>'Option source'!B895</f>
        <v>1555.11</v>
      </c>
      <c r="I855" s="7">
        <f>'Option source'!B910</f>
        <v>2022.5</v>
      </c>
      <c r="J855" s="7">
        <f t="shared" si="91"/>
        <v>182.2800000000002</v>
      </c>
      <c r="K855" s="7">
        <f t="shared" si="92"/>
        <v>300</v>
      </c>
      <c r="L855" s="7">
        <f t="shared" si="93"/>
        <v>117.7199999999998</v>
      </c>
      <c r="M855" s="7">
        <f t="shared" si="94"/>
        <v>182.2800000000002</v>
      </c>
      <c r="N855" s="7">
        <f t="shared" si="95"/>
        <v>8482.2800000000007</v>
      </c>
      <c r="O855" s="7">
        <f t="shared" si="96"/>
        <v>8717.7199999999993</v>
      </c>
      <c r="P855" s="15">
        <f t="shared" si="97"/>
        <v>0.64581961816984679</v>
      </c>
      <c r="Q855" s="7">
        <f>J855*'Model inputs'!$B$8</f>
        <v>18228.000000000022</v>
      </c>
      <c r="R855" s="1" t="s">
        <v>164</v>
      </c>
      <c r="S855" s="1">
        <v>871</v>
      </c>
      <c r="T855" s="1">
        <v>890</v>
      </c>
    </row>
    <row r="856" spans="1:20" ht="21" customHeight="1">
      <c r="A856" s="8">
        <v>46268</v>
      </c>
      <c r="B856" s="1" t="s">
        <v>34</v>
      </c>
      <c r="C856" s="1" t="s">
        <v>87</v>
      </c>
      <c r="D856" s="7">
        <v>5200</v>
      </c>
      <c r="E856" s="7">
        <v>5400</v>
      </c>
      <c r="F856" s="7">
        <v>5600</v>
      </c>
      <c r="G856" s="7">
        <f>'Option source'!B107</f>
        <v>2076.9299999999998</v>
      </c>
      <c r="H856" s="7">
        <f>'Option source'!B126</f>
        <v>1829.26</v>
      </c>
      <c r="I856" s="7">
        <f>'Option source'!B144</f>
        <v>1600</v>
      </c>
      <c r="J856" s="7">
        <f t="shared" si="91"/>
        <v>18.409999999999854</v>
      </c>
      <c r="K856" s="7">
        <f t="shared" si="92"/>
        <v>200</v>
      </c>
      <c r="L856" s="7">
        <f t="shared" si="93"/>
        <v>181.59000000000015</v>
      </c>
      <c r="M856" s="7">
        <f t="shared" si="94"/>
        <v>18.409999999999854</v>
      </c>
      <c r="N856" s="7">
        <f t="shared" si="95"/>
        <v>5218.41</v>
      </c>
      <c r="O856" s="7">
        <f t="shared" si="96"/>
        <v>5581.59</v>
      </c>
      <c r="P856" s="15">
        <f t="shared" si="97"/>
        <v>9.8636610537752087</v>
      </c>
      <c r="Q856" s="7">
        <f>J856*'Model inputs'!$B$8</f>
        <v>1840.9999999999854</v>
      </c>
      <c r="R856" s="1" t="s">
        <v>164</v>
      </c>
      <c r="S856" s="1">
        <v>102</v>
      </c>
      <c r="T856" s="1">
        <v>121</v>
      </c>
    </row>
    <row r="857" spans="1:20" ht="21" customHeight="1">
      <c r="A857" s="8">
        <v>46268</v>
      </c>
      <c r="B857" s="1" t="s">
        <v>34</v>
      </c>
      <c r="C857" s="1" t="s">
        <v>87</v>
      </c>
      <c r="D857" s="7">
        <v>5000</v>
      </c>
      <c r="E857" s="7">
        <v>5200</v>
      </c>
      <c r="F857" s="7">
        <v>5400</v>
      </c>
      <c r="G857" s="7">
        <f>'Option source'!B88</f>
        <v>2221.63</v>
      </c>
      <c r="H857" s="7">
        <f>'Option source'!B107</f>
        <v>2076.9299999999998</v>
      </c>
      <c r="I857" s="7">
        <f>'Option source'!B126</f>
        <v>1829.26</v>
      </c>
      <c r="J857" s="7">
        <f t="shared" si="91"/>
        <v>-102.96999999999957</v>
      </c>
      <c r="K857" s="7">
        <f t="shared" si="92"/>
        <v>200</v>
      </c>
      <c r="L857" s="7">
        <f t="shared" si="93"/>
        <v>302.96999999999957</v>
      </c>
      <c r="M857" s="7">
        <f t="shared" si="94"/>
        <v>0</v>
      </c>
      <c r="N857" s="7" t="str">
        <f t="shared" si="95"/>
        <v>n.a.</v>
      </c>
      <c r="O857" s="7" t="str">
        <f t="shared" si="96"/>
        <v>n.a.</v>
      </c>
      <c r="P857" s="15" t="str">
        <f t="shared" si="97"/>
        <v>n.a.</v>
      </c>
      <c r="Q857" s="7">
        <f>J857*'Model inputs'!$B$8</f>
        <v>-10296.999999999956</v>
      </c>
      <c r="R857" s="1" t="s">
        <v>163</v>
      </c>
      <c r="S857" s="1">
        <v>83</v>
      </c>
      <c r="T857" s="1">
        <v>102</v>
      </c>
    </row>
    <row r="858" spans="1:20" ht="21" customHeight="1">
      <c r="A858" s="8">
        <v>46268</v>
      </c>
      <c r="B858" s="1" t="s">
        <v>34</v>
      </c>
      <c r="C858" s="1" t="s">
        <v>87</v>
      </c>
      <c r="D858" s="7">
        <v>4800</v>
      </c>
      <c r="E858" s="7">
        <v>5000</v>
      </c>
      <c r="F858" s="7">
        <v>5200</v>
      </c>
      <c r="G858" s="7">
        <f>'Option source'!B71</f>
        <v>2375</v>
      </c>
      <c r="H858" s="7">
        <f>'Option source'!B88</f>
        <v>2221.63</v>
      </c>
      <c r="I858" s="7">
        <f>'Option source'!B107</f>
        <v>2076.9299999999998</v>
      </c>
      <c r="J858" s="7">
        <f t="shared" si="91"/>
        <v>8.669999999999618</v>
      </c>
      <c r="K858" s="7">
        <f t="shared" si="92"/>
        <v>200</v>
      </c>
      <c r="L858" s="7">
        <f t="shared" si="93"/>
        <v>191.33000000000038</v>
      </c>
      <c r="M858" s="7">
        <f t="shared" si="94"/>
        <v>8.669999999999618</v>
      </c>
      <c r="N858" s="7">
        <f t="shared" si="95"/>
        <v>4808.67</v>
      </c>
      <c r="O858" s="7">
        <f t="shared" si="96"/>
        <v>5191.33</v>
      </c>
      <c r="P858" s="15">
        <f t="shared" si="97"/>
        <v>22.068050749712665</v>
      </c>
      <c r="Q858" s="7">
        <f>J858*'Model inputs'!$B$8</f>
        <v>866.9999999999618</v>
      </c>
      <c r="R858" s="1" t="s">
        <v>164</v>
      </c>
      <c r="S858" s="1">
        <v>66</v>
      </c>
      <c r="T858" s="1">
        <v>83</v>
      </c>
    </row>
    <row r="859" spans="1:20" ht="21" customHeight="1">
      <c r="A859" s="8">
        <v>46268</v>
      </c>
      <c r="B859" s="1" t="s">
        <v>34</v>
      </c>
      <c r="C859" s="1" t="s">
        <v>87</v>
      </c>
      <c r="D859" s="7">
        <v>4600</v>
      </c>
      <c r="E859" s="7">
        <v>4800</v>
      </c>
      <c r="F859" s="7">
        <v>5000</v>
      </c>
      <c r="G859" s="7">
        <f>'Option source'!B54</f>
        <v>2581.0500000000002</v>
      </c>
      <c r="H859" s="7">
        <f>'Option source'!B71</f>
        <v>2375</v>
      </c>
      <c r="I859" s="7">
        <f>'Option source'!B88</f>
        <v>2221.63</v>
      </c>
      <c r="J859" s="7">
        <f t="shared" si="91"/>
        <v>52.680000000000291</v>
      </c>
      <c r="K859" s="7">
        <f t="shared" si="92"/>
        <v>200</v>
      </c>
      <c r="L859" s="7">
        <f t="shared" si="93"/>
        <v>147.31999999999971</v>
      </c>
      <c r="M859" s="7">
        <f t="shared" si="94"/>
        <v>52.680000000000291</v>
      </c>
      <c r="N859" s="7">
        <f t="shared" si="95"/>
        <v>4652.68</v>
      </c>
      <c r="O859" s="7">
        <f t="shared" si="96"/>
        <v>4947.32</v>
      </c>
      <c r="P859" s="15">
        <f t="shared" si="97"/>
        <v>2.7965072133636846</v>
      </c>
      <c r="Q859" s="7">
        <f>J859*'Model inputs'!$B$8</f>
        <v>5268.0000000000291</v>
      </c>
      <c r="R859" s="1" t="s">
        <v>164</v>
      </c>
      <c r="S859" s="1">
        <v>49</v>
      </c>
      <c r="T859" s="1">
        <v>66</v>
      </c>
    </row>
    <row r="860" spans="1:20" ht="21" customHeight="1">
      <c r="A860" s="8">
        <v>46268</v>
      </c>
      <c r="B860" s="1" t="s">
        <v>34</v>
      </c>
      <c r="C860" s="1" t="s">
        <v>90</v>
      </c>
      <c r="D860" s="7">
        <v>4600</v>
      </c>
      <c r="E860" s="7">
        <v>4800</v>
      </c>
      <c r="F860" s="7">
        <v>5000</v>
      </c>
      <c r="G860" s="7">
        <f>'Option source'!B534</f>
        <v>1.48</v>
      </c>
      <c r="H860" s="7">
        <f>'Option source'!B553</f>
        <v>2.2000000000000002</v>
      </c>
      <c r="I860" s="7">
        <f>'Option source'!B572</f>
        <v>2.37</v>
      </c>
      <c r="J860" s="7">
        <f t="shared" si="91"/>
        <v>-0.55000000000000027</v>
      </c>
      <c r="K860" s="7">
        <f t="shared" si="92"/>
        <v>200</v>
      </c>
      <c r="L860" s="7">
        <f t="shared" si="93"/>
        <v>200.55</v>
      </c>
      <c r="M860" s="7">
        <f t="shared" si="94"/>
        <v>0</v>
      </c>
      <c r="N860" s="7" t="str">
        <f t="shared" si="95"/>
        <v>n.a.</v>
      </c>
      <c r="O860" s="7" t="str">
        <f t="shared" si="96"/>
        <v>n.a.</v>
      </c>
      <c r="P860" s="15" t="str">
        <f t="shared" si="97"/>
        <v>n.a.</v>
      </c>
      <c r="Q860" s="7">
        <f>J860*'Model inputs'!$B$8</f>
        <v>-55.000000000000028</v>
      </c>
      <c r="R860" s="1" t="s">
        <v>163</v>
      </c>
      <c r="S860" s="1">
        <v>529</v>
      </c>
      <c r="T860" s="1">
        <v>548</v>
      </c>
    </row>
    <row r="861" spans="1:20" ht="21" customHeight="1">
      <c r="A861" s="8">
        <v>46268</v>
      </c>
      <c r="B861" s="1" t="s">
        <v>34</v>
      </c>
      <c r="C861" s="1" t="s">
        <v>87</v>
      </c>
      <c r="D861" s="7">
        <v>4400</v>
      </c>
      <c r="E861" s="7">
        <v>4600</v>
      </c>
      <c r="F861" s="7">
        <v>4800</v>
      </c>
      <c r="G861" s="7">
        <f>'Option source'!B35</f>
        <v>2772.89</v>
      </c>
      <c r="H861" s="7">
        <f>'Option source'!B54</f>
        <v>2581.0500000000002</v>
      </c>
      <c r="I861" s="7">
        <f>'Option source'!B71</f>
        <v>2375</v>
      </c>
      <c r="J861" s="7">
        <f t="shared" si="91"/>
        <v>-14.210000000000491</v>
      </c>
      <c r="K861" s="7">
        <f t="shared" si="92"/>
        <v>200</v>
      </c>
      <c r="L861" s="7">
        <f t="shared" si="93"/>
        <v>214.21000000000049</v>
      </c>
      <c r="M861" s="7">
        <f t="shared" si="94"/>
        <v>0</v>
      </c>
      <c r="N861" s="7" t="str">
        <f t="shared" si="95"/>
        <v>n.a.</v>
      </c>
      <c r="O861" s="7" t="str">
        <f t="shared" si="96"/>
        <v>n.a.</v>
      </c>
      <c r="P861" s="15" t="str">
        <f t="shared" si="97"/>
        <v>n.a.</v>
      </c>
      <c r="Q861" s="7">
        <f>J861*'Model inputs'!$B$8</f>
        <v>-1421.0000000000491</v>
      </c>
      <c r="R861" s="1" t="s">
        <v>163</v>
      </c>
      <c r="S861" s="1">
        <v>30</v>
      </c>
      <c r="T861" s="1">
        <v>49</v>
      </c>
    </row>
    <row r="862" spans="1:20" ht="21" customHeight="1">
      <c r="A862" s="8">
        <v>46268</v>
      </c>
      <c r="B862" s="1" t="s">
        <v>34</v>
      </c>
      <c r="C862" s="1" t="s">
        <v>87</v>
      </c>
      <c r="D862" s="7">
        <v>4200</v>
      </c>
      <c r="E862" s="7">
        <v>4400</v>
      </c>
      <c r="F862" s="7">
        <v>4600</v>
      </c>
      <c r="G862" s="7">
        <f>'Option source'!B16</f>
        <v>2964.84</v>
      </c>
      <c r="H862" s="7">
        <f>'Option source'!B35</f>
        <v>2772.89</v>
      </c>
      <c r="I862" s="7">
        <f>'Option source'!B54</f>
        <v>2581.0500000000002</v>
      </c>
      <c r="J862" s="7">
        <f t="shared" si="91"/>
        <v>0.11000000000058208</v>
      </c>
      <c r="K862" s="7">
        <f t="shared" si="92"/>
        <v>200</v>
      </c>
      <c r="L862" s="7">
        <f t="shared" si="93"/>
        <v>199.88999999999942</v>
      </c>
      <c r="M862" s="7">
        <f t="shared" si="94"/>
        <v>0.11000000000058208</v>
      </c>
      <c r="N862" s="7">
        <f t="shared" si="95"/>
        <v>4200.1100000000006</v>
      </c>
      <c r="O862" s="7">
        <f t="shared" si="96"/>
        <v>4599.8899999999994</v>
      </c>
      <c r="P862" s="15">
        <f t="shared" si="97"/>
        <v>1817.1818181721972</v>
      </c>
      <c r="Q862" s="7">
        <f>J862*'Model inputs'!$B$8</f>
        <v>11.000000000058208</v>
      </c>
      <c r="R862" s="1" t="s">
        <v>164</v>
      </c>
      <c r="S862" s="1">
        <v>11</v>
      </c>
      <c r="T862" s="1">
        <v>30</v>
      </c>
    </row>
    <row r="863" spans="1:20" ht="21" customHeight="1">
      <c r="A863" s="8">
        <v>46268</v>
      </c>
      <c r="B863" s="1" t="s">
        <v>34</v>
      </c>
      <c r="C863" s="1" t="s">
        <v>90</v>
      </c>
      <c r="D863" s="7">
        <v>4200</v>
      </c>
      <c r="E863" s="7">
        <v>4400</v>
      </c>
      <c r="F863" s="7">
        <v>4600</v>
      </c>
      <c r="G863" s="7">
        <f>'Option source'!B496</f>
        <v>1.05</v>
      </c>
      <c r="H863" s="7">
        <f>'Option source'!B515</f>
        <v>1.55</v>
      </c>
      <c r="I863" s="7">
        <f>'Option source'!B534</f>
        <v>1.48</v>
      </c>
      <c r="J863" s="7">
        <f t="shared" si="91"/>
        <v>-0.56999999999999984</v>
      </c>
      <c r="K863" s="7">
        <f t="shared" si="92"/>
        <v>200</v>
      </c>
      <c r="L863" s="7">
        <f t="shared" si="93"/>
        <v>200.57</v>
      </c>
      <c r="M863" s="7">
        <f t="shared" si="94"/>
        <v>0</v>
      </c>
      <c r="N863" s="7" t="str">
        <f t="shared" si="95"/>
        <v>n.a.</v>
      </c>
      <c r="O863" s="7" t="str">
        <f t="shared" si="96"/>
        <v>n.a.</v>
      </c>
      <c r="P863" s="15" t="str">
        <f t="shared" si="97"/>
        <v>n.a.</v>
      </c>
      <c r="Q863" s="7">
        <f>J863*'Model inputs'!$B$8</f>
        <v>-56.999999999999986</v>
      </c>
      <c r="R863" s="1" t="s">
        <v>163</v>
      </c>
      <c r="S863" s="1">
        <v>491</v>
      </c>
      <c r="T863" s="1">
        <v>510</v>
      </c>
    </row>
    <row r="864" spans="1:20" ht="21" customHeight="1">
      <c r="A864" s="8">
        <v>46268</v>
      </c>
      <c r="B864" s="1" t="s">
        <v>36</v>
      </c>
      <c r="C864" s="1" t="s">
        <v>87</v>
      </c>
      <c r="D864" s="7">
        <v>6800</v>
      </c>
      <c r="E864" s="7">
        <v>7000</v>
      </c>
      <c r="F864" s="7"/>
      <c r="G864" s="7">
        <f>'Option source'!B249</f>
        <v>665.11</v>
      </c>
      <c r="H864" s="7">
        <f>'Option source'!B268</f>
        <v>547.83000000000004</v>
      </c>
      <c r="I864" s="7"/>
      <c r="J864" s="7">
        <f t="shared" si="91"/>
        <v>-430.55000000000007</v>
      </c>
      <c r="K864" s="7">
        <f t="shared" si="92"/>
        <v>200</v>
      </c>
      <c r="L864" s="7">
        <f t="shared" si="93"/>
        <v>630.55000000000007</v>
      </c>
      <c r="M864" s="7" t="str">
        <f t="shared" si="94"/>
        <v>Unlimited</v>
      </c>
      <c r="N864" s="7" t="str">
        <f t="shared" si="95"/>
        <v>n.a.</v>
      </c>
      <c r="O864" s="7">
        <f t="shared" si="96"/>
        <v>7630.55</v>
      </c>
      <c r="P864" s="15" t="str">
        <f t="shared" si="97"/>
        <v>n.a.</v>
      </c>
      <c r="Q864" s="7">
        <f>J864*'Model inputs'!$B$8</f>
        <v>-43055.000000000007</v>
      </c>
      <c r="R864" s="1" t="s">
        <v>162</v>
      </c>
      <c r="S864" s="1">
        <v>244</v>
      </c>
      <c r="T864" s="1">
        <v>263</v>
      </c>
    </row>
    <row r="865" spans="1:20" ht="21" customHeight="1">
      <c r="A865" s="8">
        <v>46268</v>
      </c>
      <c r="B865" s="1" t="s">
        <v>36</v>
      </c>
      <c r="C865" s="1" t="s">
        <v>90</v>
      </c>
      <c r="D865" s="7">
        <v>7200</v>
      </c>
      <c r="E865" s="7">
        <v>7000</v>
      </c>
      <c r="F865" s="7"/>
      <c r="G865" s="7">
        <f>'Option source'!B781</f>
        <v>403.61</v>
      </c>
      <c r="H865" s="7">
        <f>'Option source'!B762</f>
        <v>315.24</v>
      </c>
      <c r="I865" s="7"/>
      <c r="J865" s="7">
        <f t="shared" si="91"/>
        <v>-226.87</v>
      </c>
      <c r="K865" s="7">
        <f t="shared" si="92"/>
        <v>200</v>
      </c>
      <c r="L865" s="7">
        <f t="shared" si="93"/>
        <v>426.87</v>
      </c>
      <c r="M865" s="7">
        <f t="shared" si="94"/>
        <v>6573.13</v>
      </c>
      <c r="N865" s="7">
        <f t="shared" si="95"/>
        <v>6573.13</v>
      </c>
      <c r="O865" s="7" t="str">
        <f t="shared" si="96"/>
        <v>n.a.</v>
      </c>
      <c r="P865" s="15" t="str">
        <f t="shared" si="97"/>
        <v>n.a.</v>
      </c>
      <c r="Q865" s="7">
        <f>J865*'Model inputs'!$B$8</f>
        <v>-22687</v>
      </c>
      <c r="R865" s="1" t="s">
        <v>162</v>
      </c>
      <c r="S865" s="1">
        <v>776</v>
      </c>
      <c r="T865" s="1">
        <v>757</v>
      </c>
    </row>
    <row r="866" spans="1:20" ht="21" customHeight="1">
      <c r="A866" s="8">
        <v>46268</v>
      </c>
      <c r="B866" s="1" t="s">
        <v>36</v>
      </c>
      <c r="C866" s="1" t="s">
        <v>87</v>
      </c>
      <c r="D866" s="7">
        <v>7000</v>
      </c>
      <c r="E866" s="7">
        <v>7200</v>
      </c>
      <c r="F866" s="7"/>
      <c r="G866" s="7">
        <f>'Option source'!B268</f>
        <v>547.83000000000004</v>
      </c>
      <c r="H866" s="7">
        <f>'Option source'!B287</f>
        <v>446.85</v>
      </c>
      <c r="I866" s="7"/>
      <c r="J866" s="7">
        <f t="shared" si="91"/>
        <v>-345.87</v>
      </c>
      <c r="K866" s="7">
        <f t="shared" si="92"/>
        <v>200</v>
      </c>
      <c r="L866" s="7">
        <f t="shared" si="93"/>
        <v>545.87</v>
      </c>
      <c r="M866" s="7" t="str">
        <f t="shared" si="94"/>
        <v>Unlimited</v>
      </c>
      <c r="N866" s="7" t="str">
        <f t="shared" si="95"/>
        <v>n.a.</v>
      </c>
      <c r="O866" s="7">
        <f t="shared" si="96"/>
        <v>7745.87</v>
      </c>
      <c r="P866" s="15" t="str">
        <f t="shared" si="97"/>
        <v>n.a.</v>
      </c>
      <c r="Q866" s="7">
        <f>J866*'Model inputs'!$B$8</f>
        <v>-34587</v>
      </c>
      <c r="R866" s="1" t="s">
        <v>162</v>
      </c>
      <c r="S866" s="1">
        <v>263</v>
      </c>
      <c r="T866" s="1">
        <v>282</v>
      </c>
    </row>
    <row r="867" spans="1:20" ht="21" customHeight="1">
      <c r="A867" s="8">
        <v>46268</v>
      </c>
      <c r="B867" s="1" t="s">
        <v>36</v>
      </c>
      <c r="C867" s="1" t="s">
        <v>90</v>
      </c>
      <c r="D867" s="7">
        <v>7400</v>
      </c>
      <c r="E867" s="7">
        <v>7200</v>
      </c>
      <c r="F867" s="7"/>
      <c r="G867" s="7">
        <f>'Option source'!B800</f>
        <v>521.53</v>
      </c>
      <c r="H867" s="7">
        <f>'Option source'!B781</f>
        <v>403.61</v>
      </c>
      <c r="I867" s="7"/>
      <c r="J867" s="7">
        <f t="shared" si="91"/>
        <v>-285.69000000000005</v>
      </c>
      <c r="K867" s="7">
        <f t="shared" si="92"/>
        <v>200</v>
      </c>
      <c r="L867" s="7">
        <f t="shared" si="93"/>
        <v>485.69000000000005</v>
      </c>
      <c r="M867" s="7">
        <f t="shared" si="94"/>
        <v>6714.3099999999995</v>
      </c>
      <c r="N867" s="7">
        <f t="shared" si="95"/>
        <v>6714.3099999999995</v>
      </c>
      <c r="O867" s="7" t="str">
        <f t="shared" si="96"/>
        <v>n.a.</v>
      </c>
      <c r="P867" s="15" t="str">
        <f t="shared" si="97"/>
        <v>n.a.</v>
      </c>
      <c r="Q867" s="7">
        <f>J867*'Model inputs'!$B$8</f>
        <v>-28569.000000000007</v>
      </c>
      <c r="R867" s="1" t="s">
        <v>162</v>
      </c>
      <c r="S867" s="1">
        <v>795</v>
      </c>
      <c r="T867" s="1">
        <v>776</v>
      </c>
    </row>
    <row r="868" spans="1:20" ht="21" customHeight="1">
      <c r="A868" s="8">
        <v>46268</v>
      </c>
      <c r="B868" s="1" t="s">
        <v>36</v>
      </c>
      <c r="C868" s="1" t="s">
        <v>87</v>
      </c>
      <c r="D868" s="7">
        <v>6600</v>
      </c>
      <c r="E868" s="7">
        <v>6800</v>
      </c>
      <c r="F868" s="7"/>
      <c r="G868" s="7">
        <f>'Option source'!B230</f>
        <v>800.04</v>
      </c>
      <c r="H868" s="7">
        <f>'Option source'!B249</f>
        <v>665.11</v>
      </c>
      <c r="I868" s="7"/>
      <c r="J868" s="7">
        <f t="shared" si="91"/>
        <v>-530.18000000000006</v>
      </c>
      <c r="K868" s="7">
        <f t="shared" si="92"/>
        <v>200</v>
      </c>
      <c r="L868" s="7">
        <f t="shared" si="93"/>
        <v>730.18000000000006</v>
      </c>
      <c r="M868" s="7" t="str">
        <f t="shared" si="94"/>
        <v>Unlimited</v>
      </c>
      <c r="N868" s="7" t="str">
        <f t="shared" si="95"/>
        <v>n.a.</v>
      </c>
      <c r="O868" s="7">
        <f t="shared" si="96"/>
        <v>7530.18</v>
      </c>
      <c r="P868" s="15" t="str">
        <f t="shared" si="97"/>
        <v>n.a.</v>
      </c>
      <c r="Q868" s="7">
        <f>J868*'Model inputs'!$B$8</f>
        <v>-53018.000000000007</v>
      </c>
      <c r="R868" s="1" t="s">
        <v>162</v>
      </c>
      <c r="S868" s="1">
        <v>225</v>
      </c>
      <c r="T868" s="1">
        <v>244</v>
      </c>
    </row>
    <row r="869" spans="1:20" ht="21" customHeight="1">
      <c r="A869" s="8">
        <v>46268</v>
      </c>
      <c r="B869" s="1" t="s">
        <v>36</v>
      </c>
      <c r="C869" s="1" t="s">
        <v>90</v>
      </c>
      <c r="D869" s="7">
        <v>7000</v>
      </c>
      <c r="E869" s="7">
        <v>6800</v>
      </c>
      <c r="F869" s="7"/>
      <c r="G869" s="7">
        <f>'Option source'!B762</f>
        <v>315.24</v>
      </c>
      <c r="H869" s="7">
        <f>'Option source'!B743</f>
        <v>235.69</v>
      </c>
      <c r="I869" s="7"/>
      <c r="J869" s="7">
        <f t="shared" si="91"/>
        <v>-156.13999999999999</v>
      </c>
      <c r="K869" s="7">
        <f t="shared" si="92"/>
        <v>200</v>
      </c>
      <c r="L869" s="7">
        <f t="shared" si="93"/>
        <v>356.14</v>
      </c>
      <c r="M869" s="7">
        <f t="shared" si="94"/>
        <v>6443.86</v>
      </c>
      <c r="N869" s="7">
        <f t="shared" si="95"/>
        <v>6443.86</v>
      </c>
      <c r="O869" s="7" t="str">
        <f t="shared" si="96"/>
        <v>n.a.</v>
      </c>
      <c r="P869" s="15" t="str">
        <f t="shared" si="97"/>
        <v>n.a.</v>
      </c>
      <c r="Q869" s="7">
        <f>J869*'Model inputs'!$B$8</f>
        <v>-15613.999999999998</v>
      </c>
      <c r="R869" s="1" t="s">
        <v>162</v>
      </c>
      <c r="S869" s="1">
        <v>757</v>
      </c>
      <c r="T869" s="1">
        <v>738</v>
      </c>
    </row>
    <row r="870" spans="1:20" ht="21" customHeight="1">
      <c r="A870" s="8">
        <v>46268</v>
      </c>
      <c r="B870" s="1" t="s">
        <v>36</v>
      </c>
      <c r="C870" s="1" t="s">
        <v>87</v>
      </c>
      <c r="D870" s="7">
        <v>7200</v>
      </c>
      <c r="E870" s="7">
        <v>7400</v>
      </c>
      <c r="F870" s="7"/>
      <c r="G870" s="7">
        <f>'Option source'!B287</f>
        <v>446.85</v>
      </c>
      <c r="H870" s="7">
        <f>'Option source'!B306</f>
        <v>355.55</v>
      </c>
      <c r="I870" s="7"/>
      <c r="J870" s="7">
        <f t="shared" si="91"/>
        <v>-264.25</v>
      </c>
      <c r="K870" s="7">
        <f t="shared" si="92"/>
        <v>200</v>
      </c>
      <c r="L870" s="7">
        <f t="shared" si="93"/>
        <v>464.25</v>
      </c>
      <c r="M870" s="7" t="str">
        <f t="shared" si="94"/>
        <v>Unlimited</v>
      </c>
      <c r="N870" s="7" t="str">
        <f t="shared" si="95"/>
        <v>n.a.</v>
      </c>
      <c r="O870" s="7">
        <f t="shared" si="96"/>
        <v>7864.25</v>
      </c>
      <c r="P870" s="15" t="str">
        <f t="shared" si="97"/>
        <v>n.a.</v>
      </c>
      <c r="Q870" s="7">
        <f>J870*'Model inputs'!$B$8</f>
        <v>-26425</v>
      </c>
      <c r="R870" s="1" t="s">
        <v>162</v>
      </c>
      <c r="S870" s="1">
        <v>282</v>
      </c>
      <c r="T870" s="1">
        <v>301</v>
      </c>
    </row>
    <row r="871" spans="1:20" ht="21" customHeight="1">
      <c r="A871" s="8">
        <v>46268</v>
      </c>
      <c r="B871" s="1" t="s">
        <v>36</v>
      </c>
      <c r="C871" s="1" t="s">
        <v>90</v>
      </c>
      <c r="D871" s="7">
        <v>7600</v>
      </c>
      <c r="E871" s="7">
        <v>7400</v>
      </c>
      <c r="F871" s="7"/>
      <c r="G871" s="7">
        <f>'Option source'!B819</f>
        <v>650</v>
      </c>
      <c r="H871" s="7">
        <f>'Option source'!B800</f>
        <v>521.53</v>
      </c>
      <c r="I871" s="7"/>
      <c r="J871" s="7">
        <f t="shared" si="91"/>
        <v>-393.05999999999995</v>
      </c>
      <c r="K871" s="7">
        <f t="shared" si="92"/>
        <v>200</v>
      </c>
      <c r="L871" s="7">
        <f t="shared" si="93"/>
        <v>593.05999999999995</v>
      </c>
      <c r="M871" s="7">
        <f t="shared" si="94"/>
        <v>6806.9400000000005</v>
      </c>
      <c r="N871" s="7">
        <f t="shared" si="95"/>
        <v>6806.9400000000005</v>
      </c>
      <c r="O871" s="7" t="str">
        <f t="shared" si="96"/>
        <v>n.a.</v>
      </c>
      <c r="P871" s="15" t="str">
        <f t="shared" si="97"/>
        <v>n.a.</v>
      </c>
      <c r="Q871" s="7">
        <f>J871*'Model inputs'!$B$8</f>
        <v>-39305.999999999993</v>
      </c>
      <c r="R871" s="1" t="s">
        <v>162</v>
      </c>
      <c r="S871" s="1">
        <v>814</v>
      </c>
      <c r="T871" s="1">
        <v>795</v>
      </c>
    </row>
    <row r="872" spans="1:20" ht="21" customHeight="1">
      <c r="A872" s="8">
        <v>46268</v>
      </c>
      <c r="B872" s="1" t="s">
        <v>36</v>
      </c>
      <c r="C872" s="1" t="s">
        <v>90</v>
      </c>
      <c r="D872" s="7">
        <v>6800</v>
      </c>
      <c r="E872" s="7">
        <v>6600</v>
      </c>
      <c r="F872" s="7"/>
      <c r="G872" s="7">
        <f>'Option source'!B743</f>
        <v>235.69</v>
      </c>
      <c r="H872" s="7">
        <f>'Option source'!B724</f>
        <v>167.73</v>
      </c>
      <c r="I872" s="7"/>
      <c r="J872" s="7">
        <f t="shared" si="91"/>
        <v>-99.769999999999982</v>
      </c>
      <c r="K872" s="7">
        <f t="shared" si="92"/>
        <v>200</v>
      </c>
      <c r="L872" s="7">
        <f t="shared" si="93"/>
        <v>299.77</v>
      </c>
      <c r="M872" s="7">
        <f t="shared" si="94"/>
        <v>6300.23</v>
      </c>
      <c r="N872" s="7">
        <f t="shared" si="95"/>
        <v>6300.23</v>
      </c>
      <c r="O872" s="7" t="str">
        <f t="shared" si="96"/>
        <v>n.a.</v>
      </c>
      <c r="P872" s="15" t="str">
        <f t="shared" si="97"/>
        <v>n.a.</v>
      </c>
      <c r="Q872" s="7">
        <f>J872*'Model inputs'!$B$8</f>
        <v>-9976.9999999999982</v>
      </c>
      <c r="R872" s="1" t="s">
        <v>162</v>
      </c>
      <c r="S872" s="1">
        <v>738</v>
      </c>
      <c r="T872" s="1">
        <v>719</v>
      </c>
    </row>
    <row r="873" spans="1:20" ht="21" customHeight="1">
      <c r="A873" s="8">
        <v>46268</v>
      </c>
      <c r="B873" s="1" t="s">
        <v>36</v>
      </c>
      <c r="C873" s="1" t="s">
        <v>87</v>
      </c>
      <c r="D873" s="7">
        <v>7400</v>
      </c>
      <c r="E873" s="7">
        <v>7600</v>
      </c>
      <c r="F873" s="7"/>
      <c r="G873" s="7">
        <f>'Option source'!B306</f>
        <v>355.55</v>
      </c>
      <c r="H873" s="7">
        <f>'Option source'!B325</f>
        <v>280.92</v>
      </c>
      <c r="I873" s="7"/>
      <c r="J873" s="7">
        <f t="shared" si="91"/>
        <v>-206.29000000000002</v>
      </c>
      <c r="K873" s="7">
        <f t="shared" si="92"/>
        <v>200</v>
      </c>
      <c r="L873" s="7">
        <f t="shared" si="93"/>
        <v>406.29</v>
      </c>
      <c r="M873" s="7" t="str">
        <f t="shared" si="94"/>
        <v>Unlimited</v>
      </c>
      <c r="N873" s="7" t="str">
        <f t="shared" si="95"/>
        <v>n.a.</v>
      </c>
      <c r="O873" s="7">
        <f t="shared" si="96"/>
        <v>8006.29</v>
      </c>
      <c r="P873" s="15" t="str">
        <f t="shared" si="97"/>
        <v>n.a.</v>
      </c>
      <c r="Q873" s="7">
        <f>J873*'Model inputs'!$B$8</f>
        <v>-20629.000000000004</v>
      </c>
      <c r="R873" s="1" t="s">
        <v>162</v>
      </c>
      <c r="S873" s="1">
        <v>301</v>
      </c>
      <c r="T873" s="1">
        <v>320</v>
      </c>
    </row>
    <row r="874" spans="1:20" ht="21" customHeight="1">
      <c r="A874" s="8">
        <v>46268</v>
      </c>
      <c r="B874" s="1" t="s">
        <v>36</v>
      </c>
      <c r="C874" s="1" t="s">
        <v>90</v>
      </c>
      <c r="D874" s="7">
        <v>6600</v>
      </c>
      <c r="E874" s="7">
        <v>6400</v>
      </c>
      <c r="F874" s="7"/>
      <c r="G874" s="7">
        <f>'Option source'!B724</f>
        <v>167.73</v>
      </c>
      <c r="H874" s="7">
        <f>'Option source'!B705</f>
        <v>113.71</v>
      </c>
      <c r="I874" s="7"/>
      <c r="J874" s="7">
        <f t="shared" si="91"/>
        <v>-59.69</v>
      </c>
      <c r="K874" s="7">
        <f t="shared" si="92"/>
        <v>200</v>
      </c>
      <c r="L874" s="7">
        <f t="shared" si="93"/>
        <v>259.69</v>
      </c>
      <c r="M874" s="7">
        <f t="shared" si="94"/>
        <v>6140.31</v>
      </c>
      <c r="N874" s="7">
        <f t="shared" si="95"/>
        <v>6140.31</v>
      </c>
      <c r="O874" s="7" t="str">
        <f t="shared" si="96"/>
        <v>n.a.</v>
      </c>
      <c r="P874" s="15" t="str">
        <f t="shared" si="97"/>
        <v>n.a.</v>
      </c>
      <c r="Q874" s="7">
        <f>J874*'Model inputs'!$B$8</f>
        <v>-5969</v>
      </c>
      <c r="R874" s="1" t="s">
        <v>162</v>
      </c>
      <c r="S874" s="1">
        <v>719</v>
      </c>
      <c r="T874" s="1">
        <v>700</v>
      </c>
    </row>
    <row r="875" spans="1:20" ht="21" customHeight="1">
      <c r="A875" s="8">
        <v>46268</v>
      </c>
      <c r="B875" s="1" t="s">
        <v>36</v>
      </c>
      <c r="C875" s="1" t="s">
        <v>87</v>
      </c>
      <c r="D875" s="7">
        <v>7600</v>
      </c>
      <c r="E875" s="7">
        <v>7800</v>
      </c>
      <c r="F875" s="7"/>
      <c r="G875" s="7">
        <f>'Option source'!B325</f>
        <v>280.92</v>
      </c>
      <c r="H875" s="7">
        <f>'Option source'!B344</f>
        <v>216.52</v>
      </c>
      <c r="I875" s="7"/>
      <c r="J875" s="7">
        <f t="shared" si="91"/>
        <v>-152.12</v>
      </c>
      <c r="K875" s="7">
        <f t="shared" si="92"/>
        <v>200</v>
      </c>
      <c r="L875" s="7">
        <f t="shared" si="93"/>
        <v>352.12</v>
      </c>
      <c r="M875" s="7" t="str">
        <f t="shared" si="94"/>
        <v>Unlimited</v>
      </c>
      <c r="N875" s="7" t="str">
        <f t="shared" si="95"/>
        <v>n.a.</v>
      </c>
      <c r="O875" s="7">
        <f t="shared" si="96"/>
        <v>8152.12</v>
      </c>
      <c r="P875" s="15" t="str">
        <f t="shared" si="97"/>
        <v>n.a.</v>
      </c>
      <c r="Q875" s="7">
        <f>J875*'Model inputs'!$B$8</f>
        <v>-15212</v>
      </c>
      <c r="R875" s="1" t="s">
        <v>162</v>
      </c>
      <c r="S875" s="1">
        <v>320</v>
      </c>
      <c r="T875" s="1">
        <v>339</v>
      </c>
    </row>
    <row r="876" spans="1:20" ht="21" customHeight="1">
      <c r="A876" s="8">
        <v>46268</v>
      </c>
      <c r="B876" s="1" t="s">
        <v>36</v>
      </c>
      <c r="C876" s="1" t="s">
        <v>90</v>
      </c>
      <c r="D876" s="7">
        <v>6400</v>
      </c>
      <c r="E876" s="7">
        <v>6200</v>
      </c>
      <c r="F876" s="7"/>
      <c r="G876" s="7">
        <f>'Option source'!B705</f>
        <v>113.71</v>
      </c>
      <c r="H876" s="7">
        <f>'Option source'!B686</f>
        <v>73.430000000000007</v>
      </c>
      <c r="I876" s="7"/>
      <c r="J876" s="7">
        <f t="shared" si="91"/>
        <v>-33.15000000000002</v>
      </c>
      <c r="K876" s="7">
        <f t="shared" si="92"/>
        <v>200</v>
      </c>
      <c r="L876" s="7">
        <f t="shared" si="93"/>
        <v>233.15000000000003</v>
      </c>
      <c r="M876" s="7">
        <f t="shared" si="94"/>
        <v>5966.85</v>
      </c>
      <c r="N876" s="7">
        <f t="shared" si="95"/>
        <v>5966.85</v>
      </c>
      <c r="O876" s="7" t="str">
        <f t="shared" si="96"/>
        <v>n.a.</v>
      </c>
      <c r="P876" s="15" t="str">
        <f t="shared" si="97"/>
        <v>n.a.</v>
      </c>
      <c r="Q876" s="7">
        <f>J876*'Model inputs'!$B$8</f>
        <v>-3315.0000000000018</v>
      </c>
      <c r="R876" s="1" t="s">
        <v>162</v>
      </c>
      <c r="S876" s="1">
        <v>700</v>
      </c>
      <c r="T876" s="1">
        <v>681</v>
      </c>
    </row>
    <row r="877" spans="1:20" ht="21" customHeight="1">
      <c r="A877" s="8">
        <v>46268</v>
      </c>
      <c r="B877" s="1" t="s">
        <v>36</v>
      </c>
      <c r="C877" s="1" t="s">
        <v>87</v>
      </c>
      <c r="D877" s="7">
        <v>7800</v>
      </c>
      <c r="E877" s="7">
        <v>8000</v>
      </c>
      <c r="F877" s="7"/>
      <c r="G877" s="7">
        <f>'Option source'!B344</f>
        <v>216.52</v>
      </c>
      <c r="H877" s="7">
        <f>'Option source'!B363</f>
        <v>167.84</v>
      </c>
      <c r="I877" s="7"/>
      <c r="J877" s="7">
        <f t="shared" si="91"/>
        <v>-119.16</v>
      </c>
      <c r="K877" s="7">
        <f t="shared" si="92"/>
        <v>200</v>
      </c>
      <c r="L877" s="7">
        <f t="shared" si="93"/>
        <v>319.15999999999997</v>
      </c>
      <c r="M877" s="7" t="str">
        <f t="shared" si="94"/>
        <v>Unlimited</v>
      </c>
      <c r="N877" s="7" t="str">
        <f t="shared" si="95"/>
        <v>n.a.</v>
      </c>
      <c r="O877" s="7">
        <f t="shared" si="96"/>
        <v>8319.16</v>
      </c>
      <c r="P877" s="15" t="str">
        <f t="shared" si="97"/>
        <v>n.a.</v>
      </c>
      <c r="Q877" s="7">
        <f>J877*'Model inputs'!$B$8</f>
        <v>-11916</v>
      </c>
      <c r="R877" s="1" t="s">
        <v>162</v>
      </c>
      <c r="S877" s="1">
        <v>339</v>
      </c>
      <c r="T877" s="1">
        <v>358</v>
      </c>
    </row>
    <row r="878" spans="1:20" ht="21" customHeight="1">
      <c r="A878" s="8">
        <v>46268</v>
      </c>
      <c r="B878" s="1" t="s">
        <v>36</v>
      </c>
      <c r="C878" s="1" t="s">
        <v>90</v>
      </c>
      <c r="D878" s="7">
        <v>6200</v>
      </c>
      <c r="E878" s="7">
        <v>6000</v>
      </c>
      <c r="F878" s="7"/>
      <c r="G878" s="7">
        <f>'Option source'!B686</f>
        <v>73.430000000000007</v>
      </c>
      <c r="H878" s="7">
        <f>'Option source'!B667</f>
        <v>45.1</v>
      </c>
      <c r="I878" s="7"/>
      <c r="J878" s="7">
        <f t="shared" si="91"/>
        <v>-16.769999999999996</v>
      </c>
      <c r="K878" s="7">
        <f t="shared" si="92"/>
        <v>200</v>
      </c>
      <c r="L878" s="7">
        <f t="shared" si="93"/>
        <v>216.76999999999998</v>
      </c>
      <c r="M878" s="7">
        <f t="shared" si="94"/>
        <v>5783.23</v>
      </c>
      <c r="N878" s="7">
        <f t="shared" si="95"/>
        <v>5783.23</v>
      </c>
      <c r="O878" s="7" t="str">
        <f t="shared" si="96"/>
        <v>n.a.</v>
      </c>
      <c r="P878" s="15" t="str">
        <f t="shared" si="97"/>
        <v>n.a.</v>
      </c>
      <c r="Q878" s="7">
        <f>J878*'Model inputs'!$B$8</f>
        <v>-1676.9999999999995</v>
      </c>
      <c r="R878" s="1" t="s">
        <v>162</v>
      </c>
      <c r="S878" s="1">
        <v>681</v>
      </c>
      <c r="T878" s="1">
        <v>662</v>
      </c>
    </row>
    <row r="879" spans="1:20" ht="21" customHeight="1">
      <c r="A879" s="8">
        <v>46268</v>
      </c>
      <c r="B879" s="1" t="s">
        <v>36</v>
      </c>
      <c r="C879" s="1" t="s">
        <v>87</v>
      </c>
      <c r="D879" s="7">
        <v>8000</v>
      </c>
      <c r="E879" s="7">
        <v>8300</v>
      </c>
      <c r="F879" s="7"/>
      <c r="G879" s="7">
        <f>'Option source'!B363</f>
        <v>167.84</v>
      </c>
      <c r="H879" s="7">
        <f>'Option source'!B382</f>
        <v>112.69</v>
      </c>
      <c r="I879" s="7"/>
      <c r="J879" s="7">
        <f t="shared" si="91"/>
        <v>-57.539999999999992</v>
      </c>
      <c r="K879" s="7">
        <f t="shared" si="92"/>
        <v>300</v>
      </c>
      <c r="L879" s="7">
        <f t="shared" si="93"/>
        <v>357.53999999999996</v>
      </c>
      <c r="M879" s="7" t="str">
        <f t="shared" si="94"/>
        <v>Unlimited</v>
      </c>
      <c r="N879" s="7" t="str">
        <f t="shared" si="95"/>
        <v>n.a.</v>
      </c>
      <c r="O879" s="7">
        <f t="shared" si="96"/>
        <v>8657.5400000000009</v>
      </c>
      <c r="P879" s="15" t="str">
        <f t="shared" si="97"/>
        <v>n.a.</v>
      </c>
      <c r="Q879" s="7">
        <f>J879*'Model inputs'!$B$8</f>
        <v>-5753.9999999999991</v>
      </c>
      <c r="R879" s="1" t="s">
        <v>162</v>
      </c>
      <c r="S879" s="1">
        <v>358</v>
      </c>
      <c r="T879" s="1">
        <v>377</v>
      </c>
    </row>
    <row r="880" spans="1:20" ht="21" customHeight="1">
      <c r="A880" s="8">
        <v>46268</v>
      </c>
      <c r="B880" s="1" t="s">
        <v>36</v>
      </c>
      <c r="C880" s="1" t="s">
        <v>90</v>
      </c>
      <c r="D880" s="7">
        <v>6000</v>
      </c>
      <c r="E880" s="7">
        <v>5800</v>
      </c>
      <c r="F880" s="7"/>
      <c r="G880" s="7">
        <f>'Option source'!B667</f>
        <v>45.1</v>
      </c>
      <c r="H880" s="7">
        <f>'Option source'!B648</f>
        <v>26.51</v>
      </c>
      <c r="I880" s="7"/>
      <c r="J880" s="7">
        <f t="shared" si="91"/>
        <v>-7.9200000000000017</v>
      </c>
      <c r="K880" s="7">
        <f t="shared" si="92"/>
        <v>200</v>
      </c>
      <c r="L880" s="7">
        <f t="shared" si="93"/>
        <v>207.92000000000002</v>
      </c>
      <c r="M880" s="7">
        <f t="shared" si="94"/>
        <v>5592.08</v>
      </c>
      <c r="N880" s="7">
        <f t="shared" si="95"/>
        <v>5592.08</v>
      </c>
      <c r="O880" s="7" t="str">
        <f t="shared" si="96"/>
        <v>n.a.</v>
      </c>
      <c r="P880" s="15" t="str">
        <f t="shared" si="97"/>
        <v>n.a.</v>
      </c>
      <c r="Q880" s="7">
        <f>J880*'Model inputs'!$B$8</f>
        <v>-792.00000000000023</v>
      </c>
      <c r="R880" s="1" t="s">
        <v>162</v>
      </c>
      <c r="S880" s="1">
        <v>662</v>
      </c>
      <c r="T880" s="1">
        <v>643</v>
      </c>
    </row>
    <row r="881" spans="1:20" ht="21" customHeight="1">
      <c r="A881" s="8">
        <v>46268</v>
      </c>
      <c r="B881" s="1" t="s">
        <v>36</v>
      </c>
      <c r="C881" s="1" t="s">
        <v>90</v>
      </c>
      <c r="D881" s="7">
        <v>5800</v>
      </c>
      <c r="E881" s="7">
        <v>5600</v>
      </c>
      <c r="F881" s="7"/>
      <c r="G881" s="7">
        <f>'Option source'!B648</f>
        <v>26.51</v>
      </c>
      <c r="H881" s="7">
        <f>'Option source'!B629</f>
        <v>15.36</v>
      </c>
      <c r="I881" s="7"/>
      <c r="J881" s="7">
        <f t="shared" si="91"/>
        <v>-4.2099999999999973</v>
      </c>
      <c r="K881" s="7">
        <f t="shared" si="92"/>
        <v>200</v>
      </c>
      <c r="L881" s="7">
        <f t="shared" si="93"/>
        <v>204.21</v>
      </c>
      <c r="M881" s="7">
        <f t="shared" si="94"/>
        <v>5395.79</v>
      </c>
      <c r="N881" s="7">
        <f t="shared" si="95"/>
        <v>5395.79</v>
      </c>
      <c r="O881" s="7" t="str">
        <f t="shared" si="96"/>
        <v>n.a.</v>
      </c>
      <c r="P881" s="15" t="str">
        <f t="shared" si="97"/>
        <v>n.a.</v>
      </c>
      <c r="Q881" s="7">
        <f>J881*'Model inputs'!$B$8</f>
        <v>-420.99999999999972</v>
      </c>
      <c r="R881" s="1" t="s">
        <v>162</v>
      </c>
      <c r="S881" s="1">
        <v>643</v>
      </c>
      <c r="T881" s="1">
        <v>624</v>
      </c>
    </row>
    <row r="882" spans="1:20" ht="21" customHeight="1">
      <c r="A882" s="8">
        <v>46268</v>
      </c>
      <c r="B882" s="1" t="s">
        <v>36</v>
      </c>
      <c r="C882" s="1" t="s">
        <v>87</v>
      </c>
      <c r="D882" s="7">
        <v>8300</v>
      </c>
      <c r="E882" s="7">
        <v>8600</v>
      </c>
      <c r="F882" s="7"/>
      <c r="G882" s="7">
        <f>'Option source'!B382</f>
        <v>112.69</v>
      </c>
      <c r="H882" s="7">
        <f>'Option source'!B401</f>
        <v>70.599999999999994</v>
      </c>
      <c r="I882" s="7"/>
      <c r="J882" s="7">
        <f t="shared" si="91"/>
        <v>-28.509999999999991</v>
      </c>
      <c r="K882" s="7">
        <f t="shared" si="92"/>
        <v>300</v>
      </c>
      <c r="L882" s="7">
        <f t="shared" si="93"/>
        <v>328.51</v>
      </c>
      <c r="M882" s="7" t="str">
        <f t="shared" si="94"/>
        <v>Unlimited</v>
      </c>
      <c r="N882" s="7" t="str">
        <f t="shared" si="95"/>
        <v>n.a.</v>
      </c>
      <c r="O882" s="7">
        <f t="shared" si="96"/>
        <v>8928.51</v>
      </c>
      <c r="P882" s="15" t="str">
        <f t="shared" si="97"/>
        <v>n.a.</v>
      </c>
      <c r="Q882" s="7">
        <f>J882*'Model inputs'!$B$8</f>
        <v>-2850.9999999999991</v>
      </c>
      <c r="R882" s="1" t="s">
        <v>162</v>
      </c>
      <c r="S882" s="1">
        <v>377</v>
      </c>
      <c r="T882" s="1">
        <v>396</v>
      </c>
    </row>
    <row r="883" spans="1:20" ht="21" customHeight="1">
      <c r="A883" s="8">
        <v>46268</v>
      </c>
      <c r="B883" s="1" t="s">
        <v>36</v>
      </c>
      <c r="C883" s="1" t="s">
        <v>90</v>
      </c>
      <c r="D883" s="7">
        <v>5600</v>
      </c>
      <c r="E883" s="7">
        <v>5400</v>
      </c>
      <c r="F883" s="7"/>
      <c r="G883" s="7">
        <f>'Option source'!B629</f>
        <v>15.36</v>
      </c>
      <c r="H883" s="7">
        <f>'Option source'!B610</f>
        <v>8.7799999999999994</v>
      </c>
      <c r="I883" s="7"/>
      <c r="J883" s="7">
        <f t="shared" si="91"/>
        <v>-2.1999999999999993</v>
      </c>
      <c r="K883" s="7">
        <f t="shared" si="92"/>
        <v>200</v>
      </c>
      <c r="L883" s="7">
        <f t="shared" si="93"/>
        <v>202.2</v>
      </c>
      <c r="M883" s="7">
        <f t="shared" si="94"/>
        <v>5197.8</v>
      </c>
      <c r="N883" s="7">
        <f t="shared" si="95"/>
        <v>5197.8</v>
      </c>
      <c r="O883" s="7" t="str">
        <f t="shared" si="96"/>
        <v>n.a.</v>
      </c>
      <c r="P883" s="15" t="str">
        <f t="shared" si="97"/>
        <v>n.a.</v>
      </c>
      <c r="Q883" s="7">
        <f>J883*'Model inputs'!$B$8</f>
        <v>-219.99999999999994</v>
      </c>
      <c r="R883" s="1" t="s">
        <v>162</v>
      </c>
      <c r="S883" s="1">
        <v>624</v>
      </c>
      <c r="T883" s="1">
        <v>605</v>
      </c>
    </row>
    <row r="884" spans="1:20" ht="21" customHeight="1">
      <c r="A884" s="8">
        <v>46268</v>
      </c>
      <c r="B884" s="1" t="s">
        <v>36</v>
      </c>
      <c r="C884" s="1" t="s">
        <v>87</v>
      </c>
      <c r="D884" s="7">
        <v>8600</v>
      </c>
      <c r="E884" s="7">
        <v>8900</v>
      </c>
      <c r="F884" s="7"/>
      <c r="G884" s="7">
        <f>'Option source'!B401</f>
        <v>70.599999999999994</v>
      </c>
      <c r="H884" s="7">
        <f>'Option source'!B420</f>
        <v>41.9</v>
      </c>
      <c r="I884" s="7"/>
      <c r="J884" s="7">
        <f t="shared" si="91"/>
        <v>-13.200000000000003</v>
      </c>
      <c r="K884" s="7">
        <f t="shared" si="92"/>
        <v>300</v>
      </c>
      <c r="L884" s="7">
        <f t="shared" si="93"/>
        <v>313.2</v>
      </c>
      <c r="M884" s="7" t="str">
        <f t="shared" si="94"/>
        <v>Unlimited</v>
      </c>
      <c r="N884" s="7" t="str">
        <f t="shared" si="95"/>
        <v>n.a.</v>
      </c>
      <c r="O884" s="7">
        <f t="shared" si="96"/>
        <v>9213.2000000000007</v>
      </c>
      <c r="P884" s="15" t="str">
        <f t="shared" si="97"/>
        <v>n.a.</v>
      </c>
      <c r="Q884" s="7">
        <f>J884*'Model inputs'!$B$8</f>
        <v>-1320.0000000000002</v>
      </c>
      <c r="R884" s="1" t="s">
        <v>162</v>
      </c>
      <c r="S884" s="1">
        <v>396</v>
      </c>
      <c r="T884" s="1">
        <v>415</v>
      </c>
    </row>
    <row r="885" spans="1:20" ht="21" customHeight="1">
      <c r="A885" s="8">
        <v>46268</v>
      </c>
      <c r="B885" s="1" t="s">
        <v>36</v>
      </c>
      <c r="C885" s="1" t="s">
        <v>90</v>
      </c>
      <c r="D885" s="7">
        <v>5400</v>
      </c>
      <c r="E885" s="7">
        <v>5200</v>
      </c>
      <c r="F885" s="7"/>
      <c r="G885" s="7">
        <f>'Option source'!B610</f>
        <v>8.7799999999999994</v>
      </c>
      <c r="H885" s="7">
        <f>'Option source'!B591</f>
        <v>4.9800000000000004</v>
      </c>
      <c r="I885" s="7"/>
      <c r="J885" s="7">
        <f t="shared" si="91"/>
        <v>-1.1800000000000015</v>
      </c>
      <c r="K885" s="7">
        <f t="shared" si="92"/>
        <v>200</v>
      </c>
      <c r="L885" s="7">
        <f t="shared" si="93"/>
        <v>201.18</v>
      </c>
      <c r="M885" s="7">
        <f t="shared" si="94"/>
        <v>4998.82</v>
      </c>
      <c r="N885" s="7">
        <f t="shared" si="95"/>
        <v>4998.82</v>
      </c>
      <c r="O885" s="7" t="str">
        <f t="shared" si="96"/>
        <v>n.a.</v>
      </c>
      <c r="P885" s="15" t="str">
        <f t="shared" si="97"/>
        <v>n.a.</v>
      </c>
      <c r="Q885" s="7">
        <f>J885*'Model inputs'!$B$8</f>
        <v>-118.00000000000014</v>
      </c>
      <c r="R885" s="1" t="s">
        <v>162</v>
      </c>
      <c r="S885" s="1">
        <v>605</v>
      </c>
      <c r="T885" s="1">
        <v>586</v>
      </c>
    </row>
    <row r="886" spans="1:20" ht="21" customHeight="1">
      <c r="A886" s="8">
        <v>46268</v>
      </c>
      <c r="B886" s="1" t="s">
        <v>36</v>
      </c>
      <c r="C886" s="1" t="s">
        <v>90</v>
      </c>
      <c r="D886" s="7">
        <v>5200</v>
      </c>
      <c r="E886" s="7">
        <v>5000</v>
      </c>
      <c r="F886" s="7"/>
      <c r="G886" s="7">
        <f>'Option source'!B591</f>
        <v>4.9800000000000004</v>
      </c>
      <c r="H886" s="7">
        <f>'Option source'!B572</f>
        <v>2.37</v>
      </c>
      <c r="I886" s="7"/>
      <c r="J886" s="7">
        <f t="shared" si="91"/>
        <v>0.24000000000000021</v>
      </c>
      <c r="K886" s="7">
        <f t="shared" si="92"/>
        <v>200</v>
      </c>
      <c r="L886" s="7">
        <f t="shared" si="93"/>
        <v>199.76</v>
      </c>
      <c r="M886" s="7">
        <f t="shared" si="94"/>
        <v>4800.24</v>
      </c>
      <c r="N886" s="7">
        <f t="shared" si="95"/>
        <v>4800.24</v>
      </c>
      <c r="O886" s="7">
        <f t="shared" si="96"/>
        <v>5199.76</v>
      </c>
      <c r="P886" s="15" t="str">
        <f t="shared" si="97"/>
        <v>n.a.</v>
      </c>
      <c r="Q886" s="7">
        <f>J886*'Model inputs'!$B$8</f>
        <v>24.000000000000021</v>
      </c>
      <c r="R886" s="1" t="s">
        <v>162</v>
      </c>
      <c r="S886" s="1">
        <v>586</v>
      </c>
      <c r="T886" s="1">
        <v>567</v>
      </c>
    </row>
    <row r="887" spans="1:20" ht="21" customHeight="1">
      <c r="A887" s="8">
        <v>46268</v>
      </c>
      <c r="B887" s="1" t="s">
        <v>36</v>
      </c>
      <c r="C887" s="1" t="s">
        <v>87</v>
      </c>
      <c r="D887" s="7">
        <v>8900</v>
      </c>
      <c r="E887" s="7">
        <v>9200</v>
      </c>
      <c r="F887" s="7"/>
      <c r="G887" s="7">
        <f>'Option source'!B420</f>
        <v>41.9</v>
      </c>
      <c r="H887" s="7">
        <f>'Option source'!B439</f>
        <v>26.71</v>
      </c>
      <c r="I887" s="7"/>
      <c r="J887" s="7">
        <f t="shared" si="91"/>
        <v>-11.520000000000003</v>
      </c>
      <c r="K887" s="7">
        <f t="shared" si="92"/>
        <v>300</v>
      </c>
      <c r="L887" s="7">
        <f t="shared" si="93"/>
        <v>311.52</v>
      </c>
      <c r="M887" s="7" t="str">
        <f t="shared" si="94"/>
        <v>Unlimited</v>
      </c>
      <c r="N887" s="7" t="str">
        <f t="shared" si="95"/>
        <v>n.a.</v>
      </c>
      <c r="O887" s="7">
        <f t="shared" si="96"/>
        <v>9511.52</v>
      </c>
      <c r="P887" s="15" t="str">
        <f t="shared" si="97"/>
        <v>n.a.</v>
      </c>
      <c r="Q887" s="7">
        <f>J887*'Model inputs'!$B$8</f>
        <v>-1152.0000000000002</v>
      </c>
      <c r="R887" s="1" t="s">
        <v>162</v>
      </c>
      <c r="S887" s="1">
        <v>415</v>
      </c>
      <c r="T887" s="1">
        <v>434</v>
      </c>
    </row>
    <row r="888" spans="1:20" ht="21" customHeight="1">
      <c r="A888" s="8">
        <v>46268</v>
      </c>
      <c r="B888" s="1" t="s">
        <v>36</v>
      </c>
      <c r="C888" s="1" t="s">
        <v>90</v>
      </c>
      <c r="D888" s="7">
        <v>5000</v>
      </c>
      <c r="E888" s="7">
        <v>4800</v>
      </c>
      <c r="F888" s="7"/>
      <c r="G888" s="7">
        <f>'Option source'!B572</f>
        <v>2.37</v>
      </c>
      <c r="H888" s="7">
        <f>'Option source'!B553</f>
        <v>2.2000000000000002</v>
      </c>
      <c r="I888" s="7"/>
      <c r="J888" s="7">
        <f t="shared" si="91"/>
        <v>-2.0300000000000002</v>
      </c>
      <c r="K888" s="7">
        <f t="shared" si="92"/>
        <v>200</v>
      </c>
      <c r="L888" s="7">
        <f t="shared" si="93"/>
        <v>202.03</v>
      </c>
      <c r="M888" s="7">
        <f t="shared" si="94"/>
        <v>4597.97</v>
      </c>
      <c r="N888" s="7">
        <f t="shared" si="95"/>
        <v>4597.97</v>
      </c>
      <c r="O888" s="7" t="str">
        <f t="shared" si="96"/>
        <v>n.a.</v>
      </c>
      <c r="P888" s="15" t="str">
        <f t="shared" si="97"/>
        <v>n.a.</v>
      </c>
      <c r="Q888" s="7">
        <f>J888*'Model inputs'!$B$8</f>
        <v>-203.00000000000003</v>
      </c>
      <c r="R888" s="1" t="s">
        <v>162</v>
      </c>
      <c r="S888" s="1">
        <v>567</v>
      </c>
      <c r="T888" s="1">
        <v>548</v>
      </c>
    </row>
    <row r="889" spans="1:20" ht="21" customHeight="1">
      <c r="A889" s="8">
        <v>46268</v>
      </c>
      <c r="B889" s="1" t="s">
        <v>36</v>
      </c>
      <c r="C889" s="1" t="s">
        <v>87</v>
      </c>
      <c r="D889" s="7">
        <v>9200</v>
      </c>
      <c r="E889" s="7">
        <v>9500</v>
      </c>
      <c r="F889" s="7"/>
      <c r="G889" s="7">
        <f>'Option source'!B439</f>
        <v>26.71</v>
      </c>
      <c r="H889" s="7">
        <f>'Option source'!B458</f>
        <v>16.43</v>
      </c>
      <c r="I889" s="7"/>
      <c r="J889" s="7">
        <f t="shared" si="91"/>
        <v>-6.1499999999999986</v>
      </c>
      <c r="K889" s="7">
        <f t="shared" si="92"/>
        <v>300</v>
      </c>
      <c r="L889" s="7">
        <f t="shared" si="93"/>
        <v>306.14999999999998</v>
      </c>
      <c r="M889" s="7" t="str">
        <f t="shared" si="94"/>
        <v>Unlimited</v>
      </c>
      <c r="N889" s="7" t="str">
        <f t="shared" si="95"/>
        <v>n.a.</v>
      </c>
      <c r="O889" s="7">
        <f t="shared" si="96"/>
        <v>9806.15</v>
      </c>
      <c r="P889" s="15" t="str">
        <f t="shared" si="97"/>
        <v>n.a.</v>
      </c>
      <c r="Q889" s="7">
        <f>J889*'Model inputs'!$B$8</f>
        <v>-614.99999999999989</v>
      </c>
      <c r="R889" s="1" t="s">
        <v>162</v>
      </c>
      <c r="S889" s="1">
        <v>434</v>
      </c>
      <c r="T889" s="1">
        <v>453</v>
      </c>
    </row>
    <row r="890" spans="1:20" ht="21" customHeight="1">
      <c r="A890" s="8">
        <v>46268</v>
      </c>
      <c r="B890" s="1" t="s">
        <v>36</v>
      </c>
      <c r="C890" s="1" t="s">
        <v>90</v>
      </c>
      <c r="D890" s="7">
        <v>4800</v>
      </c>
      <c r="E890" s="7">
        <v>4600</v>
      </c>
      <c r="F890" s="7"/>
      <c r="G890" s="7">
        <f>'Option source'!B553</f>
        <v>2.2000000000000002</v>
      </c>
      <c r="H890" s="7">
        <f>'Option source'!B534</f>
        <v>1.48</v>
      </c>
      <c r="I890" s="7"/>
      <c r="J890" s="7">
        <f t="shared" si="91"/>
        <v>-0.75999999999999979</v>
      </c>
      <c r="K890" s="7">
        <f t="shared" si="92"/>
        <v>200</v>
      </c>
      <c r="L890" s="7">
        <f t="shared" si="93"/>
        <v>200.76</v>
      </c>
      <c r="M890" s="7">
        <f t="shared" si="94"/>
        <v>4399.24</v>
      </c>
      <c r="N890" s="7">
        <f t="shared" si="95"/>
        <v>4399.24</v>
      </c>
      <c r="O890" s="7" t="str">
        <f t="shared" si="96"/>
        <v>n.a.</v>
      </c>
      <c r="P890" s="15" t="str">
        <f t="shared" si="97"/>
        <v>n.a.</v>
      </c>
      <c r="Q890" s="7">
        <f>J890*'Model inputs'!$B$8</f>
        <v>-75.999999999999972</v>
      </c>
      <c r="R890" s="1" t="s">
        <v>162</v>
      </c>
      <c r="S890" s="1">
        <v>548</v>
      </c>
      <c r="T890" s="1">
        <v>529</v>
      </c>
    </row>
    <row r="891" spans="1:20" ht="21" customHeight="1">
      <c r="A891" s="8">
        <v>46268</v>
      </c>
      <c r="B891" s="1" t="s">
        <v>36</v>
      </c>
      <c r="C891" s="1" t="s">
        <v>90</v>
      </c>
      <c r="D891" s="7">
        <v>4600</v>
      </c>
      <c r="E891" s="7">
        <v>4400</v>
      </c>
      <c r="F891" s="7"/>
      <c r="G891" s="7">
        <f>'Option source'!B534</f>
        <v>1.48</v>
      </c>
      <c r="H891" s="7">
        <f>'Option source'!B515</f>
        <v>1.55</v>
      </c>
      <c r="I891" s="7"/>
      <c r="J891" s="7">
        <f t="shared" si="91"/>
        <v>-1.62</v>
      </c>
      <c r="K891" s="7">
        <f t="shared" si="92"/>
        <v>200</v>
      </c>
      <c r="L891" s="7">
        <f t="shared" si="93"/>
        <v>201.62</v>
      </c>
      <c r="M891" s="7">
        <f t="shared" si="94"/>
        <v>4198.38</v>
      </c>
      <c r="N891" s="7">
        <f t="shared" si="95"/>
        <v>4198.38</v>
      </c>
      <c r="O891" s="7" t="str">
        <f t="shared" si="96"/>
        <v>n.a.</v>
      </c>
      <c r="P891" s="15" t="str">
        <f t="shared" si="97"/>
        <v>n.a.</v>
      </c>
      <c r="Q891" s="7">
        <f>J891*'Model inputs'!$B$8</f>
        <v>-162</v>
      </c>
      <c r="R891" s="1" t="s">
        <v>162</v>
      </c>
      <c r="S891" s="1">
        <v>529</v>
      </c>
      <c r="T891" s="1">
        <v>510</v>
      </c>
    </row>
    <row r="892" spans="1:20" ht="21" customHeight="1">
      <c r="A892" s="8">
        <v>46268</v>
      </c>
      <c r="B892" s="1" t="s">
        <v>36</v>
      </c>
      <c r="C892" s="1" t="s">
        <v>87</v>
      </c>
      <c r="D892" s="7">
        <v>9500</v>
      </c>
      <c r="E892" s="7">
        <v>9900</v>
      </c>
      <c r="F892" s="7"/>
      <c r="G892" s="7">
        <f>'Option source'!B458</f>
        <v>16.43</v>
      </c>
      <c r="H892" s="7">
        <f>'Option source'!B477</f>
        <v>10.11</v>
      </c>
      <c r="I892" s="7"/>
      <c r="J892" s="7">
        <f t="shared" si="91"/>
        <v>-3.7899999999999991</v>
      </c>
      <c r="K892" s="7">
        <f t="shared" si="92"/>
        <v>400</v>
      </c>
      <c r="L892" s="7">
        <f t="shared" si="93"/>
        <v>403.79</v>
      </c>
      <c r="M892" s="7" t="str">
        <f t="shared" si="94"/>
        <v>Unlimited</v>
      </c>
      <c r="N892" s="7" t="str">
        <f t="shared" si="95"/>
        <v>n.a.</v>
      </c>
      <c r="O892" s="7">
        <f t="shared" si="96"/>
        <v>10303.790000000001</v>
      </c>
      <c r="P892" s="15" t="str">
        <f t="shared" si="97"/>
        <v>n.a.</v>
      </c>
      <c r="Q892" s="7">
        <f>J892*'Model inputs'!$B$8</f>
        <v>-378.99999999999989</v>
      </c>
      <c r="R892" s="1" t="s">
        <v>162</v>
      </c>
      <c r="S892" s="1">
        <v>453</v>
      </c>
      <c r="T892" s="1">
        <v>472</v>
      </c>
    </row>
    <row r="893" spans="1:20" ht="21" customHeight="1">
      <c r="A893" s="8">
        <v>46268</v>
      </c>
      <c r="B893" s="1" t="s">
        <v>36</v>
      </c>
      <c r="C893" s="1" t="s">
        <v>90</v>
      </c>
      <c r="D893" s="7">
        <v>4400</v>
      </c>
      <c r="E893" s="7">
        <v>4200</v>
      </c>
      <c r="F893" s="7"/>
      <c r="G893" s="7">
        <f>'Option source'!B515</f>
        <v>1.55</v>
      </c>
      <c r="H893" s="7">
        <f>'Option source'!B496</f>
        <v>1.05</v>
      </c>
      <c r="I893" s="7"/>
      <c r="J893" s="7">
        <f t="shared" si="91"/>
        <v>-0.55000000000000004</v>
      </c>
      <c r="K893" s="7">
        <f t="shared" si="92"/>
        <v>200</v>
      </c>
      <c r="L893" s="7">
        <f t="shared" si="93"/>
        <v>200.55</v>
      </c>
      <c r="M893" s="7">
        <f t="shared" si="94"/>
        <v>3999.45</v>
      </c>
      <c r="N893" s="7">
        <f t="shared" si="95"/>
        <v>3999.45</v>
      </c>
      <c r="O893" s="7" t="str">
        <f t="shared" si="96"/>
        <v>n.a.</v>
      </c>
      <c r="P893" s="15" t="str">
        <f t="shared" si="97"/>
        <v>n.a.</v>
      </c>
      <c r="Q893" s="7">
        <f>J893*'Model inputs'!$B$8</f>
        <v>-55.000000000000007</v>
      </c>
      <c r="R893" s="1" t="s">
        <v>162</v>
      </c>
      <c r="S893" s="1">
        <v>510</v>
      </c>
      <c r="T893" s="1">
        <v>491</v>
      </c>
    </row>
    <row r="894" spans="1:20" ht="21" customHeight="1">
      <c r="A894" s="8">
        <v>46268</v>
      </c>
      <c r="B894" s="1" t="s">
        <v>36</v>
      </c>
      <c r="C894" s="1" t="s">
        <v>87</v>
      </c>
      <c r="D894" s="7">
        <v>6400</v>
      </c>
      <c r="E894" s="7">
        <v>6600</v>
      </c>
      <c r="F894" s="7"/>
      <c r="G894" s="7">
        <f>'Option source'!B211</f>
        <v>935</v>
      </c>
      <c r="H894" s="7">
        <f>'Option source'!B230</f>
        <v>800.04</v>
      </c>
      <c r="I894" s="7"/>
      <c r="J894" s="7">
        <f t="shared" si="91"/>
        <v>-665.07999999999993</v>
      </c>
      <c r="K894" s="7">
        <f t="shared" si="92"/>
        <v>200</v>
      </c>
      <c r="L894" s="7">
        <f t="shared" si="93"/>
        <v>865.07999999999993</v>
      </c>
      <c r="M894" s="7" t="str">
        <f t="shared" si="94"/>
        <v>Unlimited</v>
      </c>
      <c r="N894" s="7" t="str">
        <f t="shared" si="95"/>
        <v>n.a.</v>
      </c>
      <c r="O894" s="7">
        <f t="shared" si="96"/>
        <v>7465.08</v>
      </c>
      <c r="P894" s="15" t="str">
        <f t="shared" si="97"/>
        <v>n.a.</v>
      </c>
      <c r="Q894" s="7">
        <f>J894*'Model inputs'!$B$8</f>
        <v>-66508</v>
      </c>
      <c r="R894" s="1" t="s">
        <v>164</v>
      </c>
      <c r="S894" s="1">
        <v>206</v>
      </c>
      <c r="T894" s="1">
        <v>225</v>
      </c>
    </row>
    <row r="895" spans="1:20" ht="21" customHeight="1">
      <c r="A895" s="8">
        <v>46268</v>
      </c>
      <c r="B895" s="1" t="s">
        <v>36</v>
      </c>
      <c r="C895" s="1" t="s">
        <v>90</v>
      </c>
      <c r="D895" s="7">
        <v>7800</v>
      </c>
      <c r="E895" s="7">
        <v>7600</v>
      </c>
      <c r="F895" s="7"/>
      <c r="G895" s="7">
        <f>'Option source'!B838</f>
        <v>898.99</v>
      </c>
      <c r="H895" s="7">
        <f>'Option source'!B819</f>
        <v>650</v>
      </c>
      <c r="I895" s="7"/>
      <c r="J895" s="7">
        <f t="shared" si="91"/>
        <v>-401.01</v>
      </c>
      <c r="K895" s="7">
        <f t="shared" si="92"/>
        <v>200</v>
      </c>
      <c r="L895" s="7">
        <f t="shared" si="93"/>
        <v>601.01</v>
      </c>
      <c r="M895" s="7">
        <f t="shared" si="94"/>
        <v>6998.99</v>
      </c>
      <c r="N895" s="7">
        <f t="shared" si="95"/>
        <v>6998.99</v>
      </c>
      <c r="O895" s="7" t="str">
        <f t="shared" si="96"/>
        <v>n.a.</v>
      </c>
      <c r="P895" s="15" t="str">
        <f t="shared" si="97"/>
        <v>n.a.</v>
      </c>
      <c r="Q895" s="7">
        <f>J895*'Model inputs'!$B$8</f>
        <v>-40101</v>
      </c>
      <c r="R895" s="1" t="s">
        <v>164</v>
      </c>
      <c r="S895" s="1">
        <v>833</v>
      </c>
      <c r="T895" s="1">
        <v>814</v>
      </c>
    </row>
    <row r="896" spans="1:20" ht="21" customHeight="1">
      <c r="A896" s="8">
        <v>46268</v>
      </c>
      <c r="B896" s="1" t="s">
        <v>36</v>
      </c>
      <c r="C896" s="1" t="s">
        <v>87</v>
      </c>
      <c r="D896" s="7">
        <v>6200</v>
      </c>
      <c r="E896" s="7">
        <v>6400</v>
      </c>
      <c r="F896" s="7"/>
      <c r="G896" s="7">
        <f>'Option source'!B192</f>
        <v>1100</v>
      </c>
      <c r="H896" s="7">
        <f>'Option source'!B211</f>
        <v>935</v>
      </c>
      <c r="I896" s="7"/>
      <c r="J896" s="7">
        <f t="shared" si="91"/>
        <v>-770</v>
      </c>
      <c r="K896" s="7">
        <f t="shared" si="92"/>
        <v>200</v>
      </c>
      <c r="L896" s="7">
        <f t="shared" si="93"/>
        <v>970</v>
      </c>
      <c r="M896" s="7" t="str">
        <f t="shared" si="94"/>
        <v>Unlimited</v>
      </c>
      <c r="N896" s="7" t="str">
        <f t="shared" si="95"/>
        <v>n.a.</v>
      </c>
      <c r="O896" s="7">
        <f t="shared" si="96"/>
        <v>7370</v>
      </c>
      <c r="P896" s="15" t="str">
        <f t="shared" si="97"/>
        <v>n.a.</v>
      </c>
      <c r="Q896" s="7">
        <f>J896*'Model inputs'!$B$8</f>
        <v>-77000</v>
      </c>
      <c r="R896" s="1" t="s">
        <v>164</v>
      </c>
      <c r="S896" s="1">
        <v>187</v>
      </c>
      <c r="T896" s="1">
        <v>206</v>
      </c>
    </row>
    <row r="897" spans="1:20" ht="21" customHeight="1">
      <c r="A897" s="8">
        <v>46268</v>
      </c>
      <c r="B897" s="1" t="s">
        <v>36</v>
      </c>
      <c r="C897" s="1" t="s">
        <v>90</v>
      </c>
      <c r="D897" s="7">
        <v>8000</v>
      </c>
      <c r="E897" s="7">
        <v>7800</v>
      </c>
      <c r="F897" s="7"/>
      <c r="G897" s="7">
        <f>'Option source'!B857</f>
        <v>1000</v>
      </c>
      <c r="H897" s="7">
        <f>'Option source'!B838</f>
        <v>898.99</v>
      </c>
      <c r="I897" s="7"/>
      <c r="J897" s="7">
        <f t="shared" si="91"/>
        <v>-797.98</v>
      </c>
      <c r="K897" s="7">
        <f t="shared" si="92"/>
        <v>200</v>
      </c>
      <c r="L897" s="7">
        <f t="shared" si="93"/>
        <v>997.98</v>
      </c>
      <c r="M897" s="7">
        <f t="shared" si="94"/>
        <v>6802.02</v>
      </c>
      <c r="N897" s="7">
        <f t="shared" si="95"/>
        <v>6802.02</v>
      </c>
      <c r="O897" s="7" t="str">
        <f t="shared" si="96"/>
        <v>n.a.</v>
      </c>
      <c r="P897" s="15" t="str">
        <f t="shared" si="97"/>
        <v>n.a.</v>
      </c>
      <c r="Q897" s="7">
        <f>J897*'Model inputs'!$B$8</f>
        <v>-79798</v>
      </c>
      <c r="R897" s="1" t="s">
        <v>164</v>
      </c>
      <c r="S897" s="1">
        <v>852</v>
      </c>
      <c r="T897" s="1">
        <v>833</v>
      </c>
    </row>
    <row r="898" spans="1:20" ht="21" customHeight="1">
      <c r="A898" s="8">
        <v>46268</v>
      </c>
      <c r="B898" s="1" t="s">
        <v>36</v>
      </c>
      <c r="C898" s="1" t="s">
        <v>87</v>
      </c>
      <c r="D898" s="7">
        <v>6000</v>
      </c>
      <c r="E898" s="7">
        <v>6200</v>
      </c>
      <c r="F898" s="7"/>
      <c r="G898" s="7">
        <f>'Option source'!B173</f>
        <v>1215.5899999999999</v>
      </c>
      <c r="H898" s="7">
        <f>'Option source'!B192</f>
        <v>1100</v>
      </c>
      <c r="I898" s="7"/>
      <c r="J898" s="7">
        <f t="shared" si="91"/>
        <v>-984.41000000000008</v>
      </c>
      <c r="K898" s="7">
        <f t="shared" si="92"/>
        <v>200</v>
      </c>
      <c r="L898" s="7">
        <f t="shared" si="93"/>
        <v>1184.4100000000001</v>
      </c>
      <c r="M898" s="7" t="str">
        <f t="shared" si="94"/>
        <v>Unlimited</v>
      </c>
      <c r="N898" s="7" t="str">
        <f t="shared" si="95"/>
        <v>n.a.</v>
      </c>
      <c r="O898" s="7">
        <f t="shared" si="96"/>
        <v>7384.41</v>
      </c>
      <c r="P898" s="15" t="str">
        <f t="shared" si="97"/>
        <v>n.a.</v>
      </c>
      <c r="Q898" s="7">
        <f>J898*'Model inputs'!$B$8</f>
        <v>-98441.000000000015</v>
      </c>
      <c r="R898" s="1" t="s">
        <v>164</v>
      </c>
      <c r="S898" s="1">
        <v>168</v>
      </c>
      <c r="T898" s="1">
        <v>187</v>
      </c>
    </row>
    <row r="899" spans="1:20" ht="21" customHeight="1">
      <c r="A899" s="8">
        <v>46268</v>
      </c>
      <c r="B899" s="1" t="s">
        <v>36</v>
      </c>
      <c r="C899" s="1" t="s">
        <v>90</v>
      </c>
      <c r="D899" s="7">
        <v>8300</v>
      </c>
      <c r="E899" s="7">
        <v>8000</v>
      </c>
      <c r="F899" s="7"/>
      <c r="G899" s="7">
        <f>'Option source'!B876</f>
        <v>1270</v>
      </c>
      <c r="H899" s="7">
        <f>'Option source'!B857</f>
        <v>1000</v>
      </c>
      <c r="I899" s="7"/>
      <c r="J899" s="7">
        <f t="shared" si="91"/>
        <v>-730</v>
      </c>
      <c r="K899" s="7">
        <f t="shared" si="92"/>
        <v>300</v>
      </c>
      <c r="L899" s="7">
        <f t="shared" si="93"/>
        <v>1030</v>
      </c>
      <c r="M899" s="7">
        <f t="shared" si="94"/>
        <v>6970</v>
      </c>
      <c r="N899" s="7">
        <f t="shared" si="95"/>
        <v>6970</v>
      </c>
      <c r="O899" s="7" t="str">
        <f t="shared" si="96"/>
        <v>n.a.</v>
      </c>
      <c r="P899" s="15" t="str">
        <f t="shared" si="97"/>
        <v>n.a.</v>
      </c>
      <c r="Q899" s="7">
        <f>J899*'Model inputs'!$B$8</f>
        <v>-73000</v>
      </c>
      <c r="R899" s="1" t="s">
        <v>164</v>
      </c>
      <c r="S899" s="1">
        <v>871</v>
      </c>
      <c r="T899" s="1">
        <v>852</v>
      </c>
    </row>
    <row r="900" spans="1:20" ht="21" customHeight="1">
      <c r="A900" s="8">
        <v>46268</v>
      </c>
      <c r="B900" s="1" t="s">
        <v>36</v>
      </c>
      <c r="C900" s="1" t="s">
        <v>87</v>
      </c>
      <c r="D900" s="7">
        <v>5800</v>
      </c>
      <c r="E900" s="7">
        <v>6000</v>
      </c>
      <c r="F900" s="7"/>
      <c r="G900" s="7">
        <f>'Option source'!B154</f>
        <v>1490</v>
      </c>
      <c r="H900" s="7">
        <f>'Option source'!B173</f>
        <v>1215.5899999999999</v>
      </c>
      <c r="I900" s="7"/>
      <c r="J900" s="7">
        <f t="shared" si="91"/>
        <v>-941.17999999999984</v>
      </c>
      <c r="K900" s="7">
        <f t="shared" si="92"/>
        <v>200</v>
      </c>
      <c r="L900" s="7">
        <f t="shared" si="93"/>
        <v>1141.1799999999998</v>
      </c>
      <c r="M900" s="7" t="str">
        <f t="shared" si="94"/>
        <v>Unlimited</v>
      </c>
      <c r="N900" s="7" t="str">
        <f t="shared" si="95"/>
        <v>n.a.</v>
      </c>
      <c r="O900" s="7">
        <f t="shared" si="96"/>
        <v>7141.18</v>
      </c>
      <c r="P900" s="15" t="str">
        <f t="shared" si="97"/>
        <v>n.a.</v>
      </c>
      <c r="Q900" s="7">
        <f>J900*'Model inputs'!$B$8</f>
        <v>-94117.999999999985</v>
      </c>
      <c r="R900" s="1" t="s">
        <v>164</v>
      </c>
      <c r="S900" s="1">
        <v>149</v>
      </c>
      <c r="T900" s="1">
        <v>168</v>
      </c>
    </row>
    <row r="901" spans="1:20" ht="21" customHeight="1">
      <c r="A901" s="8">
        <v>46268</v>
      </c>
      <c r="B901" s="1" t="s">
        <v>36</v>
      </c>
      <c r="C901" s="1" t="s">
        <v>90</v>
      </c>
      <c r="D901" s="7">
        <v>8600</v>
      </c>
      <c r="E901" s="7">
        <v>8300</v>
      </c>
      <c r="F901" s="7"/>
      <c r="G901" s="7">
        <f>'Option source'!B895</f>
        <v>1555.11</v>
      </c>
      <c r="H901" s="7">
        <f>'Option source'!B876</f>
        <v>1270</v>
      </c>
      <c r="I901" s="7"/>
      <c r="J901" s="7">
        <f t="shared" si="91"/>
        <v>-984.8900000000001</v>
      </c>
      <c r="K901" s="7">
        <f t="shared" si="92"/>
        <v>300</v>
      </c>
      <c r="L901" s="7">
        <f t="shared" si="93"/>
        <v>1284.8900000000001</v>
      </c>
      <c r="M901" s="7">
        <f t="shared" si="94"/>
        <v>7015.11</v>
      </c>
      <c r="N901" s="7">
        <f t="shared" si="95"/>
        <v>7015.11</v>
      </c>
      <c r="O901" s="7" t="str">
        <f t="shared" si="96"/>
        <v>n.a.</v>
      </c>
      <c r="P901" s="15" t="str">
        <f t="shared" si="97"/>
        <v>n.a.</v>
      </c>
      <c r="Q901" s="7">
        <f>J901*'Model inputs'!$B$8</f>
        <v>-98489.000000000015</v>
      </c>
      <c r="R901" s="1" t="s">
        <v>164</v>
      </c>
      <c r="S901" s="1">
        <v>890</v>
      </c>
      <c r="T901" s="1">
        <v>871</v>
      </c>
    </row>
    <row r="902" spans="1:20" ht="21" customHeight="1">
      <c r="A902" s="8">
        <v>46268</v>
      </c>
      <c r="B902" s="1" t="s">
        <v>36</v>
      </c>
      <c r="C902" s="1" t="s">
        <v>87</v>
      </c>
      <c r="D902" s="7">
        <v>5600</v>
      </c>
      <c r="E902" s="7">
        <v>5800</v>
      </c>
      <c r="F902" s="7"/>
      <c r="G902" s="7">
        <f>'Option source'!B144</f>
        <v>1600</v>
      </c>
      <c r="H902" s="7">
        <f>'Option source'!B154</f>
        <v>1490</v>
      </c>
      <c r="I902" s="7"/>
      <c r="J902" s="7">
        <f t="shared" si="91"/>
        <v>-1380</v>
      </c>
      <c r="K902" s="7">
        <f t="shared" si="92"/>
        <v>200</v>
      </c>
      <c r="L902" s="7">
        <f t="shared" si="93"/>
        <v>1580</v>
      </c>
      <c r="M902" s="7" t="str">
        <f t="shared" si="94"/>
        <v>Unlimited</v>
      </c>
      <c r="N902" s="7" t="str">
        <f t="shared" si="95"/>
        <v>n.a.</v>
      </c>
      <c r="O902" s="7">
        <f t="shared" si="96"/>
        <v>7380</v>
      </c>
      <c r="P902" s="15" t="str">
        <f t="shared" si="97"/>
        <v>n.a.</v>
      </c>
      <c r="Q902" s="7">
        <f>J902*'Model inputs'!$B$8</f>
        <v>-138000</v>
      </c>
      <c r="R902" s="1" t="s">
        <v>164</v>
      </c>
      <c r="S902" s="1">
        <v>139</v>
      </c>
      <c r="T902" s="1">
        <v>149</v>
      </c>
    </row>
    <row r="903" spans="1:20" ht="21" customHeight="1">
      <c r="A903" s="8">
        <v>46268</v>
      </c>
      <c r="B903" s="1" t="s">
        <v>36</v>
      </c>
      <c r="C903" s="1" t="s">
        <v>87</v>
      </c>
      <c r="D903" s="7">
        <v>5400</v>
      </c>
      <c r="E903" s="7">
        <v>5600</v>
      </c>
      <c r="F903" s="7"/>
      <c r="G903" s="7">
        <f>'Option source'!B126</f>
        <v>1829.26</v>
      </c>
      <c r="H903" s="7">
        <f>'Option source'!B144</f>
        <v>1600</v>
      </c>
      <c r="I903" s="7"/>
      <c r="J903" s="7">
        <f t="shared" ref="J903:J966" si="98">G903-2*H903+IF(B903="Butterfly",I903,0)</f>
        <v>-1370.74</v>
      </c>
      <c r="K903" s="7">
        <f t="shared" ref="K903:K966" si="99">ABS(E903-D903)</f>
        <v>200</v>
      </c>
      <c r="L903" s="7">
        <f t="shared" ref="L903:L966" si="100">K903-J903</f>
        <v>1570.74</v>
      </c>
      <c r="M903" s="7" t="str">
        <f t="shared" ref="M903:M966" si="101">IF(B903="Butterfly",MAX(J903,0),IF(C903="call","Unlimited",MAX(2*E903-D903+J903,J903,0)))</f>
        <v>Unlimited</v>
      </c>
      <c r="N903" s="7" t="str">
        <f t="shared" ref="N903:N966" si="102">IF(B903="Butterfly",IF(AND(J903&gt;0,J903&lt;K903),D903+J903,"n.a."),IF(C903="call",IF(AND(J903&gt;0,J903&lt;K903),D903+J903,"n.a."),IF(AND(K903&gt;J903,2*E903-D903+J903&gt;=0),2*E903-D903+J903,"n.a.")))</f>
        <v>n.a.</v>
      </c>
      <c r="O903" s="7">
        <f t="shared" ref="O903:O966" si="103">IF(B903="Butterfly",IF(AND(J903&gt;0,J903&lt;K903),F903-J903,"n.a."),IF(C903="call",IF(K903&gt;J903,2*E903-D903-J903,"n.a."),IF(AND(J903&gt;0,J903&lt;K903),D903-J903,"n.a.")))</f>
        <v>7170.74</v>
      </c>
      <c r="P903" s="15" t="str">
        <f t="shared" ref="P903:P966" si="104">IF(AND(B903="Butterfly",J903&gt;0,J903&lt;K903),L903/J903,"n.a.")</f>
        <v>n.a.</v>
      </c>
      <c r="Q903" s="7">
        <f>J903*'Model inputs'!$B$8</f>
        <v>-137074</v>
      </c>
      <c r="R903" s="1" t="s">
        <v>164</v>
      </c>
      <c r="S903" s="1">
        <v>121</v>
      </c>
      <c r="T903" s="1">
        <v>139</v>
      </c>
    </row>
    <row r="904" spans="1:20" ht="21" customHeight="1">
      <c r="A904" s="8">
        <v>46268</v>
      </c>
      <c r="B904" s="1" t="s">
        <v>36</v>
      </c>
      <c r="C904" s="1" t="s">
        <v>90</v>
      </c>
      <c r="D904" s="7">
        <v>8900</v>
      </c>
      <c r="E904" s="7">
        <v>8600</v>
      </c>
      <c r="F904" s="7"/>
      <c r="G904" s="7">
        <f>'Option source'!B910</f>
        <v>2022.5</v>
      </c>
      <c r="H904" s="7">
        <f>'Option source'!B895</f>
        <v>1555.11</v>
      </c>
      <c r="I904" s="7"/>
      <c r="J904" s="7">
        <f t="shared" si="98"/>
        <v>-1087.7199999999998</v>
      </c>
      <c r="K904" s="7">
        <f t="shared" si="99"/>
        <v>300</v>
      </c>
      <c r="L904" s="7">
        <f t="shared" si="100"/>
        <v>1387.7199999999998</v>
      </c>
      <c r="M904" s="7">
        <f t="shared" si="101"/>
        <v>7212.2800000000007</v>
      </c>
      <c r="N904" s="7">
        <f t="shared" si="102"/>
        <v>7212.2800000000007</v>
      </c>
      <c r="O904" s="7" t="str">
        <f t="shared" si="103"/>
        <v>n.a.</v>
      </c>
      <c r="P904" s="15" t="str">
        <f t="shared" si="104"/>
        <v>n.a.</v>
      </c>
      <c r="Q904" s="7">
        <f>J904*'Model inputs'!$B$8</f>
        <v>-108771.99999999999</v>
      </c>
      <c r="R904" s="1" t="s">
        <v>164</v>
      </c>
      <c r="S904" s="1">
        <v>905</v>
      </c>
      <c r="T904" s="1">
        <v>890</v>
      </c>
    </row>
    <row r="905" spans="1:20" ht="21" customHeight="1">
      <c r="A905" s="8">
        <v>46268</v>
      </c>
      <c r="B905" s="1" t="s">
        <v>36</v>
      </c>
      <c r="C905" s="1" t="s">
        <v>87</v>
      </c>
      <c r="D905" s="7">
        <v>5200</v>
      </c>
      <c r="E905" s="7">
        <v>5400</v>
      </c>
      <c r="F905" s="7"/>
      <c r="G905" s="7">
        <f>'Option source'!B107</f>
        <v>2076.9299999999998</v>
      </c>
      <c r="H905" s="7">
        <f>'Option source'!B126</f>
        <v>1829.26</v>
      </c>
      <c r="I905" s="7"/>
      <c r="J905" s="7">
        <f t="shared" si="98"/>
        <v>-1581.5900000000001</v>
      </c>
      <c r="K905" s="7">
        <f t="shared" si="99"/>
        <v>200</v>
      </c>
      <c r="L905" s="7">
        <f t="shared" si="100"/>
        <v>1781.5900000000001</v>
      </c>
      <c r="M905" s="7" t="str">
        <f t="shared" si="101"/>
        <v>Unlimited</v>
      </c>
      <c r="N905" s="7" t="str">
        <f t="shared" si="102"/>
        <v>n.a.</v>
      </c>
      <c r="O905" s="7">
        <f t="shared" si="103"/>
        <v>7181.59</v>
      </c>
      <c r="P905" s="15" t="str">
        <f t="shared" si="104"/>
        <v>n.a.</v>
      </c>
      <c r="Q905" s="7">
        <f>J905*'Model inputs'!$B$8</f>
        <v>-158159</v>
      </c>
      <c r="R905" s="1" t="s">
        <v>164</v>
      </c>
      <c r="S905" s="1">
        <v>102</v>
      </c>
      <c r="T905" s="1">
        <v>121</v>
      </c>
    </row>
    <row r="906" spans="1:20" ht="21" customHeight="1">
      <c r="A906" s="8">
        <v>46268</v>
      </c>
      <c r="B906" s="1" t="s">
        <v>36</v>
      </c>
      <c r="C906" s="1" t="s">
        <v>87</v>
      </c>
      <c r="D906" s="7">
        <v>5000</v>
      </c>
      <c r="E906" s="7">
        <v>5200</v>
      </c>
      <c r="F906" s="7"/>
      <c r="G906" s="7">
        <f>'Option source'!B88</f>
        <v>2221.63</v>
      </c>
      <c r="H906" s="7">
        <f>'Option source'!B107</f>
        <v>2076.9299999999998</v>
      </c>
      <c r="I906" s="7"/>
      <c r="J906" s="7">
        <f t="shared" si="98"/>
        <v>-1932.2299999999996</v>
      </c>
      <c r="K906" s="7">
        <f t="shared" si="99"/>
        <v>200</v>
      </c>
      <c r="L906" s="7">
        <f t="shared" si="100"/>
        <v>2132.2299999999996</v>
      </c>
      <c r="M906" s="7" t="str">
        <f t="shared" si="101"/>
        <v>Unlimited</v>
      </c>
      <c r="N906" s="7" t="str">
        <f t="shared" si="102"/>
        <v>n.a.</v>
      </c>
      <c r="O906" s="7">
        <f t="shared" si="103"/>
        <v>7332.23</v>
      </c>
      <c r="P906" s="15" t="str">
        <f t="shared" si="104"/>
        <v>n.a.</v>
      </c>
      <c r="Q906" s="7">
        <f>J906*'Model inputs'!$B$8</f>
        <v>-193222.99999999994</v>
      </c>
      <c r="R906" s="1" t="s">
        <v>164</v>
      </c>
      <c r="S906" s="1">
        <v>83</v>
      </c>
      <c r="T906" s="1">
        <v>102</v>
      </c>
    </row>
    <row r="907" spans="1:20" ht="21" customHeight="1">
      <c r="A907" s="8">
        <v>46268</v>
      </c>
      <c r="B907" s="1" t="s">
        <v>36</v>
      </c>
      <c r="C907" s="1" t="s">
        <v>87</v>
      </c>
      <c r="D907" s="7">
        <v>4800</v>
      </c>
      <c r="E907" s="7">
        <v>5000</v>
      </c>
      <c r="F907" s="7"/>
      <c r="G907" s="7">
        <f>'Option source'!B71</f>
        <v>2375</v>
      </c>
      <c r="H907" s="7">
        <f>'Option source'!B88</f>
        <v>2221.63</v>
      </c>
      <c r="I907" s="7"/>
      <c r="J907" s="7">
        <f t="shared" si="98"/>
        <v>-2068.2600000000002</v>
      </c>
      <c r="K907" s="7">
        <f t="shared" si="99"/>
        <v>200</v>
      </c>
      <c r="L907" s="7">
        <f t="shared" si="100"/>
        <v>2268.2600000000002</v>
      </c>
      <c r="M907" s="7" t="str">
        <f t="shared" si="101"/>
        <v>Unlimited</v>
      </c>
      <c r="N907" s="7" t="str">
        <f t="shared" si="102"/>
        <v>n.a.</v>
      </c>
      <c r="O907" s="7">
        <f t="shared" si="103"/>
        <v>7268.26</v>
      </c>
      <c r="P907" s="15" t="str">
        <f t="shared" si="104"/>
        <v>n.a.</v>
      </c>
      <c r="Q907" s="7">
        <f>J907*'Model inputs'!$B$8</f>
        <v>-206826.00000000003</v>
      </c>
      <c r="R907" s="1" t="s">
        <v>164</v>
      </c>
      <c r="S907" s="1">
        <v>66</v>
      </c>
      <c r="T907" s="1">
        <v>83</v>
      </c>
    </row>
    <row r="908" spans="1:20" ht="21" customHeight="1">
      <c r="A908" s="8">
        <v>46268</v>
      </c>
      <c r="B908" s="1" t="s">
        <v>36</v>
      </c>
      <c r="C908" s="1" t="s">
        <v>87</v>
      </c>
      <c r="D908" s="7">
        <v>4600</v>
      </c>
      <c r="E908" s="7">
        <v>4800</v>
      </c>
      <c r="F908" s="7"/>
      <c r="G908" s="7">
        <f>'Option source'!B54</f>
        <v>2581.0500000000002</v>
      </c>
      <c r="H908" s="7">
        <f>'Option source'!B71</f>
        <v>2375</v>
      </c>
      <c r="I908" s="7"/>
      <c r="J908" s="7">
        <f t="shared" si="98"/>
        <v>-2168.9499999999998</v>
      </c>
      <c r="K908" s="7">
        <f t="shared" si="99"/>
        <v>200</v>
      </c>
      <c r="L908" s="7">
        <f t="shared" si="100"/>
        <v>2368.9499999999998</v>
      </c>
      <c r="M908" s="7" t="str">
        <f t="shared" si="101"/>
        <v>Unlimited</v>
      </c>
      <c r="N908" s="7" t="str">
        <f t="shared" si="102"/>
        <v>n.a.</v>
      </c>
      <c r="O908" s="7">
        <f t="shared" si="103"/>
        <v>7168.95</v>
      </c>
      <c r="P908" s="15" t="str">
        <f t="shared" si="104"/>
        <v>n.a.</v>
      </c>
      <c r="Q908" s="7">
        <f>J908*'Model inputs'!$B$8</f>
        <v>-216894.99999999997</v>
      </c>
      <c r="R908" s="1" t="s">
        <v>164</v>
      </c>
      <c r="S908" s="1">
        <v>49</v>
      </c>
      <c r="T908" s="1">
        <v>66</v>
      </c>
    </row>
    <row r="909" spans="1:20" ht="21" customHeight="1">
      <c r="A909" s="8">
        <v>46268</v>
      </c>
      <c r="B909" s="1" t="s">
        <v>36</v>
      </c>
      <c r="C909" s="1" t="s">
        <v>87</v>
      </c>
      <c r="D909" s="7">
        <v>4400</v>
      </c>
      <c r="E909" s="7">
        <v>4600</v>
      </c>
      <c r="F909" s="7"/>
      <c r="G909" s="7">
        <f>'Option source'!B35</f>
        <v>2772.89</v>
      </c>
      <c r="H909" s="7">
        <f>'Option source'!B54</f>
        <v>2581.0500000000002</v>
      </c>
      <c r="I909" s="7"/>
      <c r="J909" s="7">
        <f t="shared" si="98"/>
        <v>-2389.2100000000005</v>
      </c>
      <c r="K909" s="7">
        <f t="shared" si="99"/>
        <v>200</v>
      </c>
      <c r="L909" s="7">
        <f t="shared" si="100"/>
        <v>2589.2100000000005</v>
      </c>
      <c r="M909" s="7" t="str">
        <f t="shared" si="101"/>
        <v>Unlimited</v>
      </c>
      <c r="N909" s="7" t="str">
        <f t="shared" si="102"/>
        <v>n.a.</v>
      </c>
      <c r="O909" s="7">
        <f t="shared" si="103"/>
        <v>7189.2100000000009</v>
      </c>
      <c r="P909" s="15" t="str">
        <f t="shared" si="104"/>
        <v>n.a.</v>
      </c>
      <c r="Q909" s="7">
        <f>J909*'Model inputs'!$B$8</f>
        <v>-238921.00000000006</v>
      </c>
      <c r="R909" s="1" t="s">
        <v>164</v>
      </c>
      <c r="S909" s="1">
        <v>30</v>
      </c>
      <c r="T909" s="1">
        <v>49</v>
      </c>
    </row>
    <row r="910" spans="1:20" ht="21" customHeight="1">
      <c r="A910" s="8">
        <v>46268</v>
      </c>
      <c r="B910" s="1" t="s">
        <v>36</v>
      </c>
      <c r="C910" s="1" t="s">
        <v>87</v>
      </c>
      <c r="D910" s="7">
        <v>4200</v>
      </c>
      <c r="E910" s="7">
        <v>4400</v>
      </c>
      <c r="F910" s="7"/>
      <c r="G910" s="7">
        <f>'Option source'!B16</f>
        <v>2964.84</v>
      </c>
      <c r="H910" s="7">
        <f>'Option source'!B35</f>
        <v>2772.89</v>
      </c>
      <c r="I910" s="7"/>
      <c r="J910" s="7">
        <f t="shared" si="98"/>
        <v>-2580.9399999999996</v>
      </c>
      <c r="K910" s="7">
        <f t="shared" si="99"/>
        <v>200</v>
      </c>
      <c r="L910" s="7">
        <f t="shared" si="100"/>
        <v>2780.9399999999996</v>
      </c>
      <c r="M910" s="7" t="str">
        <f t="shared" si="101"/>
        <v>Unlimited</v>
      </c>
      <c r="N910" s="7" t="str">
        <f t="shared" si="102"/>
        <v>n.a.</v>
      </c>
      <c r="O910" s="7">
        <f t="shared" si="103"/>
        <v>7180.94</v>
      </c>
      <c r="P910" s="15" t="str">
        <f t="shared" si="104"/>
        <v>n.a.</v>
      </c>
      <c r="Q910" s="7">
        <f>J910*'Model inputs'!$B$8</f>
        <v>-258093.99999999997</v>
      </c>
      <c r="R910" s="1" t="s">
        <v>164</v>
      </c>
      <c r="S910" s="1">
        <v>11</v>
      </c>
      <c r="T910" s="1">
        <v>30</v>
      </c>
    </row>
    <row r="911" spans="1:20" ht="21" customHeight="1">
      <c r="A911" s="8">
        <v>46267</v>
      </c>
      <c r="B911" s="1" t="s">
        <v>34</v>
      </c>
      <c r="C911" s="1" t="s">
        <v>87</v>
      </c>
      <c r="D911" s="7">
        <v>7000</v>
      </c>
      <c r="E911" s="7">
        <v>7200</v>
      </c>
      <c r="F911" s="7">
        <v>7400</v>
      </c>
      <c r="G911" s="7">
        <f>'Option source'!B267</f>
        <v>617.88</v>
      </c>
      <c r="H911" s="7">
        <f>'Option source'!B286</f>
        <v>507.78</v>
      </c>
      <c r="I911" s="7">
        <f>'Option source'!B305</f>
        <v>410.55</v>
      </c>
      <c r="J911" s="7">
        <f t="shared" si="98"/>
        <v>12.870000000000061</v>
      </c>
      <c r="K911" s="7">
        <f t="shared" si="99"/>
        <v>200</v>
      </c>
      <c r="L911" s="7">
        <f t="shared" si="100"/>
        <v>187.12999999999994</v>
      </c>
      <c r="M911" s="7">
        <f t="shared" si="101"/>
        <v>12.870000000000061</v>
      </c>
      <c r="N911" s="7">
        <f t="shared" si="102"/>
        <v>7012.87</v>
      </c>
      <c r="O911" s="7">
        <f t="shared" si="103"/>
        <v>7387.13</v>
      </c>
      <c r="P911" s="15">
        <f t="shared" si="104"/>
        <v>14.540015540015466</v>
      </c>
      <c r="Q911" s="7">
        <f>J911*'Model inputs'!$B$8</f>
        <v>1287.0000000000061</v>
      </c>
      <c r="R911" s="1" t="s">
        <v>162</v>
      </c>
      <c r="S911" s="1">
        <v>262</v>
      </c>
      <c r="T911" s="1">
        <v>281</v>
      </c>
    </row>
    <row r="912" spans="1:20" ht="21" customHeight="1">
      <c r="A912" s="8">
        <v>46267</v>
      </c>
      <c r="B912" s="1" t="s">
        <v>34</v>
      </c>
      <c r="C912" s="1" t="s">
        <v>90</v>
      </c>
      <c r="D912" s="7">
        <v>7000</v>
      </c>
      <c r="E912" s="7">
        <v>7200</v>
      </c>
      <c r="F912" s="7">
        <v>7400</v>
      </c>
      <c r="G912" s="7">
        <f>'Option source'!B761</f>
        <v>286.63</v>
      </c>
      <c r="H912" s="7">
        <f>'Option source'!B780</f>
        <v>369.49</v>
      </c>
      <c r="I912" s="7">
        <f>'Option source'!B799</f>
        <v>480</v>
      </c>
      <c r="J912" s="7">
        <f t="shared" si="98"/>
        <v>27.649999999999977</v>
      </c>
      <c r="K912" s="7">
        <f t="shared" si="99"/>
        <v>200</v>
      </c>
      <c r="L912" s="7">
        <f t="shared" si="100"/>
        <v>172.35000000000002</v>
      </c>
      <c r="M912" s="7">
        <f t="shared" si="101"/>
        <v>27.649999999999977</v>
      </c>
      <c r="N912" s="7">
        <f t="shared" si="102"/>
        <v>7027.65</v>
      </c>
      <c r="O912" s="7">
        <f t="shared" si="103"/>
        <v>7372.35</v>
      </c>
      <c r="P912" s="15">
        <f t="shared" si="104"/>
        <v>6.2332730560578717</v>
      </c>
      <c r="Q912" s="7">
        <f>J912*'Model inputs'!$B$8</f>
        <v>2764.9999999999977</v>
      </c>
      <c r="R912" s="1" t="s">
        <v>162</v>
      </c>
      <c r="S912" s="1">
        <v>756</v>
      </c>
      <c r="T912" s="1">
        <v>775</v>
      </c>
    </row>
    <row r="913" spans="1:20" ht="21" customHeight="1">
      <c r="A913" s="8">
        <v>46267</v>
      </c>
      <c r="B913" s="1" t="s">
        <v>34</v>
      </c>
      <c r="C913" s="1" t="s">
        <v>87</v>
      </c>
      <c r="D913" s="7">
        <v>6800</v>
      </c>
      <c r="E913" s="7">
        <v>7000</v>
      </c>
      <c r="F913" s="7">
        <v>7200</v>
      </c>
      <c r="G913" s="7">
        <f>'Option source'!B248</f>
        <v>745.47</v>
      </c>
      <c r="H913" s="7">
        <f>'Option source'!B267</f>
        <v>617.88</v>
      </c>
      <c r="I913" s="7">
        <f>'Option source'!B286</f>
        <v>507.78</v>
      </c>
      <c r="J913" s="7">
        <f t="shared" si="98"/>
        <v>17.490000000000009</v>
      </c>
      <c r="K913" s="7">
        <f t="shared" si="99"/>
        <v>200</v>
      </c>
      <c r="L913" s="7">
        <f t="shared" si="100"/>
        <v>182.51</v>
      </c>
      <c r="M913" s="7">
        <f t="shared" si="101"/>
        <v>17.490000000000009</v>
      </c>
      <c r="N913" s="7">
        <f t="shared" si="102"/>
        <v>6817.49</v>
      </c>
      <c r="O913" s="7">
        <f t="shared" si="103"/>
        <v>7182.51</v>
      </c>
      <c r="P913" s="15">
        <f t="shared" si="104"/>
        <v>10.43510577472841</v>
      </c>
      <c r="Q913" s="7">
        <f>J913*'Model inputs'!$B$8</f>
        <v>1749.0000000000009</v>
      </c>
      <c r="R913" s="1" t="s">
        <v>162</v>
      </c>
      <c r="S913" s="1">
        <v>243</v>
      </c>
      <c r="T913" s="1">
        <v>262</v>
      </c>
    </row>
    <row r="914" spans="1:20" ht="21" customHeight="1">
      <c r="A914" s="8">
        <v>46267</v>
      </c>
      <c r="B914" s="1" t="s">
        <v>34</v>
      </c>
      <c r="C914" s="1" t="s">
        <v>90</v>
      </c>
      <c r="D914" s="7">
        <v>6800</v>
      </c>
      <c r="E914" s="7">
        <v>7000</v>
      </c>
      <c r="F914" s="7">
        <v>7200</v>
      </c>
      <c r="G914" s="7">
        <f>'Option source'!B742</f>
        <v>210.34</v>
      </c>
      <c r="H914" s="7">
        <f>'Option source'!B761</f>
        <v>286.63</v>
      </c>
      <c r="I914" s="7">
        <f>'Option source'!B780</f>
        <v>369.49</v>
      </c>
      <c r="J914" s="7">
        <f t="shared" si="98"/>
        <v>6.57000000000005</v>
      </c>
      <c r="K914" s="7">
        <f t="shared" si="99"/>
        <v>200</v>
      </c>
      <c r="L914" s="7">
        <f t="shared" si="100"/>
        <v>193.42999999999995</v>
      </c>
      <c r="M914" s="7">
        <f t="shared" si="101"/>
        <v>6.57000000000005</v>
      </c>
      <c r="N914" s="7">
        <f t="shared" si="102"/>
        <v>6806.57</v>
      </c>
      <c r="O914" s="7">
        <f t="shared" si="103"/>
        <v>7193.43</v>
      </c>
      <c r="P914" s="15">
        <f t="shared" si="104"/>
        <v>29.441400304413772</v>
      </c>
      <c r="Q914" s="7">
        <f>J914*'Model inputs'!$B$8</f>
        <v>657.000000000005</v>
      </c>
      <c r="R914" s="1" t="s">
        <v>162</v>
      </c>
      <c r="S914" s="1">
        <v>737</v>
      </c>
      <c r="T914" s="1">
        <v>756</v>
      </c>
    </row>
    <row r="915" spans="1:20" ht="21" customHeight="1">
      <c r="A915" s="8">
        <v>46267</v>
      </c>
      <c r="B915" s="1" t="s">
        <v>34</v>
      </c>
      <c r="C915" s="1" t="s">
        <v>87</v>
      </c>
      <c r="D915" s="7">
        <v>7200</v>
      </c>
      <c r="E915" s="7">
        <v>7400</v>
      </c>
      <c r="F915" s="7">
        <v>7600</v>
      </c>
      <c r="G915" s="7">
        <f>'Option source'!B286</f>
        <v>507.78</v>
      </c>
      <c r="H915" s="7">
        <f>'Option source'!B305</f>
        <v>410.55</v>
      </c>
      <c r="I915" s="7">
        <f>'Option source'!B324</f>
        <v>324.11</v>
      </c>
      <c r="J915" s="7">
        <f t="shared" si="98"/>
        <v>10.789999999999964</v>
      </c>
      <c r="K915" s="7">
        <f t="shared" si="99"/>
        <v>200</v>
      </c>
      <c r="L915" s="7">
        <f t="shared" si="100"/>
        <v>189.21000000000004</v>
      </c>
      <c r="M915" s="7">
        <f t="shared" si="101"/>
        <v>10.789999999999964</v>
      </c>
      <c r="N915" s="7">
        <f t="shared" si="102"/>
        <v>7210.79</v>
      </c>
      <c r="O915" s="7">
        <f t="shared" si="103"/>
        <v>7589.21</v>
      </c>
      <c r="P915" s="15">
        <f t="shared" si="104"/>
        <v>17.535681186283657</v>
      </c>
      <c r="Q915" s="7">
        <f>J915*'Model inputs'!$B$8</f>
        <v>1078.9999999999964</v>
      </c>
      <c r="R915" s="1" t="s">
        <v>162</v>
      </c>
      <c r="S915" s="1">
        <v>281</v>
      </c>
      <c r="T915" s="1">
        <v>300</v>
      </c>
    </row>
    <row r="916" spans="1:20" ht="21" customHeight="1">
      <c r="A916" s="8">
        <v>46267</v>
      </c>
      <c r="B916" s="1" t="s">
        <v>34</v>
      </c>
      <c r="C916" s="1" t="s">
        <v>90</v>
      </c>
      <c r="D916" s="7">
        <v>7200</v>
      </c>
      <c r="E916" s="7">
        <v>7400</v>
      </c>
      <c r="F916" s="7">
        <v>7600</v>
      </c>
      <c r="G916" s="7">
        <f>'Option source'!B780</f>
        <v>369.49</v>
      </c>
      <c r="H916" s="7">
        <f>'Option source'!B799</f>
        <v>480</v>
      </c>
      <c r="I916" s="7">
        <f>'Option source'!B818</f>
        <v>600</v>
      </c>
      <c r="J916" s="7">
        <f t="shared" si="98"/>
        <v>9.4900000000000091</v>
      </c>
      <c r="K916" s="7">
        <f t="shared" si="99"/>
        <v>200</v>
      </c>
      <c r="L916" s="7">
        <f t="shared" si="100"/>
        <v>190.51</v>
      </c>
      <c r="M916" s="7">
        <f t="shared" si="101"/>
        <v>9.4900000000000091</v>
      </c>
      <c r="N916" s="7">
        <f t="shared" si="102"/>
        <v>7209.49</v>
      </c>
      <c r="O916" s="7">
        <f t="shared" si="103"/>
        <v>7590.51</v>
      </c>
      <c r="P916" s="15">
        <f t="shared" si="104"/>
        <v>20.074815595363521</v>
      </c>
      <c r="Q916" s="7">
        <f>J916*'Model inputs'!$B$8</f>
        <v>949.00000000000091</v>
      </c>
      <c r="R916" s="1" t="s">
        <v>162</v>
      </c>
      <c r="S916" s="1">
        <v>775</v>
      </c>
      <c r="T916" s="1">
        <v>794</v>
      </c>
    </row>
    <row r="917" spans="1:20" ht="21" customHeight="1">
      <c r="A917" s="8">
        <v>46267</v>
      </c>
      <c r="B917" s="1" t="s">
        <v>34</v>
      </c>
      <c r="C917" s="1" t="s">
        <v>87</v>
      </c>
      <c r="D917" s="7">
        <v>6600</v>
      </c>
      <c r="E917" s="7">
        <v>6800</v>
      </c>
      <c r="F917" s="7">
        <v>7000</v>
      </c>
      <c r="G917" s="7">
        <f>'Option source'!B229</f>
        <v>884.58</v>
      </c>
      <c r="H917" s="7">
        <f>'Option source'!B248</f>
        <v>745.47</v>
      </c>
      <c r="I917" s="7">
        <f>'Option source'!B267</f>
        <v>617.88</v>
      </c>
      <c r="J917" s="7">
        <f t="shared" si="98"/>
        <v>11.519999999999982</v>
      </c>
      <c r="K917" s="7">
        <f t="shared" si="99"/>
        <v>200</v>
      </c>
      <c r="L917" s="7">
        <f t="shared" si="100"/>
        <v>188.48000000000002</v>
      </c>
      <c r="M917" s="7">
        <f t="shared" si="101"/>
        <v>11.519999999999982</v>
      </c>
      <c r="N917" s="7">
        <f t="shared" si="102"/>
        <v>6611.52</v>
      </c>
      <c r="O917" s="7">
        <f t="shared" si="103"/>
        <v>6988.48</v>
      </c>
      <c r="P917" s="15">
        <f t="shared" si="104"/>
        <v>16.361111111111139</v>
      </c>
      <c r="Q917" s="7">
        <f>J917*'Model inputs'!$B$8</f>
        <v>1151.9999999999982</v>
      </c>
      <c r="R917" s="1" t="s">
        <v>162</v>
      </c>
      <c r="S917" s="1">
        <v>224</v>
      </c>
      <c r="T917" s="1">
        <v>243</v>
      </c>
    </row>
    <row r="918" spans="1:20" ht="21" customHeight="1">
      <c r="A918" s="8">
        <v>46267</v>
      </c>
      <c r="B918" s="1" t="s">
        <v>34</v>
      </c>
      <c r="C918" s="1" t="s">
        <v>90</v>
      </c>
      <c r="D918" s="7">
        <v>6600</v>
      </c>
      <c r="E918" s="7">
        <v>6800</v>
      </c>
      <c r="F918" s="7">
        <v>7000</v>
      </c>
      <c r="G918" s="7">
        <f>'Option source'!B723</f>
        <v>146.29</v>
      </c>
      <c r="H918" s="7">
        <f>'Option source'!B742</f>
        <v>210.34</v>
      </c>
      <c r="I918" s="7">
        <f>'Option source'!B761</f>
        <v>286.63</v>
      </c>
      <c r="J918" s="7">
        <f t="shared" si="98"/>
        <v>12.240000000000009</v>
      </c>
      <c r="K918" s="7">
        <f t="shared" si="99"/>
        <v>200</v>
      </c>
      <c r="L918" s="7">
        <f t="shared" si="100"/>
        <v>187.76</v>
      </c>
      <c r="M918" s="7">
        <f t="shared" si="101"/>
        <v>12.240000000000009</v>
      </c>
      <c r="N918" s="7">
        <f t="shared" si="102"/>
        <v>6612.24</v>
      </c>
      <c r="O918" s="7">
        <f t="shared" si="103"/>
        <v>6987.76</v>
      </c>
      <c r="P918" s="15">
        <f t="shared" si="104"/>
        <v>15.33986928104574</v>
      </c>
      <c r="Q918" s="7">
        <f>J918*'Model inputs'!$B$8</f>
        <v>1224.0000000000009</v>
      </c>
      <c r="R918" s="1" t="s">
        <v>162</v>
      </c>
      <c r="S918" s="1">
        <v>718</v>
      </c>
      <c r="T918" s="1">
        <v>737</v>
      </c>
    </row>
    <row r="919" spans="1:20" ht="21" customHeight="1">
      <c r="A919" s="8">
        <v>46267</v>
      </c>
      <c r="B919" s="1" t="s">
        <v>34</v>
      </c>
      <c r="C919" s="1" t="s">
        <v>87</v>
      </c>
      <c r="D919" s="7">
        <v>7400</v>
      </c>
      <c r="E919" s="7">
        <v>7600</v>
      </c>
      <c r="F919" s="7">
        <v>7800</v>
      </c>
      <c r="G919" s="7">
        <f>'Option source'!B305</f>
        <v>410.55</v>
      </c>
      <c r="H919" s="7">
        <f>'Option source'!B324</f>
        <v>324.11</v>
      </c>
      <c r="I919" s="7">
        <f>'Option source'!B343</f>
        <v>253.96</v>
      </c>
      <c r="J919" s="7">
        <f t="shared" si="98"/>
        <v>16.289999999999992</v>
      </c>
      <c r="K919" s="7">
        <f t="shared" si="99"/>
        <v>200</v>
      </c>
      <c r="L919" s="7">
        <f t="shared" si="100"/>
        <v>183.71</v>
      </c>
      <c r="M919" s="7">
        <f t="shared" si="101"/>
        <v>16.289999999999992</v>
      </c>
      <c r="N919" s="7">
        <f t="shared" si="102"/>
        <v>7416.29</v>
      </c>
      <c r="O919" s="7">
        <f t="shared" si="103"/>
        <v>7783.71</v>
      </c>
      <c r="P919" s="15">
        <f t="shared" si="104"/>
        <v>11.277470841006759</v>
      </c>
      <c r="Q919" s="7">
        <f>J919*'Model inputs'!$B$8</f>
        <v>1628.9999999999991</v>
      </c>
      <c r="R919" s="1" t="s">
        <v>162</v>
      </c>
      <c r="S919" s="1">
        <v>300</v>
      </c>
      <c r="T919" s="1">
        <v>319</v>
      </c>
    </row>
    <row r="920" spans="1:20" ht="21" customHeight="1">
      <c r="A920" s="8">
        <v>46267</v>
      </c>
      <c r="B920" s="1" t="s">
        <v>34</v>
      </c>
      <c r="C920" s="1" t="s">
        <v>87</v>
      </c>
      <c r="D920" s="7">
        <v>6400</v>
      </c>
      <c r="E920" s="7">
        <v>6600</v>
      </c>
      <c r="F920" s="7">
        <v>6800</v>
      </c>
      <c r="G920" s="7">
        <f>'Option source'!B210</f>
        <v>1025</v>
      </c>
      <c r="H920" s="7">
        <f>'Option source'!B229</f>
        <v>884.58</v>
      </c>
      <c r="I920" s="7">
        <f>'Option source'!B248</f>
        <v>745.47</v>
      </c>
      <c r="J920" s="7">
        <f t="shared" si="98"/>
        <v>1.3099999999999454</v>
      </c>
      <c r="K920" s="7">
        <f t="shared" si="99"/>
        <v>200</v>
      </c>
      <c r="L920" s="7">
        <f t="shared" si="100"/>
        <v>198.69000000000005</v>
      </c>
      <c r="M920" s="7">
        <f t="shared" si="101"/>
        <v>1.3099999999999454</v>
      </c>
      <c r="N920" s="7">
        <f t="shared" si="102"/>
        <v>6401.3099999999995</v>
      </c>
      <c r="O920" s="7">
        <f t="shared" si="103"/>
        <v>6798.6900000000005</v>
      </c>
      <c r="P920" s="15">
        <f t="shared" si="104"/>
        <v>151.67175572519719</v>
      </c>
      <c r="Q920" s="7">
        <f>J920*'Model inputs'!$B$8</f>
        <v>130.99999999999454</v>
      </c>
      <c r="R920" s="1" t="s">
        <v>162</v>
      </c>
      <c r="S920" s="1">
        <v>205</v>
      </c>
      <c r="T920" s="1">
        <v>224</v>
      </c>
    </row>
    <row r="921" spans="1:20" ht="21" customHeight="1">
      <c r="A921" s="8">
        <v>46267</v>
      </c>
      <c r="B921" s="1" t="s">
        <v>34</v>
      </c>
      <c r="C921" s="1" t="s">
        <v>90</v>
      </c>
      <c r="D921" s="7">
        <v>6400</v>
      </c>
      <c r="E921" s="7">
        <v>6600</v>
      </c>
      <c r="F921" s="7">
        <v>6800</v>
      </c>
      <c r="G921" s="7">
        <f>'Option source'!B704</f>
        <v>103.46</v>
      </c>
      <c r="H921" s="7">
        <f>'Option source'!B723</f>
        <v>146.29</v>
      </c>
      <c r="I921" s="7">
        <f>'Option source'!B742</f>
        <v>210.34</v>
      </c>
      <c r="J921" s="7">
        <f t="shared" si="98"/>
        <v>21.22</v>
      </c>
      <c r="K921" s="7">
        <f t="shared" si="99"/>
        <v>200</v>
      </c>
      <c r="L921" s="7">
        <f t="shared" si="100"/>
        <v>178.78</v>
      </c>
      <c r="M921" s="7">
        <f t="shared" si="101"/>
        <v>21.22</v>
      </c>
      <c r="N921" s="7">
        <f t="shared" si="102"/>
        <v>6421.22</v>
      </c>
      <c r="O921" s="7">
        <f t="shared" si="103"/>
        <v>6778.78</v>
      </c>
      <c r="P921" s="15">
        <f t="shared" si="104"/>
        <v>8.4250706880301607</v>
      </c>
      <c r="Q921" s="7">
        <f>J921*'Model inputs'!$B$8</f>
        <v>2122</v>
      </c>
      <c r="R921" s="1" t="s">
        <v>162</v>
      </c>
      <c r="S921" s="1">
        <v>699</v>
      </c>
      <c r="T921" s="1">
        <v>718</v>
      </c>
    </row>
    <row r="922" spans="1:20" ht="21" customHeight="1">
      <c r="A922" s="8">
        <v>46267</v>
      </c>
      <c r="B922" s="1" t="s">
        <v>34</v>
      </c>
      <c r="C922" s="1" t="s">
        <v>87</v>
      </c>
      <c r="D922" s="7">
        <v>7600</v>
      </c>
      <c r="E922" s="7">
        <v>7800</v>
      </c>
      <c r="F922" s="7">
        <v>8000</v>
      </c>
      <c r="G922" s="7">
        <f>'Option source'!B324</f>
        <v>324.11</v>
      </c>
      <c r="H922" s="7">
        <f>'Option source'!B343</f>
        <v>253.96</v>
      </c>
      <c r="I922" s="7">
        <f>'Option source'!B362</f>
        <v>195.8</v>
      </c>
      <c r="J922" s="7">
        <f t="shared" si="98"/>
        <v>11.990000000000009</v>
      </c>
      <c r="K922" s="7">
        <f t="shared" si="99"/>
        <v>200</v>
      </c>
      <c r="L922" s="7">
        <f t="shared" si="100"/>
        <v>188.01</v>
      </c>
      <c r="M922" s="7">
        <f t="shared" si="101"/>
        <v>11.990000000000009</v>
      </c>
      <c r="N922" s="7">
        <f t="shared" si="102"/>
        <v>7611.99</v>
      </c>
      <c r="O922" s="7">
        <f t="shared" si="103"/>
        <v>7988.01</v>
      </c>
      <c r="P922" s="15">
        <f t="shared" si="104"/>
        <v>15.680567139282722</v>
      </c>
      <c r="Q922" s="7">
        <f>J922*'Model inputs'!$B$8</f>
        <v>1199.0000000000009</v>
      </c>
      <c r="R922" s="1" t="s">
        <v>162</v>
      </c>
      <c r="S922" s="1">
        <v>319</v>
      </c>
      <c r="T922" s="1">
        <v>338</v>
      </c>
    </row>
    <row r="923" spans="1:20" ht="21" customHeight="1">
      <c r="A923" s="8">
        <v>46267</v>
      </c>
      <c r="B923" s="1" t="s">
        <v>34</v>
      </c>
      <c r="C923" s="1" t="s">
        <v>90</v>
      </c>
      <c r="D923" s="7">
        <v>6200</v>
      </c>
      <c r="E923" s="7">
        <v>6400</v>
      </c>
      <c r="F923" s="7">
        <v>6600</v>
      </c>
      <c r="G923" s="7">
        <f>'Option source'!B685</f>
        <v>66.11</v>
      </c>
      <c r="H923" s="7">
        <f>'Option source'!B704</f>
        <v>103.46</v>
      </c>
      <c r="I923" s="7">
        <f>'Option source'!B723</f>
        <v>146.29</v>
      </c>
      <c r="J923" s="7">
        <f t="shared" si="98"/>
        <v>5.4799999999999898</v>
      </c>
      <c r="K923" s="7">
        <f t="shared" si="99"/>
        <v>200</v>
      </c>
      <c r="L923" s="7">
        <f t="shared" si="100"/>
        <v>194.52</v>
      </c>
      <c r="M923" s="7">
        <f t="shared" si="101"/>
        <v>5.4799999999999898</v>
      </c>
      <c r="N923" s="7">
        <f t="shared" si="102"/>
        <v>6205.48</v>
      </c>
      <c r="O923" s="7">
        <f t="shared" si="103"/>
        <v>6594.52</v>
      </c>
      <c r="P923" s="15">
        <f t="shared" si="104"/>
        <v>35.496350364963568</v>
      </c>
      <c r="Q923" s="7">
        <f>J923*'Model inputs'!$B$8</f>
        <v>547.99999999999898</v>
      </c>
      <c r="R923" s="1" t="s">
        <v>162</v>
      </c>
      <c r="S923" s="1">
        <v>680</v>
      </c>
      <c r="T923" s="1">
        <v>699</v>
      </c>
    </row>
    <row r="924" spans="1:20" ht="21" customHeight="1">
      <c r="A924" s="8">
        <v>46267</v>
      </c>
      <c r="B924" s="1" t="s">
        <v>34</v>
      </c>
      <c r="C924" s="1" t="s">
        <v>90</v>
      </c>
      <c r="D924" s="7">
        <v>6000</v>
      </c>
      <c r="E924" s="7">
        <v>6200</v>
      </c>
      <c r="F924" s="7">
        <v>6400</v>
      </c>
      <c r="G924" s="7">
        <f>'Option source'!B666</f>
        <v>41.36</v>
      </c>
      <c r="H924" s="7">
        <f>'Option source'!B685</f>
        <v>66.11</v>
      </c>
      <c r="I924" s="7">
        <f>'Option source'!B704</f>
        <v>103.46</v>
      </c>
      <c r="J924" s="7">
        <f t="shared" si="98"/>
        <v>12.599999999999994</v>
      </c>
      <c r="K924" s="7">
        <f t="shared" si="99"/>
        <v>200</v>
      </c>
      <c r="L924" s="7">
        <f t="shared" si="100"/>
        <v>187.4</v>
      </c>
      <c r="M924" s="7">
        <f t="shared" si="101"/>
        <v>12.599999999999994</v>
      </c>
      <c r="N924" s="7">
        <f t="shared" si="102"/>
        <v>6012.6</v>
      </c>
      <c r="O924" s="7">
        <f t="shared" si="103"/>
        <v>6387.4</v>
      </c>
      <c r="P924" s="15">
        <f t="shared" si="104"/>
        <v>14.873015873015881</v>
      </c>
      <c r="Q924" s="7">
        <f>J924*'Model inputs'!$B$8</f>
        <v>1259.9999999999995</v>
      </c>
      <c r="R924" s="1" t="s">
        <v>162</v>
      </c>
      <c r="S924" s="1">
        <v>661</v>
      </c>
      <c r="T924" s="1">
        <v>680</v>
      </c>
    </row>
    <row r="925" spans="1:20" ht="21" customHeight="1">
      <c r="A925" s="8">
        <v>46267</v>
      </c>
      <c r="B925" s="1" t="s">
        <v>34</v>
      </c>
      <c r="C925" s="1" t="s">
        <v>87</v>
      </c>
      <c r="D925" s="7">
        <v>8000</v>
      </c>
      <c r="E925" s="7">
        <v>8300</v>
      </c>
      <c r="F925" s="7">
        <v>8600</v>
      </c>
      <c r="G925" s="7">
        <f>'Option source'!B362</f>
        <v>195.8</v>
      </c>
      <c r="H925" s="7">
        <f>'Option source'!B381</f>
        <v>131.47999999999999</v>
      </c>
      <c r="I925" s="7">
        <f>'Option source'!B400</f>
        <v>84.77</v>
      </c>
      <c r="J925" s="7">
        <f t="shared" si="98"/>
        <v>17.610000000000028</v>
      </c>
      <c r="K925" s="7">
        <f t="shared" si="99"/>
        <v>300</v>
      </c>
      <c r="L925" s="7">
        <f t="shared" si="100"/>
        <v>282.39</v>
      </c>
      <c r="M925" s="7">
        <f t="shared" si="101"/>
        <v>17.610000000000028</v>
      </c>
      <c r="N925" s="7">
        <f t="shared" si="102"/>
        <v>8017.61</v>
      </c>
      <c r="O925" s="7">
        <f t="shared" si="103"/>
        <v>8582.39</v>
      </c>
      <c r="P925" s="15">
        <f t="shared" si="104"/>
        <v>16.035775127768286</v>
      </c>
      <c r="Q925" s="7">
        <f>J925*'Model inputs'!$B$8</f>
        <v>1761.0000000000027</v>
      </c>
      <c r="R925" s="1" t="s">
        <v>162</v>
      </c>
      <c r="S925" s="1">
        <v>357</v>
      </c>
      <c r="T925" s="1">
        <v>376</v>
      </c>
    </row>
    <row r="926" spans="1:20" ht="21" customHeight="1">
      <c r="A926" s="8">
        <v>46267</v>
      </c>
      <c r="B926" s="1" t="s">
        <v>34</v>
      </c>
      <c r="C926" s="1" t="s">
        <v>90</v>
      </c>
      <c r="D926" s="7">
        <v>5800</v>
      </c>
      <c r="E926" s="7">
        <v>6000</v>
      </c>
      <c r="F926" s="7">
        <v>6200</v>
      </c>
      <c r="G926" s="7">
        <f>'Option source'!B647</f>
        <v>24.27</v>
      </c>
      <c r="H926" s="7">
        <f>'Option source'!B666</f>
        <v>41.36</v>
      </c>
      <c r="I926" s="7">
        <f>'Option source'!B685</f>
        <v>66.11</v>
      </c>
      <c r="J926" s="7">
        <f t="shared" si="98"/>
        <v>7.6599999999999966</v>
      </c>
      <c r="K926" s="7">
        <f t="shared" si="99"/>
        <v>200</v>
      </c>
      <c r="L926" s="7">
        <f t="shared" si="100"/>
        <v>192.34</v>
      </c>
      <c r="M926" s="7">
        <f t="shared" si="101"/>
        <v>7.6599999999999966</v>
      </c>
      <c r="N926" s="7">
        <f t="shared" si="102"/>
        <v>5807.66</v>
      </c>
      <c r="O926" s="7">
        <f t="shared" si="103"/>
        <v>6192.34</v>
      </c>
      <c r="P926" s="15">
        <f t="shared" si="104"/>
        <v>25.109660574412544</v>
      </c>
      <c r="Q926" s="7">
        <f>J926*'Model inputs'!$B$8</f>
        <v>765.99999999999966</v>
      </c>
      <c r="R926" s="1" t="s">
        <v>162</v>
      </c>
      <c r="S926" s="1">
        <v>642</v>
      </c>
      <c r="T926" s="1">
        <v>661</v>
      </c>
    </row>
    <row r="927" spans="1:20" ht="21" customHeight="1">
      <c r="A927" s="8">
        <v>46267</v>
      </c>
      <c r="B927" s="1" t="s">
        <v>34</v>
      </c>
      <c r="C927" s="1" t="s">
        <v>90</v>
      </c>
      <c r="D927" s="7">
        <v>5600</v>
      </c>
      <c r="E927" s="7">
        <v>5800</v>
      </c>
      <c r="F927" s="7">
        <v>6000</v>
      </c>
      <c r="G927" s="7">
        <f>'Option source'!B628</f>
        <v>14.11</v>
      </c>
      <c r="H927" s="7">
        <f>'Option source'!B647</f>
        <v>24.27</v>
      </c>
      <c r="I927" s="7">
        <f>'Option source'!B666</f>
        <v>41.36</v>
      </c>
      <c r="J927" s="7">
        <f t="shared" si="98"/>
        <v>6.93</v>
      </c>
      <c r="K927" s="7">
        <f t="shared" si="99"/>
        <v>200</v>
      </c>
      <c r="L927" s="7">
        <f t="shared" si="100"/>
        <v>193.07</v>
      </c>
      <c r="M927" s="7">
        <f t="shared" si="101"/>
        <v>6.93</v>
      </c>
      <c r="N927" s="7">
        <f t="shared" si="102"/>
        <v>5606.93</v>
      </c>
      <c r="O927" s="7">
        <f t="shared" si="103"/>
        <v>5993.07</v>
      </c>
      <c r="P927" s="15">
        <f t="shared" si="104"/>
        <v>27.860028860028859</v>
      </c>
      <c r="Q927" s="7">
        <f>J927*'Model inputs'!$B$8</f>
        <v>693</v>
      </c>
      <c r="R927" s="1" t="s">
        <v>162</v>
      </c>
      <c r="S927" s="1">
        <v>623</v>
      </c>
      <c r="T927" s="1">
        <v>642</v>
      </c>
    </row>
    <row r="928" spans="1:20" ht="21" customHeight="1">
      <c r="A928" s="8">
        <v>46267</v>
      </c>
      <c r="B928" s="1" t="s">
        <v>34</v>
      </c>
      <c r="C928" s="1" t="s">
        <v>87</v>
      </c>
      <c r="D928" s="7">
        <v>8300</v>
      </c>
      <c r="E928" s="7">
        <v>8600</v>
      </c>
      <c r="F928" s="7">
        <v>8900</v>
      </c>
      <c r="G928" s="7">
        <f>'Option source'!B381</f>
        <v>131.47999999999999</v>
      </c>
      <c r="H928" s="7">
        <f>'Option source'!B400</f>
        <v>84.77</v>
      </c>
      <c r="I928" s="7">
        <f>'Option source'!B419</f>
        <v>53.17</v>
      </c>
      <c r="J928" s="7">
        <f t="shared" si="98"/>
        <v>15.11</v>
      </c>
      <c r="K928" s="7">
        <f t="shared" si="99"/>
        <v>300</v>
      </c>
      <c r="L928" s="7">
        <f t="shared" si="100"/>
        <v>284.89</v>
      </c>
      <c r="M928" s="7">
        <f t="shared" si="101"/>
        <v>15.11</v>
      </c>
      <c r="N928" s="7">
        <f t="shared" si="102"/>
        <v>8315.11</v>
      </c>
      <c r="O928" s="7">
        <f t="shared" si="103"/>
        <v>8884.89</v>
      </c>
      <c r="P928" s="15">
        <f t="shared" si="104"/>
        <v>18.854401058901388</v>
      </c>
      <c r="Q928" s="7">
        <f>J928*'Model inputs'!$B$8</f>
        <v>1511</v>
      </c>
      <c r="R928" s="1" t="s">
        <v>162</v>
      </c>
      <c r="S928" s="1">
        <v>376</v>
      </c>
      <c r="T928" s="1">
        <v>395</v>
      </c>
    </row>
    <row r="929" spans="1:20" ht="21" customHeight="1">
      <c r="A929" s="8">
        <v>46267</v>
      </c>
      <c r="B929" s="1" t="s">
        <v>34</v>
      </c>
      <c r="C929" s="1" t="s">
        <v>90</v>
      </c>
      <c r="D929" s="7">
        <v>5400</v>
      </c>
      <c r="E929" s="7">
        <v>5600</v>
      </c>
      <c r="F929" s="7">
        <v>5800</v>
      </c>
      <c r="G929" s="7">
        <f>'Option source'!B609</f>
        <v>8.0399999999999991</v>
      </c>
      <c r="H929" s="7">
        <f>'Option source'!B628</f>
        <v>14.11</v>
      </c>
      <c r="I929" s="7">
        <f>'Option source'!B647</f>
        <v>24.27</v>
      </c>
      <c r="J929" s="7">
        <f t="shared" si="98"/>
        <v>4.09</v>
      </c>
      <c r="K929" s="7">
        <f t="shared" si="99"/>
        <v>200</v>
      </c>
      <c r="L929" s="7">
        <f t="shared" si="100"/>
        <v>195.91</v>
      </c>
      <c r="M929" s="7">
        <f t="shared" si="101"/>
        <v>4.09</v>
      </c>
      <c r="N929" s="7">
        <f t="shared" si="102"/>
        <v>5404.09</v>
      </c>
      <c r="O929" s="7">
        <f t="shared" si="103"/>
        <v>5795.91</v>
      </c>
      <c r="P929" s="15">
        <f t="shared" si="104"/>
        <v>47.899755501222494</v>
      </c>
      <c r="Q929" s="7">
        <f>J929*'Model inputs'!$B$8</f>
        <v>409</v>
      </c>
      <c r="R929" s="1" t="s">
        <v>162</v>
      </c>
      <c r="S929" s="1">
        <v>604</v>
      </c>
      <c r="T929" s="1">
        <v>623</v>
      </c>
    </row>
    <row r="930" spans="1:20" ht="21" customHeight="1">
      <c r="A930" s="8">
        <v>46267</v>
      </c>
      <c r="B930" s="1" t="s">
        <v>34</v>
      </c>
      <c r="C930" s="1" t="s">
        <v>87</v>
      </c>
      <c r="D930" s="7">
        <v>8600</v>
      </c>
      <c r="E930" s="7">
        <v>8900</v>
      </c>
      <c r="F930" s="7">
        <v>9200</v>
      </c>
      <c r="G930" s="7">
        <f>'Option source'!B400</f>
        <v>84.77</v>
      </c>
      <c r="H930" s="7">
        <f>'Option source'!B419</f>
        <v>53.17</v>
      </c>
      <c r="I930" s="7">
        <f>'Option source'!B438</f>
        <v>32.75</v>
      </c>
      <c r="J930" s="7">
        <f t="shared" si="98"/>
        <v>11.179999999999993</v>
      </c>
      <c r="K930" s="7">
        <f t="shared" si="99"/>
        <v>300</v>
      </c>
      <c r="L930" s="7">
        <f t="shared" si="100"/>
        <v>288.82</v>
      </c>
      <c r="M930" s="7">
        <f t="shared" si="101"/>
        <v>11.179999999999993</v>
      </c>
      <c r="N930" s="7">
        <f t="shared" si="102"/>
        <v>8611.18</v>
      </c>
      <c r="O930" s="7">
        <f t="shared" si="103"/>
        <v>9188.82</v>
      </c>
      <c r="P930" s="15">
        <f t="shared" si="104"/>
        <v>25.833631484794292</v>
      </c>
      <c r="Q930" s="7">
        <f>J930*'Model inputs'!$B$8</f>
        <v>1117.9999999999993</v>
      </c>
      <c r="R930" s="1" t="s">
        <v>162</v>
      </c>
      <c r="S930" s="1">
        <v>395</v>
      </c>
      <c r="T930" s="1">
        <v>414</v>
      </c>
    </row>
    <row r="931" spans="1:20" ht="21" customHeight="1">
      <c r="A931" s="8">
        <v>46267</v>
      </c>
      <c r="B931" s="1" t="s">
        <v>34</v>
      </c>
      <c r="C931" s="1" t="s">
        <v>90</v>
      </c>
      <c r="D931" s="7">
        <v>5200</v>
      </c>
      <c r="E931" s="7">
        <v>5400</v>
      </c>
      <c r="F931" s="7">
        <v>5600</v>
      </c>
      <c r="G931" s="7">
        <f>'Option source'!B590</f>
        <v>4.57</v>
      </c>
      <c r="H931" s="7">
        <f>'Option source'!B609</f>
        <v>8.0399999999999991</v>
      </c>
      <c r="I931" s="7">
        <f>'Option source'!B628</f>
        <v>14.11</v>
      </c>
      <c r="J931" s="7">
        <f t="shared" si="98"/>
        <v>2.6000000000000014</v>
      </c>
      <c r="K931" s="7">
        <f t="shared" si="99"/>
        <v>200</v>
      </c>
      <c r="L931" s="7">
        <f t="shared" si="100"/>
        <v>197.4</v>
      </c>
      <c r="M931" s="7">
        <f t="shared" si="101"/>
        <v>2.6000000000000014</v>
      </c>
      <c r="N931" s="7">
        <f t="shared" si="102"/>
        <v>5202.6000000000004</v>
      </c>
      <c r="O931" s="7">
        <f t="shared" si="103"/>
        <v>5597.4</v>
      </c>
      <c r="P931" s="15">
        <f t="shared" si="104"/>
        <v>75.923076923076877</v>
      </c>
      <c r="Q931" s="7">
        <f>J931*'Model inputs'!$B$8</f>
        <v>260.00000000000011</v>
      </c>
      <c r="R931" s="1" t="s">
        <v>162</v>
      </c>
      <c r="S931" s="1">
        <v>585</v>
      </c>
      <c r="T931" s="1">
        <v>604</v>
      </c>
    </row>
    <row r="932" spans="1:20" ht="21" customHeight="1">
      <c r="A932" s="8">
        <v>46267</v>
      </c>
      <c r="B932" s="1" t="s">
        <v>34</v>
      </c>
      <c r="C932" s="1" t="s">
        <v>90</v>
      </c>
      <c r="D932" s="7">
        <v>5000</v>
      </c>
      <c r="E932" s="7">
        <v>5200</v>
      </c>
      <c r="F932" s="7">
        <v>5400</v>
      </c>
      <c r="G932" s="7">
        <f>'Option source'!B571</f>
        <v>2.6</v>
      </c>
      <c r="H932" s="7">
        <f>'Option source'!B590</f>
        <v>4.57</v>
      </c>
      <c r="I932" s="7">
        <f>'Option source'!B609</f>
        <v>8.0399999999999991</v>
      </c>
      <c r="J932" s="7">
        <f t="shared" si="98"/>
        <v>1.4999999999999982</v>
      </c>
      <c r="K932" s="7">
        <f t="shared" si="99"/>
        <v>200</v>
      </c>
      <c r="L932" s="7">
        <f t="shared" si="100"/>
        <v>198.5</v>
      </c>
      <c r="M932" s="7">
        <f t="shared" si="101"/>
        <v>1.4999999999999982</v>
      </c>
      <c r="N932" s="7">
        <f t="shared" si="102"/>
        <v>5001.5</v>
      </c>
      <c r="O932" s="7">
        <f t="shared" si="103"/>
        <v>5398.5</v>
      </c>
      <c r="P932" s="15">
        <f t="shared" si="104"/>
        <v>132.33333333333348</v>
      </c>
      <c r="Q932" s="7">
        <f>J932*'Model inputs'!$B$8</f>
        <v>149.99999999999983</v>
      </c>
      <c r="R932" s="1" t="s">
        <v>162</v>
      </c>
      <c r="S932" s="1">
        <v>566</v>
      </c>
      <c r="T932" s="1">
        <v>585</v>
      </c>
    </row>
    <row r="933" spans="1:20" ht="21" customHeight="1">
      <c r="A933" s="8">
        <v>46267</v>
      </c>
      <c r="B933" s="1" t="s">
        <v>34</v>
      </c>
      <c r="C933" s="1" t="s">
        <v>87</v>
      </c>
      <c r="D933" s="7">
        <v>8900</v>
      </c>
      <c r="E933" s="7">
        <v>9200</v>
      </c>
      <c r="F933" s="7">
        <v>9500</v>
      </c>
      <c r="G933" s="7">
        <f>'Option source'!B419</f>
        <v>53.17</v>
      </c>
      <c r="H933" s="7">
        <f>'Option source'!B438</f>
        <v>32.75</v>
      </c>
      <c r="I933" s="7">
        <f>'Option source'!B457</f>
        <v>20.75</v>
      </c>
      <c r="J933" s="7">
        <f t="shared" si="98"/>
        <v>8.4200000000000017</v>
      </c>
      <c r="K933" s="7">
        <f t="shared" si="99"/>
        <v>300</v>
      </c>
      <c r="L933" s="7">
        <f t="shared" si="100"/>
        <v>291.58</v>
      </c>
      <c r="M933" s="7">
        <f t="shared" si="101"/>
        <v>8.4200000000000017</v>
      </c>
      <c r="N933" s="7">
        <f t="shared" si="102"/>
        <v>8908.42</v>
      </c>
      <c r="O933" s="7">
        <f t="shared" si="103"/>
        <v>9491.58</v>
      </c>
      <c r="P933" s="15">
        <f t="shared" si="104"/>
        <v>34.629453681710203</v>
      </c>
      <c r="Q933" s="7">
        <f>J933*'Model inputs'!$B$8</f>
        <v>842.00000000000023</v>
      </c>
      <c r="R933" s="1" t="s">
        <v>162</v>
      </c>
      <c r="S933" s="1">
        <v>414</v>
      </c>
      <c r="T933" s="1">
        <v>433</v>
      </c>
    </row>
    <row r="934" spans="1:20" ht="21" customHeight="1">
      <c r="A934" s="8">
        <v>46267</v>
      </c>
      <c r="B934" s="1" t="s">
        <v>34</v>
      </c>
      <c r="C934" s="1" t="s">
        <v>90</v>
      </c>
      <c r="D934" s="7">
        <v>4800</v>
      </c>
      <c r="E934" s="7">
        <v>5000</v>
      </c>
      <c r="F934" s="7">
        <v>5200</v>
      </c>
      <c r="G934" s="7">
        <f>'Option source'!B552</f>
        <v>1.74</v>
      </c>
      <c r="H934" s="7">
        <f>'Option source'!B571</f>
        <v>2.6</v>
      </c>
      <c r="I934" s="7">
        <f>'Option source'!B590</f>
        <v>4.57</v>
      </c>
      <c r="J934" s="7">
        <f t="shared" si="98"/>
        <v>1.1100000000000003</v>
      </c>
      <c r="K934" s="7">
        <f t="shared" si="99"/>
        <v>200</v>
      </c>
      <c r="L934" s="7">
        <f t="shared" si="100"/>
        <v>198.89</v>
      </c>
      <c r="M934" s="7">
        <f t="shared" si="101"/>
        <v>1.1100000000000003</v>
      </c>
      <c r="N934" s="7">
        <f t="shared" si="102"/>
        <v>4801.1099999999997</v>
      </c>
      <c r="O934" s="7">
        <f t="shared" si="103"/>
        <v>5198.8900000000003</v>
      </c>
      <c r="P934" s="15">
        <f t="shared" si="104"/>
        <v>179.18018018018012</v>
      </c>
      <c r="Q934" s="7">
        <f>J934*'Model inputs'!$B$8</f>
        <v>111.00000000000003</v>
      </c>
      <c r="R934" s="1" t="s">
        <v>162</v>
      </c>
      <c r="S934" s="1">
        <v>547</v>
      </c>
      <c r="T934" s="1">
        <v>566</v>
      </c>
    </row>
    <row r="935" spans="1:20" ht="21" customHeight="1">
      <c r="A935" s="8">
        <v>46267</v>
      </c>
      <c r="B935" s="1" t="s">
        <v>34</v>
      </c>
      <c r="C935" s="1" t="s">
        <v>90</v>
      </c>
      <c r="D935" s="7">
        <v>4600</v>
      </c>
      <c r="E935" s="7">
        <v>4800</v>
      </c>
      <c r="F935" s="7">
        <v>5000</v>
      </c>
      <c r="G935" s="7">
        <f>'Option source'!B533</f>
        <v>1.38</v>
      </c>
      <c r="H935" s="7">
        <f>'Option source'!B552</f>
        <v>1.74</v>
      </c>
      <c r="I935" s="7">
        <f>'Option source'!B571</f>
        <v>2.6</v>
      </c>
      <c r="J935" s="7">
        <f t="shared" si="98"/>
        <v>0.5</v>
      </c>
      <c r="K935" s="7">
        <f t="shared" si="99"/>
        <v>200</v>
      </c>
      <c r="L935" s="7">
        <f t="shared" si="100"/>
        <v>199.5</v>
      </c>
      <c r="M935" s="7">
        <f t="shared" si="101"/>
        <v>0.5</v>
      </c>
      <c r="N935" s="7">
        <f t="shared" si="102"/>
        <v>4600.5</v>
      </c>
      <c r="O935" s="7">
        <f t="shared" si="103"/>
        <v>4999.5</v>
      </c>
      <c r="P935" s="15">
        <f t="shared" si="104"/>
        <v>399</v>
      </c>
      <c r="Q935" s="7">
        <f>J935*'Model inputs'!$B$8</f>
        <v>50</v>
      </c>
      <c r="R935" s="1" t="s">
        <v>162</v>
      </c>
      <c r="S935" s="1">
        <v>528</v>
      </c>
      <c r="T935" s="1">
        <v>547</v>
      </c>
    </row>
    <row r="936" spans="1:20" ht="21" customHeight="1">
      <c r="A936" s="8">
        <v>46267</v>
      </c>
      <c r="B936" s="1" t="s">
        <v>34</v>
      </c>
      <c r="C936" s="1" t="s">
        <v>90</v>
      </c>
      <c r="D936" s="7">
        <v>4400</v>
      </c>
      <c r="E936" s="7">
        <v>4600</v>
      </c>
      <c r="F936" s="7">
        <v>4800</v>
      </c>
      <c r="G936" s="7">
        <f>'Option source'!B514</f>
        <v>1.28</v>
      </c>
      <c r="H936" s="7">
        <f>'Option source'!B533</f>
        <v>1.38</v>
      </c>
      <c r="I936" s="7">
        <f>'Option source'!B552</f>
        <v>1.74</v>
      </c>
      <c r="J936" s="7">
        <f t="shared" si="98"/>
        <v>0.26000000000000023</v>
      </c>
      <c r="K936" s="7">
        <f t="shared" si="99"/>
        <v>200</v>
      </c>
      <c r="L936" s="7">
        <f t="shared" si="100"/>
        <v>199.74</v>
      </c>
      <c r="M936" s="7">
        <f t="shared" si="101"/>
        <v>0.26000000000000023</v>
      </c>
      <c r="N936" s="7">
        <f t="shared" si="102"/>
        <v>4400.26</v>
      </c>
      <c r="O936" s="7">
        <f t="shared" si="103"/>
        <v>4799.74</v>
      </c>
      <c r="P936" s="15">
        <f t="shared" si="104"/>
        <v>768.2307692307686</v>
      </c>
      <c r="Q936" s="7">
        <f>J936*'Model inputs'!$B$8</f>
        <v>26.000000000000021</v>
      </c>
      <c r="R936" s="1" t="s">
        <v>162</v>
      </c>
      <c r="S936" s="1">
        <v>509</v>
      </c>
      <c r="T936" s="1">
        <v>528</v>
      </c>
    </row>
    <row r="937" spans="1:20" ht="21" customHeight="1">
      <c r="A937" s="8">
        <v>46267</v>
      </c>
      <c r="B937" s="1" t="s">
        <v>34</v>
      </c>
      <c r="C937" s="1" t="s">
        <v>90</v>
      </c>
      <c r="D937" s="7">
        <v>7400</v>
      </c>
      <c r="E937" s="7">
        <v>7600</v>
      </c>
      <c r="F937" s="7">
        <v>7800</v>
      </c>
      <c r="G937" s="7">
        <f>'Option source'!B799</f>
        <v>480</v>
      </c>
      <c r="H937" s="7">
        <f>'Option source'!B818</f>
        <v>600</v>
      </c>
      <c r="I937" s="7">
        <f>'Option source'!B837</f>
        <v>726</v>
      </c>
      <c r="J937" s="7">
        <f t="shared" si="98"/>
        <v>6</v>
      </c>
      <c r="K937" s="7">
        <f t="shared" si="99"/>
        <v>200</v>
      </c>
      <c r="L937" s="7">
        <f t="shared" si="100"/>
        <v>194</v>
      </c>
      <c r="M937" s="7">
        <f t="shared" si="101"/>
        <v>6</v>
      </c>
      <c r="N937" s="7">
        <f t="shared" si="102"/>
        <v>7406</v>
      </c>
      <c r="O937" s="7">
        <f t="shared" si="103"/>
        <v>7794</v>
      </c>
      <c r="P937" s="15">
        <f t="shared" si="104"/>
        <v>32.333333333333336</v>
      </c>
      <c r="Q937" s="7">
        <f>J937*'Model inputs'!$B$8</f>
        <v>600</v>
      </c>
      <c r="R937" s="1" t="s">
        <v>164</v>
      </c>
      <c r="S937" s="1">
        <v>794</v>
      </c>
      <c r="T937" s="1">
        <v>813</v>
      </c>
    </row>
    <row r="938" spans="1:20" ht="21" customHeight="1">
      <c r="A938" s="8">
        <v>46267</v>
      </c>
      <c r="B938" s="1" t="s">
        <v>34</v>
      </c>
      <c r="C938" s="1" t="s">
        <v>90</v>
      </c>
      <c r="D938" s="7">
        <v>7600</v>
      </c>
      <c r="E938" s="7">
        <v>7800</v>
      </c>
      <c r="F938" s="7">
        <v>8000</v>
      </c>
      <c r="G938" s="7">
        <f>'Option source'!B818</f>
        <v>600</v>
      </c>
      <c r="H938" s="7">
        <f>'Option source'!B837</f>
        <v>726</v>
      </c>
      <c r="I938" s="7">
        <f>'Option source'!B856</f>
        <v>910</v>
      </c>
      <c r="J938" s="7">
        <f t="shared" si="98"/>
        <v>58</v>
      </c>
      <c r="K938" s="7">
        <f t="shared" si="99"/>
        <v>200</v>
      </c>
      <c r="L938" s="7">
        <f t="shared" si="100"/>
        <v>142</v>
      </c>
      <c r="M938" s="7">
        <f t="shared" si="101"/>
        <v>58</v>
      </c>
      <c r="N938" s="7">
        <f t="shared" si="102"/>
        <v>7658</v>
      </c>
      <c r="O938" s="7">
        <f t="shared" si="103"/>
        <v>7942</v>
      </c>
      <c r="P938" s="15">
        <f t="shared" si="104"/>
        <v>2.4482758620689653</v>
      </c>
      <c r="Q938" s="7">
        <f>J938*'Model inputs'!$B$8</f>
        <v>5800</v>
      </c>
      <c r="R938" s="1" t="s">
        <v>164</v>
      </c>
      <c r="S938" s="1">
        <v>813</v>
      </c>
      <c r="T938" s="1">
        <v>832</v>
      </c>
    </row>
    <row r="939" spans="1:20" ht="21" customHeight="1">
      <c r="A939" s="8">
        <v>46267</v>
      </c>
      <c r="B939" s="1" t="s">
        <v>34</v>
      </c>
      <c r="C939" s="1" t="s">
        <v>87</v>
      </c>
      <c r="D939" s="7">
        <v>6200</v>
      </c>
      <c r="E939" s="7">
        <v>6400</v>
      </c>
      <c r="F939" s="7">
        <v>6600</v>
      </c>
      <c r="G939" s="7">
        <f>'Option source'!B191</f>
        <v>1088.47</v>
      </c>
      <c r="H939" s="7">
        <f>'Option source'!B210</f>
        <v>1025</v>
      </c>
      <c r="I939" s="7">
        <f>'Option source'!B229</f>
        <v>884.58</v>
      </c>
      <c r="J939" s="7">
        <f t="shared" si="98"/>
        <v>-76.949999999999932</v>
      </c>
      <c r="K939" s="7">
        <f t="shared" si="99"/>
        <v>200</v>
      </c>
      <c r="L939" s="7">
        <f t="shared" si="100"/>
        <v>276.94999999999993</v>
      </c>
      <c r="M939" s="7">
        <f t="shared" si="101"/>
        <v>0</v>
      </c>
      <c r="N939" s="7" t="str">
        <f t="shared" si="102"/>
        <v>n.a.</v>
      </c>
      <c r="O939" s="7" t="str">
        <f t="shared" si="103"/>
        <v>n.a.</v>
      </c>
      <c r="P939" s="15" t="str">
        <f t="shared" si="104"/>
        <v>n.a.</v>
      </c>
      <c r="Q939" s="7">
        <f>J939*'Model inputs'!$B$8</f>
        <v>-7694.9999999999927</v>
      </c>
      <c r="R939" s="1" t="s">
        <v>163</v>
      </c>
      <c r="S939" s="1">
        <v>186</v>
      </c>
      <c r="T939" s="1">
        <v>205</v>
      </c>
    </row>
    <row r="940" spans="1:20" ht="21" customHeight="1">
      <c r="A940" s="8">
        <v>46267</v>
      </c>
      <c r="B940" s="1" t="s">
        <v>34</v>
      </c>
      <c r="C940" s="1" t="s">
        <v>87</v>
      </c>
      <c r="D940" s="7">
        <v>6000</v>
      </c>
      <c r="E940" s="7">
        <v>6200</v>
      </c>
      <c r="F940" s="7">
        <v>6400</v>
      </c>
      <c r="G940" s="7">
        <f>'Option source'!B172</f>
        <v>1350</v>
      </c>
      <c r="H940" s="7">
        <f>'Option source'!B191</f>
        <v>1088.47</v>
      </c>
      <c r="I940" s="7">
        <f>'Option source'!B210</f>
        <v>1025</v>
      </c>
      <c r="J940" s="7">
        <f t="shared" si="98"/>
        <v>198.05999999999995</v>
      </c>
      <c r="K940" s="7">
        <f t="shared" si="99"/>
        <v>200</v>
      </c>
      <c r="L940" s="7">
        <f t="shared" si="100"/>
        <v>1.9400000000000546</v>
      </c>
      <c r="M940" s="7">
        <f t="shared" si="101"/>
        <v>198.05999999999995</v>
      </c>
      <c r="N940" s="7">
        <f t="shared" si="102"/>
        <v>6198.0599999999995</v>
      </c>
      <c r="O940" s="7">
        <f t="shared" si="103"/>
        <v>6201.9400000000005</v>
      </c>
      <c r="P940" s="15">
        <f t="shared" si="104"/>
        <v>9.7950116126429114E-3</v>
      </c>
      <c r="Q940" s="7">
        <f>J940*'Model inputs'!$B$8</f>
        <v>19805.999999999993</v>
      </c>
      <c r="R940" s="1" t="s">
        <v>164</v>
      </c>
      <c r="S940" s="1">
        <v>167</v>
      </c>
      <c r="T940" s="1">
        <v>186</v>
      </c>
    </row>
    <row r="941" spans="1:20" ht="21" customHeight="1">
      <c r="A941" s="8">
        <v>46267</v>
      </c>
      <c r="B941" s="1" t="s">
        <v>34</v>
      </c>
      <c r="C941" s="1" t="s">
        <v>90</v>
      </c>
      <c r="D941" s="7">
        <v>8000</v>
      </c>
      <c r="E941" s="7">
        <v>8300</v>
      </c>
      <c r="F941" s="7">
        <v>8600</v>
      </c>
      <c r="G941" s="7">
        <f>'Option source'!B856</f>
        <v>910</v>
      </c>
      <c r="H941" s="7">
        <f>'Option source'!B875</f>
        <v>1250</v>
      </c>
      <c r="I941" s="7">
        <f>'Option source'!B894</f>
        <v>1555.11</v>
      </c>
      <c r="J941" s="7">
        <f t="shared" si="98"/>
        <v>-34.8900000000001</v>
      </c>
      <c r="K941" s="7">
        <f t="shared" si="99"/>
        <v>300</v>
      </c>
      <c r="L941" s="7">
        <f t="shared" si="100"/>
        <v>334.8900000000001</v>
      </c>
      <c r="M941" s="7">
        <f t="shared" si="101"/>
        <v>0</v>
      </c>
      <c r="N941" s="7" t="str">
        <f t="shared" si="102"/>
        <v>n.a.</v>
      </c>
      <c r="O941" s="7" t="str">
        <f t="shared" si="103"/>
        <v>n.a.</v>
      </c>
      <c r="P941" s="15" t="str">
        <f t="shared" si="104"/>
        <v>n.a.</v>
      </c>
      <c r="Q941" s="7">
        <f>J941*'Model inputs'!$B$8</f>
        <v>-3489.00000000001</v>
      </c>
      <c r="R941" s="1" t="s">
        <v>163</v>
      </c>
      <c r="S941" s="1">
        <v>851</v>
      </c>
      <c r="T941" s="1">
        <v>870</v>
      </c>
    </row>
    <row r="942" spans="1:20" ht="21" customHeight="1">
      <c r="A942" s="8">
        <v>46267</v>
      </c>
      <c r="B942" s="1" t="s">
        <v>34</v>
      </c>
      <c r="C942" s="1" t="s">
        <v>90</v>
      </c>
      <c r="D942" s="7">
        <v>8300</v>
      </c>
      <c r="E942" s="7">
        <v>8600</v>
      </c>
      <c r="F942" s="7">
        <v>8900</v>
      </c>
      <c r="G942" s="7">
        <f>'Option source'!B875</f>
        <v>1250</v>
      </c>
      <c r="H942" s="7">
        <f>'Option source'!B894</f>
        <v>1555.11</v>
      </c>
      <c r="I942" s="7">
        <f>'Option source'!B909</f>
        <v>2022.5</v>
      </c>
      <c r="J942" s="7">
        <f t="shared" si="98"/>
        <v>162.2800000000002</v>
      </c>
      <c r="K942" s="7">
        <f t="shared" si="99"/>
        <v>300</v>
      </c>
      <c r="L942" s="7">
        <f t="shared" si="100"/>
        <v>137.7199999999998</v>
      </c>
      <c r="M942" s="7">
        <f t="shared" si="101"/>
        <v>162.2800000000002</v>
      </c>
      <c r="N942" s="7">
        <f t="shared" si="102"/>
        <v>8462.2800000000007</v>
      </c>
      <c r="O942" s="7">
        <f t="shared" si="103"/>
        <v>8737.7199999999993</v>
      </c>
      <c r="P942" s="15">
        <f t="shared" si="104"/>
        <v>0.84865664283953435</v>
      </c>
      <c r="Q942" s="7">
        <f>J942*'Model inputs'!$B$8</f>
        <v>16228.00000000002</v>
      </c>
      <c r="R942" s="1" t="s">
        <v>164</v>
      </c>
      <c r="S942" s="1">
        <v>870</v>
      </c>
      <c r="T942" s="1">
        <v>889</v>
      </c>
    </row>
    <row r="943" spans="1:20" ht="21" customHeight="1">
      <c r="A943" s="8">
        <v>46267</v>
      </c>
      <c r="B943" s="1" t="s">
        <v>34</v>
      </c>
      <c r="C943" s="1" t="s">
        <v>87</v>
      </c>
      <c r="D943" s="7">
        <v>5200</v>
      </c>
      <c r="E943" s="7">
        <v>5400</v>
      </c>
      <c r="F943" s="7">
        <v>5600</v>
      </c>
      <c r="G943" s="7">
        <f>'Option source'!B106</f>
        <v>1991.75</v>
      </c>
      <c r="H943" s="7">
        <f>'Option source'!B125</f>
        <v>1790</v>
      </c>
      <c r="I943" s="7">
        <f>'Option source'!B143</f>
        <v>1600</v>
      </c>
      <c r="J943" s="7">
        <f t="shared" si="98"/>
        <v>11.75</v>
      </c>
      <c r="K943" s="7">
        <f t="shared" si="99"/>
        <v>200</v>
      </c>
      <c r="L943" s="7">
        <f t="shared" si="100"/>
        <v>188.25</v>
      </c>
      <c r="M943" s="7">
        <f t="shared" si="101"/>
        <v>11.75</v>
      </c>
      <c r="N943" s="7">
        <f t="shared" si="102"/>
        <v>5211.75</v>
      </c>
      <c r="O943" s="7">
        <f t="shared" si="103"/>
        <v>5588.25</v>
      </c>
      <c r="P943" s="15">
        <f t="shared" si="104"/>
        <v>16.021276595744681</v>
      </c>
      <c r="Q943" s="7">
        <f>J943*'Model inputs'!$B$8</f>
        <v>1175</v>
      </c>
      <c r="R943" s="1" t="s">
        <v>164</v>
      </c>
      <c r="S943" s="1">
        <v>101</v>
      </c>
      <c r="T943" s="1">
        <v>120</v>
      </c>
    </row>
    <row r="944" spans="1:20" ht="21" customHeight="1">
      <c r="A944" s="8">
        <v>46267</v>
      </c>
      <c r="B944" s="1" t="s">
        <v>34</v>
      </c>
      <c r="C944" s="1" t="s">
        <v>87</v>
      </c>
      <c r="D944" s="7">
        <v>5000</v>
      </c>
      <c r="E944" s="7">
        <v>5200</v>
      </c>
      <c r="F944" s="7">
        <v>5400</v>
      </c>
      <c r="G944" s="7">
        <f>'Option source'!B87</f>
        <v>2170</v>
      </c>
      <c r="H944" s="7">
        <f>'Option source'!B106</f>
        <v>1991.75</v>
      </c>
      <c r="I944" s="7">
        <f>'Option source'!B125</f>
        <v>1790</v>
      </c>
      <c r="J944" s="7">
        <f t="shared" si="98"/>
        <v>-23.5</v>
      </c>
      <c r="K944" s="7">
        <f t="shared" si="99"/>
        <v>200</v>
      </c>
      <c r="L944" s="7">
        <f t="shared" si="100"/>
        <v>223.5</v>
      </c>
      <c r="M944" s="7">
        <f t="shared" si="101"/>
        <v>0</v>
      </c>
      <c r="N944" s="7" t="str">
        <f t="shared" si="102"/>
        <v>n.a.</v>
      </c>
      <c r="O944" s="7" t="str">
        <f t="shared" si="103"/>
        <v>n.a.</v>
      </c>
      <c r="P944" s="15" t="str">
        <f t="shared" si="104"/>
        <v>n.a.</v>
      </c>
      <c r="Q944" s="7">
        <f>J944*'Model inputs'!$B$8</f>
        <v>-2350</v>
      </c>
      <c r="R944" s="1" t="s">
        <v>163</v>
      </c>
      <c r="S944" s="1">
        <v>82</v>
      </c>
      <c r="T944" s="1">
        <v>101</v>
      </c>
    </row>
    <row r="945" spans="1:20" ht="21" customHeight="1">
      <c r="A945" s="8">
        <v>46267</v>
      </c>
      <c r="B945" s="1" t="s">
        <v>34</v>
      </c>
      <c r="C945" s="1" t="s">
        <v>87</v>
      </c>
      <c r="D945" s="7">
        <v>4800</v>
      </c>
      <c r="E945" s="7">
        <v>5000</v>
      </c>
      <c r="F945" s="7">
        <v>5200</v>
      </c>
      <c r="G945" s="7">
        <f>'Option source'!B70</f>
        <v>2375</v>
      </c>
      <c r="H945" s="7">
        <f>'Option source'!B87</f>
        <v>2170</v>
      </c>
      <c r="I945" s="7">
        <f>'Option source'!B106</f>
        <v>1991.75</v>
      </c>
      <c r="J945" s="7">
        <f t="shared" si="98"/>
        <v>26.75</v>
      </c>
      <c r="K945" s="7">
        <f t="shared" si="99"/>
        <v>200</v>
      </c>
      <c r="L945" s="7">
        <f t="shared" si="100"/>
        <v>173.25</v>
      </c>
      <c r="M945" s="7">
        <f t="shared" si="101"/>
        <v>26.75</v>
      </c>
      <c r="N945" s="7">
        <f t="shared" si="102"/>
        <v>4826.75</v>
      </c>
      <c r="O945" s="7">
        <f t="shared" si="103"/>
        <v>5173.25</v>
      </c>
      <c r="P945" s="15">
        <f t="shared" si="104"/>
        <v>6.4766355140186915</v>
      </c>
      <c r="Q945" s="7">
        <f>J945*'Model inputs'!$B$8</f>
        <v>2675</v>
      </c>
      <c r="R945" s="1" t="s">
        <v>164</v>
      </c>
      <c r="S945" s="1">
        <v>65</v>
      </c>
      <c r="T945" s="1">
        <v>82</v>
      </c>
    </row>
    <row r="946" spans="1:20" ht="21" customHeight="1">
      <c r="A946" s="8">
        <v>46267</v>
      </c>
      <c r="B946" s="1" t="s">
        <v>34</v>
      </c>
      <c r="C946" s="1" t="s">
        <v>87</v>
      </c>
      <c r="D946" s="7">
        <v>4600</v>
      </c>
      <c r="E946" s="7">
        <v>4800</v>
      </c>
      <c r="F946" s="7">
        <v>5000</v>
      </c>
      <c r="G946" s="7">
        <f>'Option source'!B53</f>
        <v>2384.7199999999998</v>
      </c>
      <c r="H946" s="7">
        <f>'Option source'!B70</f>
        <v>2375</v>
      </c>
      <c r="I946" s="7">
        <f>'Option source'!B87</f>
        <v>2170</v>
      </c>
      <c r="J946" s="7">
        <f t="shared" si="98"/>
        <v>-195.2800000000002</v>
      </c>
      <c r="K946" s="7">
        <f t="shared" si="99"/>
        <v>200</v>
      </c>
      <c r="L946" s="7">
        <f t="shared" si="100"/>
        <v>395.2800000000002</v>
      </c>
      <c r="M946" s="7">
        <f t="shared" si="101"/>
        <v>0</v>
      </c>
      <c r="N946" s="7" t="str">
        <f t="shared" si="102"/>
        <v>n.a.</v>
      </c>
      <c r="O946" s="7" t="str">
        <f t="shared" si="103"/>
        <v>n.a.</v>
      </c>
      <c r="P946" s="15" t="str">
        <f t="shared" si="104"/>
        <v>n.a.</v>
      </c>
      <c r="Q946" s="7">
        <f>J946*'Model inputs'!$B$8</f>
        <v>-19528.000000000022</v>
      </c>
      <c r="R946" s="1" t="s">
        <v>163</v>
      </c>
      <c r="S946" s="1">
        <v>48</v>
      </c>
      <c r="T946" s="1">
        <v>65</v>
      </c>
    </row>
    <row r="947" spans="1:20" ht="21" customHeight="1">
      <c r="A947" s="8">
        <v>46267</v>
      </c>
      <c r="B947" s="1" t="s">
        <v>34</v>
      </c>
      <c r="C947" s="1" t="s">
        <v>87</v>
      </c>
      <c r="D947" s="7">
        <v>4400</v>
      </c>
      <c r="E947" s="7">
        <v>4600</v>
      </c>
      <c r="F947" s="7">
        <v>4800</v>
      </c>
      <c r="G947" s="7">
        <f>'Option source'!B34</f>
        <v>2849.09</v>
      </c>
      <c r="H947" s="7">
        <f>'Option source'!B53</f>
        <v>2384.7199999999998</v>
      </c>
      <c r="I947" s="7">
        <f>'Option source'!B70</f>
        <v>2375</v>
      </c>
      <c r="J947" s="7">
        <f t="shared" si="98"/>
        <v>454.65000000000055</v>
      </c>
      <c r="K947" s="7">
        <f t="shared" si="99"/>
        <v>200</v>
      </c>
      <c r="L947" s="7">
        <f t="shared" si="100"/>
        <v>-254.65000000000055</v>
      </c>
      <c r="M947" s="7">
        <f t="shared" si="101"/>
        <v>454.65000000000055</v>
      </c>
      <c r="N947" s="7" t="str">
        <f t="shared" si="102"/>
        <v>n.a.</v>
      </c>
      <c r="O947" s="7" t="str">
        <f t="shared" si="103"/>
        <v>n.a.</v>
      </c>
      <c r="P947" s="15" t="str">
        <f t="shared" si="104"/>
        <v>n.a.</v>
      </c>
      <c r="Q947" s="7">
        <f>J947*'Model inputs'!$B$8</f>
        <v>45465.000000000058</v>
      </c>
      <c r="R947" s="1" t="s">
        <v>163</v>
      </c>
      <c r="S947" s="1">
        <v>29</v>
      </c>
      <c r="T947" s="1">
        <v>48</v>
      </c>
    </row>
    <row r="948" spans="1:20" ht="21" customHeight="1">
      <c r="A948" s="8">
        <v>46267</v>
      </c>
      <c r="B948" s="1" t="s">
        <v>34</v>
      </c>
      <c r="C948" s="1" t="s">
        <v>87</v>
      </c>
      <c r="D948" s="7">
        <v>4200</v>
      </c>
      <c r="E948" s="7">
        <v>4400</v>
      </c>
      <c r="F948" s="7">
        <v>4600</v>
      </c>
      <c r="G948" s="7">
        <f>'Option source'!B15</f>
        <v>3017.35</v>
      </c>
      <c r="H948" s="7">
        <f>'Option source'!B34</f>
        <v>2849.09</v>
      </c>
      <c r="I948" s="7">
        <f>'Option source'!B53</f>
        <v>2384.7199999999998</v>
      </c>
      <c r="J948" s="7">
        <f t="shared" si="98"/>
        <v>-296.11000000000058</v>
      </c>
      <c r="K948" s="7">
        <f t="shared" si="99"/>
        <v>200</v>
      </c>
      <c r="L948" s="7">
        <f t="shared" si="100"/>
        <v>496.11000000000058</v>
      </c>
      <c r="M948" s="7">
        <f t="shared" si="101"/>
        <v>0</v>
      </c>
      <c r="N948" s="7" t="str">
        <f t="shared" si="102"/>
        <v>n.a.</v>
      </c>
      <c r="O948" s="7" t="str">
        <f t="shared" si="103"/>
        <v>n.a.</v>
      </c>
      <c r="P948" s="15" t="str">
        <f t="shared" si="104"/>
        <v>n.a.</v>
      </c>
      <c r="Q948" s="7">
        <f>J948*'Model inputs'!$B$8</f>
        <v>-29611.000000000058</v>
      </c>
      <c r="R948" s="1" t="s">
        <v>163</v>
      </c>
      <c r="S948" s="1">
        <v>10</v>
      </c>
      <c r="T948" s="1">
        <v>29</v>
      </c>
    </row>
    <row r="949" spans="1:20" ht="21" customHeight="1">
      <c r="A949" s="8">
        <v>46267</v>
      </c>
      <c r="B949" s="1" t="s">
        <v>34</v>
      </c>
      <c r="C949" s="1" t="s">
        <v>90</v>
      </c>
      <c r="D949" s="7">
        <v>4200</v>
      </c>
      <c r="E949" s="7">
        <v>4400</v>
      </c>
      <c r="F949" s="7">
        <v>4600</v>
      </c>
      <c r="G949" s="7">
        <f>'Option source'!B495</f>
        <v>0.9</v>
      </c>
      <c r="H949" s="7">
        <f>'Option source'!B514</f>
        <v>1.28</v>
      </c>
      <c r="I949" s="7">
        <f>'Option source'!B533</f>
        <v>1.38</v>
      </c>
      <c r="J949" s="7">
        <f t="shared" si="98"/>
        <v>-0.28000000000000025</v>
      </c>
      <c r="K949" s="7">
        <f t="shared" si="99"/>
        <v>200</v>
      </c>
      <c r="L949" s="7">
        <f t="shared" si="100"/>
        <v>200.28</v>
      </c>
      <c r="M949" s="7">
        <f t="shared" si="101"/>
        <v>0</v>
      </c>
      <c r="N949" s="7" t="str">
        <f t="shared" si="102"/>
        <v>n.a.</v>
      </c>
      <c r="O949" s="7" t="str">
        <f t="shared" si="103"/>
        <v>n.a.</v>
      </c>
      <c r="P949" s="15" t="str">
        <f t="shared" si="104"/>
        <v>n.a.</v>
      </c>
      <c r="Q949" s="7">
        <f>J949*'Model inputs'!$B$8</f>
        <v>-28.000000000000025</v>
      </c>
      <c r="R949" s="1" t="s">
        <v>163</v>
      </c>
      <c r="S949" s="1">
        <v>490</v>
      </c>
      <c r="T949" s="1">
        <v>509</v>
      </c>
    </row>
    <row r="950" spans="1:20" ht="21" customHeight="1">
      <c r="A950" s="8">
        <v>46267</v>
      </c>
      <c r="B950" s="1" t="s">
        <v>36</v>
      </c>
      <c r="C950" s="1" t="s">
        <v>87</v>
      </c>
      <c r="D950" s="7">
        <v>7000</v>
      </c>
      <c r="E950" s="7">
        <v>7200</v>
      </c>
      <c r="F950" s="7"/>
      <c r="G950" s="7">
        <f>'Option source'!B267</f>
        <v>617.88</v>
      </c>
      <c r="H950" s="7">
        <f>'Option source'!B286</f>
        <v>507.78</v>
      </c>
      <c r="I950" s="7"/>
      <c r="J950" s="7">
        <f t="shared" si="98"/>
        <v>-397.67999999999995</v>
      </c>
      <c r="K950" s="7">
        <f t="shared" si="99"/>
        <v>200</v>
      </c>
      <c r="L950" s="7">
        <f t="shared" si="100"/>
        <v>597.67999999999995</v>
      </c>
      <c r="M950" s="7" t="str">
        <f t="shared" si="101"/>
        <v>Unlimited</v>
      </c>
      <c r="N950" s="7" t="str">
        <f t="shared" si="102"/>
        <v>n.a.</v>
      </c>
      <c r="O950" s="7">
        <f t="shared" si="103"/>
        <v>7797.68</v>
      </c>
      <c r="P950" s="15" t="str">
        <f t="shared" si="104"/>
        <v>n.a.</v>
      </c>
      <c r="Q950" s="7">
        <f>J950*'Model inputs'!$B$8</f>
        <v>-39767.999999999993</v>
      </c>
      <c r="R950" s="1" t="s">
        <v>162</v>
      </c>
      <c r="S950" s="1">
        <v>262</v>
      </c>
      <c r="T950" s="1">
        <v>281</v>
      </c>
    </row>
    <row r="951" spans="1:20" ht="21" customHeight="1">
      <c r="A951" s="8">
        <v>46267</v>
      </c>
      <c r="B951" s="1" t="s">
        <v>36</v>
      </c>
      <c r="C951" s="1" t="s">
        <v>90</v>
      </c>
      <c r="D951" s="7">
        <v>7400</v>
      </c>
      <c r="E951" s="7">
        <v>7200</v>
      </c>
      <c r="F951" s="7"/>
      <c r="G951" s="7">
        <f>'Option source'!B799</f>
        <v>480</v>
      </c>
      <c r="H951" s="7">
        <f>'Option source'!B780</f>
        <v>369.49</v>
      </c>
      <c r="I951" s="7"/>
      <c r="J951" s="7">
        <f t="shared" si="98"/>
        <v>-258.98</v>
      </c>
      <c r="K951" s="7">
        <f t="shared" si="99"/>
        <v>200</v>
      </c>
      <c r="L951" s="7">
        <f t="shared" si="100"/>
        <v>458.98</v>
      </c>
      <c r="M951" s="7">
        <f t="shared" si="101"/>
        <v>6741.02</v>
      </c>
      <c r="N951" s="7">
        <f t="shared" si="102"/>
        <v>6741.02</v>
      </c>
      <c r="O951" s="7" t="str">
        <f t="shared" si="103"/>
        <v>n.a.</v>
      </c>
      <c r="P951" s="15" t="str">
        <f t="shared" si="104"/>
        <v>n.a.</v>
      </c>
      <c r="Q951" s="7">
        <f>J951*'Model inputs'!$B$8</f>
        <v>-25898</v>
      </c>
      <c r="R951" s="1" t="s">
        <v>162</v>
      </c>
      <c r="S951" s="1">
        <v>794</v>
      </c>
      <c r="T951" s="1">
        <v>775</v>
      </c>
    </row>
    <row r="952" spans="1:20" ht="21" customHeight="1">
      <c r="A952" s="8">
        <v>46267</v>
      </c>
      <c r="B952" s="1" t="s">
        <v>36</v>
      </c>
      <c r="C952" s="1" t="s">
        <v>87</v>
      </c>
      <c r="D952" s="7">
        <v>6800</v>
      </c>
      <c r="E952" s="7">
        <v>7000</v>
      </c>
      <c r="F952" s="7"/>
      <c r="G952" s="7">
        <f>'Option source'!B248</f>
        <v>745.47</v>
      </c>
      <c r="H952" s="7">
        <f>'Option source'!B267</f>
        <v>617.88</v>
      </c>
      <c r="I952" s="7"/>
      <c r="J952" s="7">
        <f t="shared" si="98"/>
        <v>-490.28999999999996</v>
      </c>
      <c r="K952" s="7">
        <f t="shared" si="99"/>
        <v>200</v>
      </c>
      <c r="L952" s="7">
        <f t="shared" si="100"/>
        <v>690.29</v>
      </c>
      <c r="M952" s="7" t="str">
        <f t="shared" si="101"/>
        <v>Unlimited</v>
      </c>
      <c r="N952" s="7" t="str">
        <f t="shared" si="102"/>
        <v>n.a.</v>
      </c>
      <c r="O952" s="7">
        <f t="shared" si="103"/>
        <v>7690.29</v>
      </c>
      <c r="P952" s="15" t="str">
        <f t="shared" si="104"/>
        <v>n.a.</v>
      </c>
      <c r="Q952" s="7">
        <f>J952*'Model inputs'!$B$8</f>
        <v>-49029</v>
      </c>
      <c r="R952" s="1" t="s">
        <v>162</v>
      </c>
      <c r="S952" s="1">
        <v>243</v>
      </c>
      <c r="T952" s="1">
        <v>262</v>
      </c>
    </row>
    <row r="953" spans="1:20" ht="21" customHeight="1">
      <c r="A953" s="8">
        <v>46267</v>
      </c>
      <c r="B953" s="1" t="s">
        <v>36</v>
      </c>
      <c r="C953" s="1" t="s">
        <v>90</v>
      </c>
      <c r="D953" s="7">
        <v>7200</v>
      </c>
      <c r="E953" s="7">
        <v>7000</v>
      </c>
      <c r="F953" s="7"/>
      <c r="G953" s="7">
        <f>'Option source'!B780</f>
        <v>369.49</v>
      </c>
      <c r="H953" s="7">
        <f>'Option source'!B761</f>
        <v>286.63</v>
      </c>
      <c r="I953" s="7"/>
      <c r="J953" s="7">
        <f t="shared" si="98"/>
        <v>-203.76999999999998</v>
      </c>
      <c r="K953" s="7">
        <f t="shared" si="99"/>
        <v>200</v>
      </c>
      <c r="L953" s="7">
        <f t="shared" si="100"/>
        <v>403.77</v>
      </c>
      <c r="M953" s="7">
        <f t="shared" si="101"/>
        <v>6596.23</v>
      </c>
      <c r="N953" s="7">
        <f t="shared" si="102"/>
        <v>6596.23</v>
      </c>
      <c r="O953" s="7" t="str">
        <f t="shared" si="103"/>
        <v>n.a.</v>
      </c>
      <c r="P953" s="15" t="str">
        <f t="shared" si="104"/>
        <v>n.a.</v>
      </c>
      <c r="Q953" s="7">
        <f>J953*'Model inputs'!$B$8</f>
        <v>-20377</v>
      </c>
      <c r="R953" s="1" t="s">
        <v>162</v>
      </c>
      <c r="S953" s="1">
        <v>775</v>
      </c>
      <c r="T953" s="1">
        <v>756</v>
      </c>
    </row>
    <row r="954" spans="1:20" ht="21" customHeight="1">
      <c r="A954" s="8">
        <v>46267</v>
      </c>
      <c r="B954" s="1" t="s">
        <v>36</v>
      </c>
      <c r="C954" s="1" t="s">
        <v>87</v>
      </c>
      <c r="D954" s="7">
        <v>7200</v>
      </c>
      <c r="E954" s="7">
        <v>7400</v>
      </c>
      <c r="F954" s="7"/>
      <c r="G954" s="7">
        <f>'Option source'!B286</f>
        <v>507.78</v>
      </c>
      <c r="H954" s="7">
        <f>'Option source'!B305</f>
        <v>410.55</v>
      </c>
      <c r="I954" s="7"/>
      <c r="J954" s="7">
        <f t="shared" si="98"/>
        <v>-313.32000000000005</v>
      </c>
      <c r="K954" s="7">
        <f t="shared" si="99"/>
        <v>200</v>
      </c>
      <c r="L954" s="7">
        <f t="shared" si="100"/>
        <v>513.32000000000005</v>
      </c>
      <c r="M954" s="7" t="str">
        <f t="shared" si="101"/>
        <v>Unlimited</v>
      </c>
      <c r="N954" s="7" t="str">
        <f t="shared" si="102"/>
        <v>n.a.</v>
      </c>
      <c r="O954" s="7">
        <f t="shared" si="103"/>
        <v>7913.32</v>
      </c>
      <c r="P954" s="15" t="str">
        <f t="shared" si="104"/>
        <v>n.a.</v>
      </c>
      <c r="Q954" s="7">
        <f>J954*'Model inputs'!$B$8</f>
        <v>-31332.000000000004</v>
      </c>
      <c r="R954" s="1" t="s">
        <v>162</v>
      </c>
      <c r="S954" s="1">
        <v>281</v>
      </c>
      <c r="T954" s="1">
        <v>300</v>
      </c>
    </row>
    <row r="955" spans="1:20" ht="21" customHeight="1">
      <c r="A955" s="8">
        <v>46267</v>
      </c>
      <c r="B955" s="1" t="s">
        <v>36</v>
      </c>
      <c r="C955" s="1" t="s">
        <v>90</v>
      </c>
      <c r="D955" s="7">
        <v>7600</v>
      </c>
      <c r="E955" s="7">
        <v>7400</v>
      </c>
      <c r="F955" s="7"/>
      <c r="G955" s="7">
        <f>'Option source'!B818</f>
        <v>600</v>
      </c>
      <c r="H955" s="7">
        <f>'Option source'!B799</f>
        <v>480</v>
      </c>
      <c r="I955" s="7"/>
      <c r="J955" s="7">
        <f t="shared" si="98"/>
        <v>-360</v>
      </c>
      <c r="K955" s="7">
        <f t="shared" si="99"/>
        <v>200</v>
      </c>
      <c r="L955" s="7">
        <f t="shared" si="100"/>
        <v>560</v>
      </c>
      <c r="M955" s="7">
        <f t="shared" si="101"/>
        <v>6840</v>
      </c>
      <c r="N955" s="7">
        <f t="shared" si="102"/>
        <v>6840</v>
      </c>
      <c r="O955" s="7" t="str">
        <f t="shared" si="103"/>
        <v>n.a.</v>
      </c>
      <c r="P955" s="15" t="str">
        <f t="shared" si="104"/>
        <v>n.a.</v>
      </c>
      <c r="Q955" s="7">
        <f>J955*'Model inputs'!$B$8</f>
        <v>-36000</v>
      </c>
      <c r="R955" s="1" t="s">
        <v>162</v>
      </c>
      <c r="S955" s="1">
        <v>813</v>
      </c>
      <c r="T955" s="1">
        <v>794</v>
      </c>
    </row>
    <row r="956" spans="1:20" ht="21" customHeight="1">
      <c r="A956" s="8">
        <v>46267</v>
      </c>
      <c r="B956" s="1" t="s">
        <v>36</v>
      </c>
      <c r="C956" s="1" t="s">
        <v>87</v>
      </c>
      <c r="D956" s="7">
        <v>6600</v>
      </c>
      <c r="E956" s="7">
        <v>6800</v>
      </c>
      <c r="F956" s="7"/>
      <c r="G956" s="7">
        <f>'Option source'!B229</f>
        <v>884.58</v>
      </c>
      <c r="H956" s="7">
        <f>'Option source'!B248</f>
        <v>745.47</v>
      </c>
      <c r="I956" s="7"/>
      <c r="J956" s="7">
        <f t="shared" si="98"/>
        <v>-606.36</v>
      </c>
      <c r="K956" s="7">
        <f t="shared" si="99"/>
        <v>200</v>
      </c>
      <c r="L956" s="7">
        <f t="shared" si="100"/>
        <v>806.36</v>
      </c>
      <c r="M956" s="7" t="str">
        <f t="shared" si="101"/>
        <v>Unlimited</v>
      </c>
      <c r="N956" s="7" t="str">
        <f t="shared" si="102"/>
        <v>n.a.</v>
      </c>
      <c r="O956" s="7">
        <f t="shared" si="103"/>
        <v>7606.36</v>
      </c>
      <c r="P956" s="15" t="str">
        <f t="shared" si="104"/>
        <v>n.a.</v>
      </c>
      <c r="Q956" s="7">
        <f>J956*'Model inputs'!$B$8</f>
        <v>-60636</v>
      </c>
      <c r="R956" s="1" t="s">
        <v>162</v>
      </c>
      <c r="S956" s="1">
        <v>224</v>
      </c>
      <c r="T956" s="1">
        <v>243</v>
      </c>
    </row>
    <row r="957" spans="1:20" ht="21" customHeight="1">
      <c r="A957" s="8">
        <v>46267</v>
      </c>
      <c r="B957" s="1" t="s">
        <v>36</v>
      </c>
      <c r="C957" s="1" t="s">
        <v>90</v>
      </c>
      <c r="D957" s="7">
        <v>7000</v>
      </c>
      <c r="E957" s="7">
        <v>6800</v>
      </c>
      <c r="F957" s="7"/>
      <c r="G957" s="7">
        <f>'Option source'!B761</f>
        <v>286.63</v>
      </c>
      <c r="H957" s="7">
        <f>'Option source'!B742</f>
        <v>210.34</v>
      </c>
      <c r="I957" s="7"/>
      <c r="J957" s="7">
        <f t="shared" si="98"/>
        <v>-134.05000000000001</v>
      </c>
      <c r="K957" s="7">
        <f t="shared" si="99"/>
        <v>200</v>
      </c>
      <c r="L957" s="7">
        <f t="shared" si="100"/>
        <v>334.05</v>
      </c>
      <c r="M957" s="7">
        <f t="shared" si="101"/>
        <v>6465.95</v>
      </c>
      <c r="N957" s="7">
        <f t="shared" si="102"/>
        <v>6465.95</v>
      </c>
      <c r="O957" s="7" t="str">
        <f t="shared" si="103"/>
        <v>n.a.</v>
      </c>
      <c r="P957" s="15" t="str">
        <f t="shared" si="104"/>
        <v>n.a.</v>
      </c>
      <c r="Q957" s="7">
        <f>J957*'Model inputs'!$B$8</f>
        <v>-13405.000000000002</v>
      </c>
      <c r="R957" s="1" t="s">
        <v>162</v>
      </c>
      <c r="S957" s="1">
        <v>756</v>
      </c>
      <c r="T957" s="1">
        <v>737</v>
      </c>
    </row>
    <row r="958" spans="1:20" ht="21" customHeight="1">
      <c r="A958" s="8">
        <v>46267</v>
      </c>
      <c r="B958" s="1" t="s">
        <v>36</v>
      </c>
      <c r="C958" s="1" t="s">
        <v>87</v>
      </c>
      <c r="D958" s="7">
        <v>7400</v>
      </c>
      <c r="E958" s="7">
        <v>7600</v>
      </c>
      <c r="F958" s="7"/>
      <c r="G958" s="7">
        <f>'Option source'!B305</f>
        <v>410.55</v>
      </c>
      <c r="H958" s="7">
        <f>'Option source'!B324</f>
        <v>324.11</v>
      </c>
      <c r="I958" s="7"/>
      <c r="J958" s="7">
        <f t="shared" si="98"/>
        <v>-237.67000000000002</v>
      </c>
      <c r="K958" s="7">
        <f t="shared" si="99"/>
        <v>200</v>
      </c>
      <c r="L958" s="7">
        <f t="shared" si="100"/>
        <v>437.67</v>
      </c>
      <c r="M958" s="7" t="str">
        <f t="shared" si="101"/>
        <v>Unlimited</v>
      </c>
      <c r="N958" s="7" t="str">
        <f t="shared" si="102"/>
        <v>n.a.</v>
      </c>
      <c r="O958" s="7">
        <f t="shared" si="103"/>
        <v>8037.67</v>
      </c>
      <c r="P958" s="15" t="str">
        <f t="shared" si="104"/>
        <v>n.a.</v>
      </c>
      <c r="Q958" s="7">
        <f>J958*'Model inputs'!$B$8</f>
        <v>-23767</v>
      </c>
      <c r="R958" s="1" t="s">
        <v>162</v>
      </c>
      <c r="S958" s="1">
        <v>300</v>
      </c>
      <c r="T958" s="1">
        <v>319</v>
      </c>
    </row>
    <row r="959" spans="1:20" ht="21" customHeight="1">
      <c r="A959" s="8">
        <v>46267</v>
      </c>
      <c r="B959" s="1" t="s">
        <v>36</v>
      </c>
      <c r="C959" s="1" t="s">
        <v>87</v>
      </c>
      <c r="D959" s="7">
        <v>6400</v>
      </c>
      <c r="E959" s="7">
        <v>6600</v>
      </c>
      <c r="F959" s="7"/>
      <c r="G959" s="7">
        <f>'Option source'!B210</f>
        <v>1025</v>
      </c>
      <c r="H959" s="7">
        <f>'Option source'!B229</f>
        <v>884.58</v>
      </c>
      <c r="I959" s="7"/>
      <c r="J959" s="7">
        <f t="shared" si="98"/>
        <v>-744.16000000000008</v>
      </c>
      <c r="K959" s="7">
        <f t="shared" si="99"/>
        <v>200</v>
      </c>
      <c r="L959" s="7">
        <f t="shared" si="100"/>
        <v>944.16000000000008</v>
      </c>
      <c r="M959" s="7" t="str">
        <f t="shared" si="101"/>
        <v>Unlimited</v>
      </c>
      <c r="N959" s="7" t="str">
        <f t="shared" si="102"/>
        <v>n.a.</v>
      </c>
      <c r="O959" s="7">
        <f t="shared" si="103"/>
        <v>7544.16</v>
      </c>
      <c r="P959" s="15" t="str">
        <f t="shared" si="104"/>
        <v>n.a.</v>
      </c>
      <c r="Q959" s="7">
        <f>J959*'Model inputs'!$B$8</f>
        <v>-74416.000000000015</v>
      </c>
      <c r="R959" s="1" t="s">
        <v>162</v>
      </c>
      <c r="S959" s="1">
        <v>205</v>
      </c>
      <c r="T959" s="1">
        <v>224</v>
      </c>
    </row>
    <row r="960" spans="1:20" ht="21" customHeight="1">
      <c r="A960" s="8">
        <v>46267</v>
      </c>
      <c r="B960" s="1" t="s">
        <v>36</v>
      </c>
      <c r="C960" s="1" t="s">
        <v>90</v>
      </c>
      <c r="D960" s="7">
        <v>6800</v>
      </c>
      <c r="E960" s="7">
        <v>6600</v>
      </c>
      <c r="F960" s="7"/>
      <c r="G960" s="7">
        <f>'Option source'!B742</f>
        <v>210.34</v>
      </c>
      <c r="H960" s="7">
        <f>'Option source'!B723</f>
        <v>146.29</v>
      </c>
      <c r="I960" s="7"/>
      <c r="J960" s="7">
        <f t="shared" si="98"/>
        <v>-82.239999999999981</v>
      </c>
      <c r="K960" s="7">
        <f t="shared" si="99"/>
        <v>200</v>
      </c>
      <c r="L960" s="7">
        <f t="shared" si="100"/>
        <v>282.24</v>
      </c>
      <c r="M960" s="7">
        <f t="shared" si="101"/>
        <v>6317.76</v>
      </c>
      <c r="N960" s="7">
        <f t="shared" si="102"/>
        <v>6317.76</v>
      </c>
      <c r="O960" s="7" t="str">
        <f t="shared" si="103"/>
        <v>n.a.</v>
      </c>
      <c r="P960" s="15" t="str">
        <f t="shared" si="104"/>
        <v>n.a.</v>
      </c>
      <c r="Q960" s="7">
        <f>J960*'Model inputs'!$B$8</f>
        <v>-8223.9999999999982</v>
      </c>
      <c r="R960" s="1" t="s">
        <v>162</v>
      </c>
      <c r="S960" s="1">
        <v>737</v>
      </c>
      <c r="T960" s="1">
        <v>718</v>
      </c>
    </row>
    <row r="961" spans="1:20" ht="21" customHeight="1">
      <c r="A961" s="8">
        <v>46267</v>
      </c>
      <c r="B961" s="1" t="s">
        <v>36</v>
      </c>
      <c r="C961" s="1" t="s">
        <v>87</v>
      </c>
      <c r="D961" s="7">
        <v>7600</v>
      </c>
      <c r="E961" s="7">
        <v>7800</v>
      </c>
      <c r="F961" s="7"/>
      <c r="G961" s="7">
        <f>'Option source'!B324</f>
        <v>324.11</v>
      </c>
      <c r="H961" s="7">
        <f>'Option source'!B343</f>
        <v>253.96</v>
      </c>
      <c r="I961" s="7"/>
      <c r="J961" s="7">
        <f t="shared" si="98"/>
        <v>-183.81</v>
      </c>
      <c r="K961" s="7">
        <f t="shared" si="99"/>
        <v>200</v>
      </c>
      <c r="L961" s="7">
        <f t="shared" si="100"/>
        <v>383.81</v>
      </c>
      <c r="M961" s="7" t="str">
        <f t="shared" si="101"/>
        <v>Unlimited</v>
      </c>
      <c r="N961" s="7" t="str">
        <f t="shared" si="102"/>
        <v>n.a.</v>
      </c>
      <c r="O961" s="7">
        <f t="shared" si="103"/>
        <v>8183.81</v>
      </c>
      <c r="P961" s="15" t="str">
        <f t="shared" si="104"/>
        <v>n.a.</v>
      </c>
      <c r="Q961" s="7">
        <f>J961*'Model inputs'!$B$8</f>
        <v>-18381</v>
      </c>
      <c r="R961" s="1" t="s">
        <v>162</v>
      </c>
      <c r="S961" s="1">
        <v>319</v>
      </c>
      <c r="T961" s="1">
        <v>338</v>
      </c>
    </row>
    <row r="962" spans="1:20" ht="21" customHeight="1">
      <c r="A962" s="8">
        <v>46267</v>
      </c>
      <c r="B962" s="1" t="s">
        <v>36</v>
      </c>
      <c r="C962" s="1" t="s">
        <v>90</v>
      </c>
      <c r="D962" s="7">
        <v>6600</v>
      </c>
      <c r="E962" s="7">
        <v>6400</v>
      </c>
      <c r="F962" s="7"/>
      <c r="G962" s="7">
        <f>'Option source'!B723</f>
        <v>146.29</v>
      </c>
      <c r="H962" s="7">
        <f>'Option source'!B704</f>
        <v>103.46</v>
      </c>
      <c r="I962" s="7"/>
      <c r="J962" s="7">
        <f t="shared" si="98"/>
        <v>-60.629999999999995</v>
      </c>
      <c r="K962" s="7">
        <f t="shared" si="99"/>
        <v>200</v>
      </c>
      <c r="L962" s="7">
        <f t="shared" si="100"/>
        <v>260.63</v>
      </c>
      <c r="M962" s="7">
        <f t="shared" si="101"/>
        <v>6139.37</v>
      </c>
      <c r="N962" s="7">
        <f t="shared" si="102"/>
        <v>6139.37</v>
      </c>
      <c r="O962" s="7" t="str">
        <f t="shared" si="103"/>
        <v>n.a.</v>
      </c>
      <c r="P962" s="15" t="str">
        <f t="shared" si="104"/>
        <v>n.a.</v>
      </c>
      <c r="Q962" s="7">
        <f>J962*'Model inputs'!$B$8</f>
        <v>-6063</v>
      </c>
      <c r="R962" s="1" t="s">
        <v>162</v>
      </c>
      <c r="S962" s="1">
        <v>718</v>
      </c>
      <c r="T962" s="1">
        <v>699</v>
      </c>
    </row>
    <row r="963" spans="1:20" ht="21" customHeight="1">
      <c r="A963" s="8">
        <v>46267</v>
      </c>
      <c r="B963" s="1" t="s">
        <v>36</v>
      </c>
      <c r="C963" s="1" t="s">
        <v>87</v>
      </c>
      <c r="D963" s="7">
        <v>7800</v>
      </c>
      <c r="E963" s="7">
        <v>8000</v>
      </c>
      <c r="F963" s="7"/>
      <c r="G963" s="7">
        <f>'Option source'!B343</f>
        <v>253.96</v>
      </c>
      <c r="H963" s="7">
        <f>'Option source'!B362</f>
        <v>195.8</v>
      </c>
      <c r="I963" s="7"/>
      <c r="J963" s="7">
        <f t="shared" si="98"/>
        <v>-137.64000000000001</v>
      </c>
      <c r="K963" s="7">
        <f t="shared" si="99"/>
        <v>200</v>
      </c>
      <c r="L963" s="7">
        <f t="shared" si="100"/>
        <v>337.64</v>
      </c>
      <c r="M963" s="7" t="str">
        <f t="shared" si="101"/>
        <v>Unlimited</v>
      </c>
      <c r="N963" s="7" t="str">
        <f t="shared" si="102"/>
        <v>n.a.</v>
      </c>
      <c r="O963" s="7">
        <f t="shared" si="103"/>
        <v>8337.64</v>
      </c>
      <c r="P963" s="15" t="str">
        <f t="shared" si="104"/>
        <v>n.a.</v>
      </c>
      <c r="Q963" s="7">
        <f>J963*'Model inputs'!$B$8</f>
        <v>-13764.000000000002</v>
      </c>
      <c r="R963" s="1" t="s">
        <v>162</v>
      </c>
      <c r="S963" s="1">
        <v>338</v>
      </c>
      <c r="T963" s="1">
        <v>357</v>
      </c>
    </row>
    <row r="964" spans="1:20" ht="21" customHeight="1">
      <c r="A964" s="8">
        <v>46267</v>
      </c>
      <c r="B964" s="1" t="s">
        <v>36</v>
      </c>
      <c r="C964" s="1" t="s">
        <v>90</v>
      </c>
      <c r="D964" s="7">
        <v>6400</v>
      </c>
      <c r="E964" s="7">
        <v>6200</v>
      </c>
      <c r="F964" s="7"/>
      <c r="G964" s="7">
        <f>'Option source'!B704</f>
        <v>103.46</v>
      </c>
      <c r="H964" s="7">
        <f>'Option source'!B685</f>
        <v>66.11</v>
      </c>
      <c r="I964" s="7"/>
      <c r="J964" s="7">
        <f t="shared" si="98"/>
        <v>-28.760000000000005</v>
      </c>
      <c r="K964" s="7">
        <f t="shared" si="99"/>
        <v>200</v>
      </c>
      <c r="L964" s="7">
        <f t="shared" si="100"/>
        <v>228.76</v>
      </c>
      <c r="M964" s="7">
        <f t="shared" si="101"/>
        <v>5971.24</v>
      </c>
      <c r="N964" s="7">
        <f t="shared" si="102"/>
        <v>5971.24</v>
      </c>
      <c r="O964" s="7" t="str">
        <f t="shared" si="103"/>
        <v>n.a.</v>
      </c>
      <c r="P964" s="15" t="str">
        <f t="shared" si="104"/>
        <v>n.a.</v>
      </c>
      <c r="Q964" s="7">
        <f>J964*'Model inputs'!$B$8</f>
        <v>-2876.0000000000005</v>
      </c>
      <c r="R964" s="1" t="s">
        <v>162</v>
      </c>
      <c r="S964" s="1">
        <v>699</v>
      </c>
      <c r="T964" s="1">
        <v>680</v>
      </c>
    </row>
    <row r="965" spans="1:20" ht="21" customHeight="1">
      <c r="A965" s="8">
        <v>46267</v>
      </c>
      <c r="B965" s="1" t="s">
        <v>36</v>
      </c>
      <c r="C965" s="1" t="s">
        <v>87</v>
      </c>
      <c r="D965" s="7">
        <v>8000</v>
      </c>
      <c r="E965" s="7">
        <v>8300</v>
      </c>
      <c r="F965" s="7"/>
      <c r="G965" s="7">
        <f>'Option source'!B362</f>
        <v>195.8</v>
      </c>
      <c r="H965" s="7">
        <f>'Option source'!B381</f>
        <v>131.47999999999999</v>
      </c>
      <c r="I965" s="7"/>
      <c r="J965" s="7">
        <f t="shared" si="98"/>
        <v>-67.159999999999968</v>
      </c>
      <c r="K965" s="7">
        <f t="shared" si="99"/>
        <v>300</v>
      </c>
      <c r="L965" s="7">
        <f t="shared" si="100"/>
        <v>367.15999999999997</v>
      </c>
      <c r="M965" s="7" t="str">
        <f t="shared" si="101"/>
        <v>Unlimited</v>
      </c>
      <c r="N965" s="7" t="str">
        <f t="shared" si="102"/>
        <v>n.a.</v>
      </c>
      <c r="O965" s="7">
        <f t="shared" si="103"/>
        <v>8667.16</v>
      </c>
      <c r="P965" s="15" t="str">
        <f t="shared" si="104"/>
        <v>n.a.</v>
      </c>
      <c r="Q965" s="7">
        <f>J965*'Model inputs'!$B$8</f>
        <v>-6715.9999999999964</v>
      </c>
      <c r="R965" s="1" t="s">
        <v>162</v>
      </c>
      <c r="S965" s="1">
        <v>357</v>
      </c>
      <c r="T965" s="1">
        <v>376</v>
      </c>
    </row>
    <row r="966" spans="1:20" ht="21" customHeight="1">
      <c r="A966" s="8">
        <v>46267</v>
      </c>
      <c r="B966" s="1" t="s">
        <v>36</v>
      </c>
      <c r="C966" s="1" t="s">
        <v>90</v>
      </c>
      <c r="D966" s="7">
        <v>6200</v>
      </c>
      <c r="E966" s="7">
        <v>6000</v>
      </c>
      <c r="F966" s="7"/>
      <c r="G966" s="7">
        <f>'Option source'!B685</f>
        <v>66.11</v>
      </c>
      <c r="H966" s="7">
        <f>'Option source'!B666</f>
        <v>41.36</v>
      </c>
      <c r="I966" s="7"/>
      <c r="J966" s="7">
        <f t="shared" si="98"/>
        <v>-16.61</v>
      </c>
      <c r="K966" s="7">
        <f t="shared" si="99"/>
        <v>200</v>
      </c>
      <c r="L966" s="7">
        <f t="shared" si="100"/>
        <v>216.61</v>
      </c>
      <c r="M966" s="7">
        <f t="shared" si="101"/>
        <v>5783.39</v>
      </c>
      <c r="N966" s="7">
        <f t="shared" si="102"/>
        <v>5783.39</v>
      </c>
      <c r="O966" s="7" t="str">
        <f t="shared" si="103"/>
        <v>n.a.</v>
      </c>
      <c r="P966" s="15" t="str">
        <f t="shared" si="104"/>
        <v>n.a.</v>
      </c>
      <c r="Q966" s="7">
        <f>J966*'Model inputs'!$B$8</f>
        <v>-1661</v>
      </c>
      <c r="R966" s="1" t="s">
        <v>162</v>
      </c>
      <c r="S966" s="1">
        <v>680</v>
      </c>
      <c r="T966" s="1">
        <v>661</v>
      </c>
    </row>
    <row r="967" spans="1:20" ht="21" customHeight="1">
      <c r="A967" s="8">
        <v>46267</v>
      </c>
      <c r="B967" s="1" t="s">
        <v>36</v>
      </c>
      <c r="C967" s="1" t="s">
        <v>90</v>
      </c>
      <c r="D967" s="7">
        <v>6000</v>
      </c>
      <c r="E967" s="7">
        <v>5800</v>
      </c>
      <c r="F967" s="7"/>
      <c r="G967" s="7">
        <f>'Option source'!B666</f>
        <v>41.36</v>
      </c>
      <c r="H967" s="7">
        <f>'Option source'!B647</f>
        <v>24.27</v>
      </c>
      <c r="I967" s="7"/>
      <c r="J967" s="7">
        <f t="shared" ref="J967:J1030" si="105">G967-2*H967+IF(B967="Butterfly",I967,0)</f>
        <v>-7.18</v>
      </c>
      <c r="K967" s="7">
        <f t="shared" ref="K967:K1030" si="106">ABS(E967-D967)</f>
        <v>200</v>
      </c>
      <c r="L967" s="7">
        <f t="shared" ref="L967:L1030" si="107">K967-J967</f>
        <v>207.18</v>
      </c>
      <c r="M967" s="7">
        <f t="shared" ref="M967:M1030" si="108">IF(B967="Butterfly",MAX(J967,0),IF(C967="call","Unlimited",MAX(2*E967-D967+J967,J967,0)))</f>
        <v>5592.82</v>
      </c>
      <c r="N967" s="7">
        <f t="shared" ref="N967:N1030" si="109">IF(B967="Butterfly",IF(AND(J967&gt;0,J967&lt;K967),D967+J967,"n.a."),IF(C967="call",IF(AND(J967&gt;0,J967&lt;K967),D967+J967,"n.a."),IF(AND(K967&gt;J967,2*E967-D967+J967&gt;=0),2*E967-D967+J967,"n.a.")))</f>
        <v>5592.82</v>
      </c>
      <c r="O967" s="7" t="str">
        <f t="shared" ref="O967:O1030" si="110">IF(B967="Butterfly",IF(AND(J967&gt;0,J967&lt;K967),F967-J967,"n.a."),IF(C967="call",IF(K967&gt;J967,2*E967-D967-J967,"n.a."),IF(AND(J967&gt;0,J967&lt;K967),D967-J967,"n.a.")))</f>
        <v>n.a.</v>
      </c>
      <c r="P967" s="15" t="str">
        <f t="shared" ref="P967:P1030" si="111">IF(AND(B967="Butterfly",J967&gt;0,J967&lt;K967),L967/J967,"n.a.")</f>
        <v>n.a.</v>
      </c>
      <c r="Q967" s="7">
        <f>J967*'Model inputs'!$B$8</f>
        <v>-718</v>
      </c>
      <c r="R967" s="1" t="s">
        <v>162</v>
      </c>
      <c r="S967" s="1">
        <v>661</v>
      </c>
      <c r="T967" s="1">
        <v>642</v>
      </c>
    </row>
    <row r="968" spans="1:20" ht="21" customHeight="1">
      <c r="A968" s="8">
        <v>46267</v>
      </c>
      <c r="B968" s="1" t="s">
        <v>36</v>
      </c>
      <c r="C968" s="1" t="s">
        <v>87</v>
      </c>
      <c r="D968" s="7">
        <v>8300</v>
      </c>
      <c r="E968" s="7">
        <v>8600</v>
      </c>
      <c r="F968" s="7"/>
      <c r="G968" s="7">
        <f>'Option source'!B381</f>
        <v>131.47999999999999</v>
      </c>
      <c r="H968" s="7">
        <f>'Option source'!B400</f>
        <v>84.77</v>
      </c>
      <c r="I968" s="7"/>
      <c r="J968" s="7">
        <f t="shared" si="105"/>
        <v>-38.06</v>
      </c>
      <c r="K968" s="7">
        <f t="shared" si="106"/>
        <v>300</v>
      </c>
      <c r="L968" s="7">
        <f t="shared" si="107"/>
        <v>338.06</v>
      </c>
      <c r="M968" s="7" t="str">
        <f t="shared" si="108"/>
        <v>Unlimited</v>
      </c>
      <c r="N968" s="7" t="str">
        <f t="shared" si="109"/>
        <v>n.a.</v>
      </c>
      <c r="O968" s="7">
        <f t="shared" si="110"/>
        <v>8938.06</v>
      </c>
      <c r="P968" s="15" t="str">
        <f t="shared" si="111"/>
        <v>n.a.</v>
      </c>
      <c r="Q968" s="7">
        <f>J968*'Model inputs'!$B$8</f>
        <v>-3806</v>
      </c>
      <c r="R968" s="1" t="s">
        <v>162</v>
      </c>
      <c r="S968" s="1">
        <v>376</v>
      </c>
      <c r="T968" s="1">
        <v>395</v>
      </c>
    </row>
    <row r="969" spans="1:20" ht="21" customHeight="1">
      <c r="A969" s="8">
        <v>46267</v>
      </c>
      <c r="B969" s="1" t="s">
        <v>36</v>
      </c>
      <c r="C969" s="1" t="s">
        <v>90</v>
      </c>
      <c r="D969" s="7">
        <v>5800</v>
      </c>
      <c r="E969" s="7">
        <v>5600</v>
      </c>
      <c r="F969" s="7"/>
      <c r="G969" s="7">
        <f>'Option source'!B647</f>
        <v>24.27</v>
      </c>
      <c r="H969" s="7">
        <f>'Option source'!B628</f>
        <v>14.11</v>
      </c>
      <c r="I969" s="7"/>
      <c r="J969" s="7">
        <f t="shared" si="105"/>
        <v>-3.9499999999999993</v>
      </c>
      <c r="K969" s="7">
        <f t="shared" si="106"/>
        <v>200</v>
      </c>
      <c r="L969" s="7">
        <f t="shared" si="107"/>
        <v>203.95</v>
      </c>
      <c r="M969" s="7">
        <f t="shared" si="108"/>
        <v>5396.05</v>
      </c>
      <c r="N969" s="7">
        <f t="shared" si="109"/>
        <v>5396.05</v>
      </c>
      <c r="O969" s="7" t="str">
        <f t="shared" si="110"/>
        <v>n.a.</v>
      </c>
      <c r="P969" s="15" t="str">
        <f t="shared" si="111"/>
        <v>n.a.</v>
      </c>
      <c r="Q969" s="7">
        <f>J969*'Model inputs'!$B$8</f>
        <v>-394.99999999999994</v>
      </c>
      <c r="R969" s="1" t="s">
        <v>162</v>
      </c>
      <c r="S969" s="1">
        <v>642</v>
      </c>
      <c r="T969" s="1">
        <v>623</v>
      </c>
    </row>
    <row r="970" spans="1:20" ht="21" customHeight="1">
      <c r="A970" s="8">
        <v>46267</v>
      </c>
      <c r="B970" s="1" t="s">
        <v>36</v>
      </c>
      <c r="C970" s="1" t="s">
        <v>87</v>
      </c>
      <c r="D970" s="7">
        <v>8600</v>
      </c>
      <c r="E970" s="7">
        <v>8900</v>
      </c>
      <c r="F970" s="7"/>
      <c r="G970" s="7">
        <f>'Option source'!B400</f>
        <v>84.77</v>
      </c>
      <c r="H970" s="7">
        <f>'Option source'!B419</f>
        <v>53.17</v>
      </c>
      <c r="I970" s="7"/>
      <c r="J970" s="7">
        <f t="shared" si="105"/>
        <v>-21.570000000000007</v>
      </c>
      <c r="K970" s="7">
        <f t="shared" si="106"/>
        <v>300</v>
      </c>
      <c r="L970" s="7">
        <f t="shared" si="107"/>
        <v>321.57</v>
      </c>
      <c r="M970" s="7" t="str">
        <f t="shared" si="108"/>
        <v>Unlimited</v>
      </c>
      <c r="N970" s="7" t="str">
        <f t="shared" si="109"/>
        <v>n.a.</v>
      </c>
      <c r="O970" s="7">
        <f t="shared" si="110"/>
        <v>9221.57</v>
      </c>
      <c r="P970" s="15" t="str">
        <f t="shared" si="111"/>
        <v>n.a.</v>
      </c>
      <c r="Q970" s="7">
        <f>J970*'Model inputs'!$B$8</f>
        <v>-2157.0000000000009</v>
      </c>
      <c r="R970" s="1" t="s">
        <v>162</v>
      </c>
      <c r="S970" s="1">
        <v>395</v>
      </c>
      <c r="T970" s="1">
        <v>414</v>
      </c>
    </row>
    <row r="971" spans="1:20" ht="21" customHeight="1">
      <c r="A971" s="8">
        <v>46267</v>
      </c>
      <c r="B971" s="1" t="s">
        <v>36</v>
      </c>
      <c r="C971" s="1" t="s">
        <v>90</v>
      </c>
      <c r="D971" s="7">
        <v>5600</v>
      </c>
      <c r="E971" s="7">
        <v>5400</v>
      </c>
      <c r="F971" s="7"/>
      <c r="G971" s="7">
        <f>'Option source'!B628</f>
        <v>14.11</v>
      </c>
      <c r="H971" s="7">
        <f>'Option source'!B609</f>
        <v>8.0399999999999991</v>
      </c>
      <c r="I971" s="7"/>
      <c r="J971" s="7">
        <f t="shared" si="105"/>
        <v>-1.9699999999999989</v>
      </c>
      <c r="K971" s="7">
        <f t="shared" si="106"/>
        <v>200</v>
      </c>
      <c r="L971" s="7">
        <f t="shared" si="107"/>
        <v>201.97</v>
      </c>
      <c r="M971" s="7">
        <f t="shared" si="108"/>
        <v>5198.03</v>
      </c>
      <c r="N971" s="7">
        <f t="shared" si="109"/>
        <v>5198.03</v>
      </c>
      <c r="O971" s="7" t="str">
        <f t="shared" si="110"/>
        <v>n.a.</v>
      </c>
      <c r="P971" s="15" t="str">
        <f t="shared" si="111"/>
        <v>n.a.</v>
      </c>
      <c r="Q971" s="7">
        <f>J971*'Model inputs'!$B$8</f>
        <v>-196.99999999999989</v>
      </c>
      <c r="R971" s="1" t="s">
        <v>162</v>
      </c>
      <c r="S971" s="1">
        <v>623</v>
      </c>
      <c r="T971" s="1">
        <v>604</v>
      </c>
    </row>
    <row r="972" spans="1:20" ht="21" customHeight="1">
      <c r="A972" s="8">
        <v>46267</v>
      </c>
      <c r="B972" s="1" t="s">
        <v>36</v>
      </c>
      <c r="C972" s="1" t="s">
        <v>90</v>
      </c>
      <c r="D972" s="7">
        <v>5400</v>
      </c>
      <c r="E972" s="7">
        <v>5200</v>
      </c>
      <c r="F972" s="7"/>
      <c r="G972" s="7">
        <f>'Option source'!B609</f>
        <v>8.0399999999999991</v>
      </c>
      <c r="H972" s="7">
        <f>'Option source'!B590</f>
        <v>4.57</v>
      </c>
      <c r="I972" s="7"/>
      <c r="J972" s="7">
        <f t="shared" si="105"/>
        <v>-1.1000000000000014</v>
      </c>
      <c r="K972" s="7">
        <f t="shared" si="106"/>
        <v>200</v>
      </c>
      <c r="L972" s="7">
        <f t="shared" si="107"/>
        <v>201.1</v>
      </c>
      <c r="M972" s="7">
        <f t="shared" si="108"/>
        <v>4998.8999999999996</v>
      </c>
      <c r="N972" s="7">
        <f t="shared" si="109"/>
        <v>4998.8999999999996</v>
      </c>
      <c r="O972" s="7" t="str">
        <f t="shared" si="110"/>
        <v>n.a.</v>
      </c>
      <c r="P972" s="15" t="str">
        <f t="shared" si="111"/>
        <v>n.a.</v>
      </c>
      <c r="Q972" s="7">
        <f>J972*'Model inputs'!$B$8</f>
        <v>-110.00000000000014</v>
      </c>
      <c r="R972" s="1" t="s">
        <v>162</v>
      </c>
      <c r="S972" s="1">
        <v>604</v>
      </c>
      <c r="T972" s="1">
        <v>585</v>
      </c>
    </row>
    <row r="973" spans="1:20" ht="21" customHeight="1">
      <c r="A973" s="8">
        <v>46267</v>
      </c>
      <c r="B973" s="1" t="s">
        <v>36</v>
      </c>
      <c r="C973" s="1" t="s">
        <v>87</v>
      </c>
      <c r="D973" s="7">
        <v>8900</v>
      </c>
      <c r="E973" s="7">
        <v>9200</v>
      </c>
      <c r="F973" s="7"/>
      <c r="G973" s="7">
        <f>'Option source'!B419</f>
        <v>53.17</v>
      </c>
      <c r="H973" s="7">
        <f>'Option source'!B438</f>
        <v>32.75</v>
      </c>
      <c r="I973" s="7"/>
      <c r="J973" s="7">
        <f t="shared" si="105"/>
        <v>-12.329999999999998</v>
      </c>
      <c r="K973" s="7">
        <f t="shared" si="106"/>
        <v>300</v>
      </c>
      <c r="L973" s="7">
        <f t="shared" si="107"/>
        <v>312.33</v>
      </c>
      <c r="M973" s="7" t="str">
        <f t="shared" si="108"/>
        <v>Unlimited</v>
      </c>
      <c r="N973" s="7" t="str">
        <f t="shared" si="109"/>
        <v>n.a.</v>
      </c>
      <c r="O973" s="7">
        <f t="shared" si="110"/>
        <v>9512.33</v>
      </c>
      <c r="P973" s="15" t="str">
        <f t="shared" si="111"/>
        <v>n.a.</v>
      </c>
      <c r="Q973" s="7">
        <f>J973*'Model inputs'!$B$8</f>
        <v>-1232.9999999999998</v>
      </c>
      <c r="R973" s="1" t="s">
        <v>162</v>
      </c>
      <c r="S973" s="1">
        <v>414</v>
      </c>
      <c r="T973" s="1">
        <v>433</v>
      </c>
    </row>
    <row r="974" spans="1:20" ht="21" customHeight="1">
      <c r="A974" s="8">
        <v>46267</v>
      </c>
      <c r="B974" s="1" t="s">
        <v>36</v>
      </c>
      <c r="C974" s="1" t="s">
        <v>90</v>
      </c>
      <c r="D974" s="7">
        <v>5200</v>
      </c>
      <c r="E974" s="7">
        <v>5000</v>
      </c>
      <c r="F974" s="7"/>
      <c r="G974" s="7">
        <f>'Option source'!B590</f>
        <v>4.57</v>
      </c>
      <c r="H974" s="7">
        <f>'Option source'!B571</f>
        <v>2.6</v>
      </c>
      <c r="I974" s="7"/>
      <c r="J974" s="7">
        <f t="shared" si="105"/>
        <v>-0.62999999999999989</v>
      </c>
      <c r="K974" s="7">
        <f t="shared" si="106"/>
        <v>200</v>
      </c>
      <c r="L974" s="7">
        <f t="shared" si="107"/>
        <v>200.63</v>
      </c>
      <c r="M974" s="7">
        <f t="shared" si="108"/>
        <v>4799.37</v>
      </c>
      <c r="N974" s="7">
        <f t="shared" si="109"/>
        <v>4799.37</v>
      </c>
      <c r="O974" s="7" t="str">
        <f t="shared" si="110"/>
        <v>n.a.</v>
      </c>
      <c r="P974" s="15" t="str">
        <f t="shared" si="111"/>
        <v>n.a.</v>
      </c>
      <c r="Q974" s="7">
        <f>J974*'Model inputs'!$B$8</f>
        <v>-62.999999999999986</v>
      </c>
      <c r="R974" s="1" t="s">
        <v>162</v>
      </c>
      <c r="S974" s="1">
        <v>585</v>
      </c>
      <c r="T974" s="1">
        <v>566</v>
      </c>
    </row>
    <row r="975" spans="1:20" ht="21" customHeight="1">
      <c r="A975" s="8">
        <v>46267</v>
      </c>
      <c r="B975" s="1" t="s">
        <v>36</v>
      </c>
      <c r="C975" s="1" t="s">
        <v>87</v>
      </c>
      <c r="D975" s="7">
        <v>9200</v>
      </c>
      <c r="E975" s="7">
        <v>9500</v>
      </c>
      <c r="F975" s="7"/>
      <c r="G975" s="7">
        <f>'Option source'!B438</f>
        <v>32.75</v>
      </c>
      <c r="H975" s="7">
        <f>'Option source'!B457</f>
        <v>20.75</v>
      </c>
      <c r="I975" s="7"/>
      <c r="J975" s="7">
        <f t="shared" si="105"/>
        <v>-8.75</v>
      </c>
      <c r="K975" s="7">
        <f t="shared" si="106"/>
        <v>300</v>
      </c>
      <c r="L975" s="7">
        <f t="shared" si="107"/>
        <v>308.75</v>
      </c>
      <c r="M975" s="7" t="str">
        <f t="shared" si="108"/>
        <v>Unlimited</v>
      </c>
      <c r="N975" s="7" t="str">
        <f t="shared" si="109"/>
        <v>n.a.</v>
      </c>
      <c r="O975" s="7">
        <f t="shared" si="110"/>
        <v>9808.75</v>
      </c>
      <c r="P975" s="15" t="str">
        <f t="shared" si="111"/>
        <v>n.a.</v>
      </c>
      <c r="Q975" s="7">
        <f>J975*'Model inputs'!$B$8</f>
        <v>-875</v>
      </c>
      <c r="R975" s="1" t="s">
        <v>162</v>
      </c>
      <c r="S975" s="1">
        <v>433</v>
      </c>
      <c r="T975" s="1">
        <v>452</v>
      </c>
    </row>
    <row r="976" spans="1:20" ht="21" customHeight="1">
      <c r="A976" s="8">
        <v>46267</v>
      </c>
      <c r="B976" s="1" t="s">
        <v>36</v>
      </c>
      <c r="C976" s="1" t="s">
        <v>90</v>
      </c>
      <c r="D976" s="7">
        <v>5000</v>
      </c>
      <c r="E976" s="7">
        <v>4800</v>
      </c>
      <c r="F976" s="7"/>
      <c r="G976" s="7">
        <f>'Option source'!B571</f>
        <v>2.6</v>
      </c>
      <c r="H976" s="7">
        <f>'Option source'!B552</f>
        <v>1.74</v>
      </c>
      <c r="I976" s="7"/>
      <c r="J976" s="7">
        <f t="shared" si="105"/>
        <v>-0.87999999999999989</v>
      </c>
      <c r="K976" s="7">
        <f t="shared" si="106"/>
        <v>200</v>
      </c>
      <c r="L976" s="7">
        <f t="shared" si="107"/>
        <v>200.88</v>
      </c>
      <c r="M976" s="7">
        <f t="shared" si="108"/>
        <v>4599.12</v>
      </c>
      <c r="N976" s="7">
        <f t="shared" si="109"/>
        <v>4599.12</v>
      </c>
      <c r="O976" s="7" t="str">
        <f t="shared" si="110"/>
        <v>n.a.</v>
      </c>
      <c r="P976" s="15" t="str">
        <f t="shared" si="111"/>
        <v>n.a.</v>
      </c>
      <c r="Q976" s="7">
        <f>J976*'Model inputs'!$B$8</f>
        <v>-87.999999999999986</v>
      </c>
      <c r="R976" s="1" t="s">
        <v>162</v>
      </c>
      <c r="S976" s="1">
        <v>566</v>
      </c>
      <c r="T976" s="1">
        <v>547</v>
      </c>
    </row>
    <row r="977" spans="1:20" ht="21" customHeight="1">
      <c r="A977" s="8">
        <v>46267</v>
      </c>
      <c r="B977" s="1" t="s">
        <v>36</v>
      </c>
      <c r="C977" s="1" t="s">
        <v>90</v>
      </c>
      <c r="D977" s="7">
        <v>4800</v>
      </c>
      <c r="E977" s="7">
        <v>4600</v>
      </c>
      <c r="F977" s="7"/>
      <c r="G977" s="7">
        <f>'Option source'!B552</f>
        <v>1.74</v>
      </c>
      <c r="H977" s="7">
        <f>'Option source'!B533</f>
        <v>1.38</v>
      </c>
      <c r="I977" s="7"/>
      <c r="J977" s="7">
        <f t="shared" si="105"/>
        <v>-1.0199999999999998</v>
      </c>
      <c r="K977" s="7">
        <f t="shared" si="106"/>
        <v>200</v>
      </c>
      <c r="L977" s="7">
        <f t="shared" si="107"/>
        <v>201.02</v>
      </c>
      <c r="M977" s="7">
        <f t="shared" si="108"/>
        <v>4398.9799999999996</v>
      </c>
      <c r="N977" s="7">
        <f t="shared" si="109"/>
        <v>4398.9799999999996</v>
      </c>
      <c r="O977" s="7" t="str">
        <f t="shared" si="110"/>
        <v>n.a.</v>
      </c>
      <c r="P977" s="15" t="str">
        <f t="shared" si="111"/>
        <v>n.a.</v>
      </c>
      <c r="Q977" s="7">
        <f>J977*'Model inputs'!$B$8</f>
        <v>-101.99999999999999</v>
      </c>
      <c r="R977" s="1" t="s">
        <v>162</v>
      </c>
      <c r="S977" s="1">
        <v>547</v>
      </c>
      <c r="T977" s="1">
        <v>528</v>
      </c>
    </row>
    <row r="978" spans="1:20" ht="21" customHeight="1">
      <c r="A978" s="8">
        <v>46267</v>
      </c>
      <c r="B978" s="1" t="s">
        <v>36</v>
      </c>
      <c r="C978" s="1" t="s">
        <v>87</v>
      </c>
      <c r="D978" s="7">
        <v>9500</v>
      </c>
      <c r="E978" s="7">
        <v>9900</v>
      </c>
      <c r="F978" s="7"/>
      <c r="G978" s="7">
        <f>'Option source'!B457</f>
        <v>20.75</v>
      </c>
      <c r="H978" s="7">
        <f>'Option source'!B476</f>
        <v>12.28</v>
      </c>
      <c r="I978" s="7"/>
      <c r="J978" s="7">
        <f t="shared" si="105"/>
        <v>-3.8099999999999987</v>
      </c>
      <c r="K978" s="7">
        <f t="shared" si="106"/>
        <v>400</v>
      </c>
      <c r="L978" s="7">
        <f t="shared" si="107"/>
        <v>403.81</v>
      </c>
      <c r="M978" s="7" t="str">
        <f t="shared" si="108"/>
        <v>Unlimited</v>
      </c>
      <c r="N978" s="7" t="str">
        <f t="shared" si="109"/>
        <v>n.a.</v>
      </c>
      <c r="O978" s="7">
        <f t="shared" si="110"/>
        <v>10303.81</v>
      </c>
      <c r="P978" s="15" t="str">
        <f t="shared" si="111"/>
        <v>n.a.</v>
      </c>
      <c r="Q978" s="7">
        <f>J978*'Model inputs'!$B$8</f>
        <v>-380.99999999999989</v>
      </c>
      <c r="R978" s="1" t="s">
        <v>162</v>
      </c>
      <c r="S978" s="1">
        <v>452</v>
      </c>
      <c r="T978" s="1">
        <v>471</v>
      </c>
    </row>
    <row r="979" spans="1:20" ht="21" customHeight="1">
      <c r="A979" s="8">
        <v>46267</v>
      </c>
      <c r="B979" s="1" t="s">
        <v>36</v>
      </c>
      <c r="C979" s="1" t="s">
        <v>90</v>
      </c>
      <c r="D979" s="7">
        <v>4600</v>
      </c>
      <c r="E979" s="7">
        <v>4400</v>
      </c>
      <c r="F979" s="7"/>
      <c r="G979" s="7">
        <f>'Option source'!B533</f>
        <v>1.38</v>
      </c>
      <c r="H979" s="7">
        <f>'Option source'!B514</f>
        <v>1.28</v>
      </c>
      <c r="I979" s="7"/>
      <c r="J979" s="7">
        <f t="shared" si="105"/>
        <v>-1.1800000000000002</v>
      </c>
      <c r="K979" s="7">
        <f t="shared" si="106"/>
        <v>200</v>
      </c>
      <c r="L979" s="7">
        <f t="shared" si="107"/>
        <v>201.18</v>
      </c>
      <c r="M979" s="7">
        <f t="shared" si="108"/>
        <v>4198.82</v>
      </c>
      <c r="N979" s="7">
        <f t="shared" si="109"/>
        <v>4198.82</v>
      </c>
      <c r="O979" s="7" t="str">
        <f t="shared" si="110"/>
        <v>n.a.</v>
      </c>
      <c r="P979" s="15" t="str">
        <f t="shared" si="111"/>
        <v>n.a.</v>
      </c>
      <c r="Q979" s="7">
        <f>J979*'Model inputs'!$B$8</f>
        <v>-118.00000000000001</v>
      </c>
      <c r="R979" s="1" t="s">
        <v>162</v>
      </c>
      <c r="S979" s="1">
        <v>528</v>
      </c>
      <c r="T979" s="1">
        <v>509</v>
      </c>
    </row>
    <row r="980" spans="1:20" ht="21" customHeight="1">
      <c r="A980" s="8">
        <v>46267</v>
      </c>
      <c r="B980" s="1" t="s">
        <v>36</v>
      </c>
      <c r="C980" s="1" t="s">
        <v>90</v>
      </c>
      <c r="D980" s="7">
        <v>4400</v>
      </c>
      <c r="E980" s="7">
        <v>4200</v>
      </c>
      <c r="F980" s="7"/>
      <c r="G980" s="7">
        <f>'Option source'!B514</f>
        <v>1.28</v>
      </c>
      <c r="H980" s="7">
        <f>'Option source'!B495</f>
        <v>0.9</v>
      </c>
      <c r="I980" s="7"/>
      <c r="J980" s="7">
        <f t="shared" si="105"/>
        <v>-0.52</v>
      </c>
      <c r="K980" s="7">
        <f t="shared" si="106"/>
        <v>200</v>
      </c>
      <c r="L980" s="7">
        <f t="shared" si="107"/>
        <v>200.52</v>
      </c>
      <c r="M980" s="7">
        <f t="shared" si="108"/>
        <v>3999.48</v>
      </c>
      <c r="N980" s="7">
        <f t="shared" si="109"/>
        <v>3999.48</v>
      </c>
      <c r="O980" s="7" t="str">
        <f t="shared" si="110"/>
        <v>n.a.</v>
      </c>
      <c r="P980" s="15" t="str">
        <f t="shared" si="111"/>
        <v>n.a.</v>
      </c>
      <c r="Q980" s="7">
        <f>J980*'Model inputs'!$B$8</f>
        <v>-52</v>
      </c>
      <c r="R980" s="1" t="s">
        <v>162</v>
      </c>
      <c r="S980" s="1">
        <v>509</v>
      </c>
      <c r="T980" s="1">
        <v>490</v>
      </c>
    </row>
    <row r="981" spans="1:20" ht="21" customHeight="1">
      <c r="A981" s="8">
        <v>46267</v>
      </c>
      <c r="B981" s="1" t="s">
        <v>36</v>
      </c>
      <c r="C981" s="1" t="s">
        <v>90</v>
      </c>
      <c r="D981" s="7">
        <v>7800</v>
      </c>
      <c r="E981" s="7">
        <v>7600</v>
      </c>
      <c r="F981" s="7"/>
      <c r="G981" s="7">
        <f>'Option source'!B837</f>
        <v>726</v>
      </c>
      <c r="H981" s="7">
        <f>'Option source'!B818</f>
        <v>600</v>
      </c>
      <c r="I981" s="7"/>
      <c r="J981" s="7">
        <f t="shared" si="105"/>
        <v>-474</v>
      </c>
      <c r="K981" s="7">
        <f t="shared" si="106"/>
        <v>200</v>
      </c>
      <c r="L981" s="7">
        <f t="shared" si="107"/>
        <v>674</v>
      </c>
      <c r="M981" s="7">
        <f t="shared" si="108"/>
        <v>6926</v>
      </c>
      <c r="N981" s="7">
        <f t="shared" si="109"/>
        <v>6926</v>
      </c>
      <c r="O981" s="7" t="str">
        <f t="shared" si="110"/>
        <v>n.a.</v>
      </c>
      <c r="P981" s="15" t="str">
        <f t="shared" si="111"/>
        <v>n.a.</v>
      </c>
      <c r="Q981" s="7">
        <f>J981*'Model inputs'!$B$8</f>
        <v>-47400</v>
      </c>
      <c r="R981" s="1" t="s">
        <v>164</v>
      </c>
      <c r="S981" s="1">
        <v>832</v>
      </c>
      <c r="T981" s="1">
        <v>813</v>
      </c>
    </row>
    <row r="982" spans="1:20" ht="21" customHeight="1">
      <c r="A982" s="8">
        <v>46267</v>
      </c>
      <c r="B982" s="1" t="s">
        <v>36</v>
      </c>
      <c r="C982" s="1" t="s">
        <v>90</v>
      </c>
      <c r="D982" s="7">
        <v>8000</v>
      </c>
      <c r="E982" s="7">
        <v>7800</v>
      </c>
      <c r="F982" s="7"/>
      <c r="G982" s="7">
        <f>'Option source'!B856</f>
        <v>910</v>
      </c>
      <c r="H982" s="7">
        <f>'Option source'!B837</f>
        <v>726</v>
      </c>
      <c r="I982" s="7"/>
      <c r="J982" s="7">
        <f t="shared" si="105"/>
        <v>-542</v>
      </c>
      <c r="K982" s="7">
        <f t="shared" si="106"/>
        <v>200</v>
      </c>
      <c r="L982" s="7">
        <f t="shared" si="107"/>
        <v>742</v>
      </c>
      <c r="M982" s="7">
        <f t="shared" si="108"/>
        <v>7058</v>
      </c>
      <c r="N982" s="7">
        <f t="shared" si="109"/>
        <v>7058</v>
      </c>
      <c r="O982" s="7" t="str">
        <f t="shared" si="110"/>
        <v>n.a.</v>
      </c>
      <c r="P982" s="15" t="str">
        <f t="shared" si="111"/>
        <v>n.a.</v>
      </c>
      <c r="Q982" s="7">
        <f>J982*'Model inputs'!$B$8</f>
        <v>-54200</v>
      </c>
      <c r="R982" s="1" t="s">
        <v>164</v>
      </c>
      <c r="S982" s="1">
        <v>851</v>
      </c>
      <c r="T982" s="1">
        <v>832</v>
      </c>
    </row>
    <row r="983" spans="1:20" ht="21" customHeight="1">
      <c r="A983" s="8">
        <v>46267</v>
      </c>
      <c r="B983" s="1" t="s">
        <v>36</v>
      </c>
      <c r="C983" s="1" t="s">
        <v>87</v>
      </c>
      <c r="D983" s="7">
        <v>6200</v>
      </c>
      <c r="E983" s="7">
        <v>6400</v>
      </c>
      <c r="F983" s="7"/>
      <c r="G983" s="7">
        <f>'Option source'!B191</f>
        <v>1088.47</v>
      </c>
      <c r="H983" s="7">
        <f>'Option source'!B210</f>
        <v>1025</v>
      </c>
      <c r="I983" s="7"/>
      <c r="J983" s="7">
        <f t="shared" si="105"/>
        <v>-961.53</v>
      </c>
      <c r="K983" s="7">
        <f t="shared" si="106"/>
        <v>200</v>
      </c>
      <c r="L983" s="7">
        <f t="shared" si="107"/>
        <v>1161.53</v>
      </c>
      <c r="M983" s="7" t="str">
        <f t="shared" si="108"/>
        <v>Unlimited</v>
      </c>
      <c r="N983" s="7" t="str">
        <f t="shared" si="109"/>
        <v>n.a.</v>
      </c>
      <c r="O983" s="7">
        <f t="shared" si="110"/>
        <v>7561.53</v>
      </c>
      <c r="P983" s="15" t="str">
        <f t="shared" si="111"/>
        <v>n.a.</v>
      </c>
      <c r="Q983" s="7">
        <f>J983*'Model inputs'!$B$8</f>
        <v>-96153</v>
      </c>
      <c r="R983" s="1" t="s">
        <v>164</v>
      </c>
      <c r="S983" s="1">
        <v>186</v>
      </c>
      <c r="T983" s="1">
        <v>205</v>
      </c>
    </row>
    <row r="984" spans="1:20" ht="21" customHeight="1">
      <c r="A984" s="8">
        <v>46267</v>
      </c>
      <c r="B984" s="1" t="s">
        <v>36</v>
      </c>
      <c r="C984" s="1" t="s">
        <v>90</v>
      </c>
      <c r="D984" s="7">
        <v>8300</v>
      </c>
      <c r="E984" s="7">
        <v>8000</v>
      </c>
      <c r="F984" s="7"/>
      <c r="G984" s="7">
        <f>'Option source'!B875</f>
        <v>1250</v>
      </c>
      <c r="H984" s="7">
        <f>'Option source'!B856</f>
        <v>910</v>
      </c>
      <c r="I984" s="7"/>
      <c r="J984" s="7">
        <f t="shared" si="105"/>
        <v>-570</v>
      </c>
      <c r="K984" s="7">
        <f t="shared" si="106"/>
        <v>300</v>
      </c>
      <c r="L984" s="7">
        <f t="shared" si="107"/>
        <v>870</v>
      </c>
      <c r="M984" s="7">
        <f t="shared" si="108"/>
        <v>7130</v>
      </c>
      <c r="N984" s="7">
        <f t="shared" si="109"/>
        <v>7130</v>
      </c>
      <c r="O984" s="7" t="str">
        <f t="shared" si="110"/>
        <v>n.a.</v>
      </c>
      <c r="P984" s="15" t="str">
        <f t="shared" si="111"/>
        <v>n.a.</v>
      </c>
      <c r="Q984" s="7">
        <f>J984*'Model inputs'!$B$8</f>
        <v>-57000</v>
      </c>
      <c r="R984" s="1" t="s">
        <v>164</v>
      </c>
      <c r="S984" s="1">
        <v>870</v>
      </c>
      <c r="T984" s="1">
        <v>851</v>
      </c>
    </row>
    <row r="985" spans="1:20" ht="21" customHeight="1">
      <c r="A985" s="8">
        <v>46267</v>
      </c>
      <c r="B985" s="1" t="s">
        <v>36</v>
      </c>
      <c r="C985" s="1" t="s">
        <v>87</v>
      </c>
      <c r="D985" s="7">
        <v>6000</v>
      </c>
      <c r="E985" s="7">
        <v>6200</v>
      </c>
      <c r="F985" s="7"/>
      <c r="G985" s="7">
        <f>'Option source'!B172</f>
        <v>1350</v>
      </c>
      <c r="H985" s="7">
        <f>'Option source'!B191</f>
        <v>1088.47</v>
      </c>
      <c r="I985" s="7"/>
      <c r="J985" s="7">
        <f t="shared" si="105"/>
        <v>-826.94</v>
      </c>
      <c r="K985" s="7">
        <f t="shared" si="106"/>
        <v>200</v>
      </c>
      <c r="L985" s="7">
        <f t="shared" si="107"/>
        <v>1026.94</v>
      </c>
      <c r="M985" s="7" t="str">
        <f t="shared" si="108"/>
        <v>Unlimited</v>
      </c>
      <c r="N985" s="7" t="str">
        <f t="shared" si="109"/>
        <v>n.a.</v>
      </c>
      <c r="O985" s="7">
        <f t="shared" si="110"/>
        <v>7226.9400000000005</v>
      </c>
      <c r="P985" s="15" t="str">
        <f t="shared" si="111"/>
        <v>n.a.</v>
      </c>
      <c r="Q985" s="7">
        <f>J985*'Model inputs'!$B$8</f>
        <v>-82694</v>
      </c>
      <c r="R985" s="1" t="s">
        <v>164</v>
      </c>
      <c r="S985" s="1">
        <v>167</v>
      </c>
      <c r="T985" s="1">
        <v>186</v>
      </c>
    </row>
    <row r="986" spans="1:20" ht="21" customHeight="1">
      <c r="A986" s="8">
        <v>46267</v>
      </c>
      <c r="B986" s="1" t="s">
        <v>36</v>
      </c>
      <c r="C986" s="1" t="s">
        <v>90</v>
      </c>
      <c r="D986" s="7">
        <v>8600</v>
      </c>
      <c r="E986" s="7">
        <v>8300</v>
      </c>
      <c r="F986" s="7"/>
      <c r="G986" s="7">
        <f>'Option source'!B894</f>
        <v>1555.11</v>
      </c>
      <c r="H986" s="7">
        <f>'Option source'!B875</f>
        <v>1250</v>
      </c>
      <c r="I986" s="7"/>
      <c r="J986" s="7">
        <f t="shared" si="105"/>
        <v>-944.8900000000001</v>
      </c>
      <c r="K986" s="7">
        <f t="shared" si="106"/>
        <v>300</v>
      </c>
      <c r="L986" s="7">
        <f t="shared" si="107"/>
        <v>1244.8900000000001</v>
      </c>
      <c r="M986" s="7">
        <f t="shared" si="108"/>
        <v>7055.11</v>
      </c>
      <c r="N986" s="7">
        <f t="shared" si="109"/>
        <v>7055.11</v>
      </c>
      <c r="O986" s="7" t="str">
        <f t="shared" si="110"/>
        <v>n.a.</v>
      </c>
      <c r="P986" s="15" t="str">
        <f t="shared" si="111"/>
        <v>n.a.</v>
      </c>
      <c r="Q986" s="7">
        <f>J986*'Model inputs'!$B$8</f>
        <v>-94489.000000000015</v>
      </c>
      <c r="R986" s="1" t="s">
        <v>164</v>
      </c>
      <c r="S986" s="1">
        <v>889</v>
      </c>
      <c r="T986" s="1">
        <v>870</v>
      </c>
    </row>
    <row r="987" spans="1:20" ht="21" customHeight="1">
      <c r="A987" s="8">
        <v>46267</v>
      </c>
      <c r="B987" s="1" t="s">
        <v>36</v>
      </c>
      <c r="C987" s="1" t="s">
        <v>87</v>
      </c>
      <c r="D987" s="7">
        <v>5600</v>
      </c>
      <c r="E987" s="7">
        <v>6000</v>
      </c>
      <c r="F987" s="7"/>
      <c r="G987" s="7">
        <f>'Option source'!B143</f>
        <v>1600</v>
      </c>
      <c r="H987" s="7">
        <f>'Option source'!B172</f>
        <v>1350</v>
      </c>
      <c r="I987" s="7"/>
      <c r="J987" s="7">
        <f t="shared" si="105"/>
        <v>-1100</v>
      </c>
      <c r="K987" s="7">
        <f t="shared" si="106"/>
        <v>400</v>
      </c>
      <c r="L987" s="7">
        <f t="shared" si="107"/>
        <v>1500</v>
      </c>
      <c r="M987" s="7" t="str">
        <f t="shared" si="108"/>
        <v>Unlimited</v>
      </c>
      <c r="N987" s="7" t="str">
        <f t="shared" si="109"/>
        <v>n.a.</v>
      </c>
      <c r="O987" s="7">
        <f t="shared" si="110"/>
        <v>7500</v>
      </c>
      <c r="P987" s="15" t="str">
        <f t="shared" si="111"/>
        <v>n.a.</v>
      </c>
      <c r="Q987" s="7">
        <f>J987*'Model inputs'!$B$8</f>
        <v>-110000</v>
      </c>
      <c r="R987" s="1" t="s">
        <v>164</v>
      </c>
      <c r="S987" s="1">
        <v>138</v>
      </c>
      <c r="T987" s="1">
        <v>167</v>
      </c>
    </row>
    <row r="988" spans="1:20" ht="21" customHeight="1">
      <c r="A988" s="8">
        <v>46267</v>
      </c>
      <c r="B988" s="1" t="s">
        <v>36</v>
      </c>
      <c r="C988" s="1" t="s">
        <v>90</v>
      </c>
      <c r="D988" s="7">
        <v>8900</v>
      </c>
      <c r="E988" s="7">
        <v>8600</v>
      </c>
      <c r="F988" s="7"/>
      <c r="G988" s="7">
        <f>'Option source'!B909</f>
        <v>2022.5</v>
      </c>
      <c r="H988" s="7">
        <f>'Option source'!B894</f>
        <v>1555.11</v>
      </c>
      <c r="I988" s="7"/>
      <c r="J988" s="7">
        <f t="shared" si="105"/>
        <v>-1087.7199999999998</v>
      </c>
      <c r="K988" s="7">
        <f t="shared" si="106"/>
        <v>300</v>
      </c>
      <c r="L988" s="7">
        <f t="shared" si="107"/>
        <v>1387.7199999999998</v>
      </c>
      <c r="M988" s="7">
        <f t="shared" si="108"/>
        <v>7212.2800000000007</v>
      </c>
      <c r="N988" s="7">
        <f t="shared" si="109"/>
        <v>7212.2800000000007</v>
      </c>
      <c r="O988" s="7" t="str">
        <f t="shared" si="110"/>
        <v>n.a.</v>
      </c>
      <c r="P988" s="15" t="str">
        <f t="shared" si="111"/>
        <v>n.a.</v>
      </c>
      <c r="Q988" s="7">
        <f>J988*'Model inputs'!$B$8</f>
        <v>-108771.99999999999</v>
      </c>
      <c r="R988" s="1" t="s">
        <v>164</v>
      </c>
      <c r="S988" s="1">
        <v>904</v>
      </c>
      <c r="T988" s="1">
        <v>889</v>
      </c>
    </row>
    <row r="989" spans="1:20" ht="21" customHeight="1">
      <c r="A989" s="8">
        <v>46267</v>
      </c>
      <c r="B989" s="1" t="s">
        <v>36</v>
      </c>
      <c r="C989" s="1" t="s">
        <v>87</v>
      </c>
      <c r="D989" s="7">
        <v>5400</v>
      </c>
      <c r="E989" s="7">
        <v>5600</v>
      </c>
      <c r="F989" s="7"/>
      <c r="G989" s="7">
        <f>'Option source'!B125</f>
        <v>1790</v>
      </c>
      <c r="H989" s="7">
        <f>'Option source'!B143</f>
        <v>1600</v>
      </c>
      <c r="I989" s="7"/>
      <c r="J989" s="7">
        <f t="shared" si="105"/>
        <v>-1410</v>
      </c>
      <c r="K989" s="7">
        <f t="shared" si="106"/>
        <v>200</v>
      </c>
      <c r="L989" s="7">
        <f t="shared" si="107"/>
        <v>1610</v>
      </c>
      <c r="M989" s="7" t="str">
        <f t="shared" si="108"/>
        <v>Unlimited</v>
      </c>
      <c r="N989" s="7" t="str">
        <f t="shared" si="109"/>
        <v>n.a.</v>
      </c>
      <c r="O989" s="7">
        <f t="shared" si="110"/>
        <v>7210</v>
      </c>
      <c r="P989" s="15" t="str">
        <f t="shared" si="111"/>
        <v>n.a.</v>
      </c>
      <c r="Q989" s="7">
        <f>J989*'Model inputs'!$B$8</f>
        <v>-141000</v>
      </c>
      <c r="R989" s="1" t="s">
        <v>164</v>
      </c>
      <c r="S989" s="1">
        <v>120</v>
      </c>
      <c r="T989" s="1">
        <v>138</v>
      </c>
    </row>
    <row r="990" spans="1:20" ht="21" customHeight="1">
      <c r="A990" s="8">
        <v>46267</v>
      </c>
      <c r="B990" s="1" t="s">
        <v>36</v>
      </c>
      <c r="C990" s="1" t="s">
        <v>87</v>
      </c>
      <c r="D990" s="7">
        <v>5200</v>
      </c>
      <c r="E990" s="7">
        <v>5400</v>
      </c>
      <c r="F990" s="7"/>
      <c r="G990" s="7">
        <f>'Option source'!B106</f>
        <v>1991.75</v>
      </c>
      <c r="H990" s="7">
        <f>'Option source'!B125</f>
        <v>1790</v>
      </c>
      <c r="I990" s="7"/>
      <c r="J990" s="7">
        <f t="shared" si="105"/>
        <v>-1588.25</v>
      </c>
      <c r="K990" s="7">
        <f t="shared" si="106"/>
        <v>200</v>
      </c>
      <c r="L990" s="7">
        <f t="shared" si="107"/>
        <v>1788.25</v>
      </c>
      <c r="M990" s="7" t="str">
        <f t="shared" si="108"/>
        <v>Unlimited</v>
      </c>
      <c r="N990" s="7" t="str">
        <f t="shared" si="109"/>
        <v>n.a.</v>
      </c>
      <c r="O990" s="7">
        <f t="shared" si="110"/>
        <v>7188.25</v>
      </c>
      <c r="P990" s="15" t="str">
        <f t="shared" si="111"/>
        <v>n.a.</v>
      </c>
      <c r="Q990" s="7">
        <f>J990*'Model inputs'!$B$8</f>
        <v>-158825</v>
      </c>
      <c r="R990" s="1" t="s">
        <v>164</v>
      </c>
      <c r="S990" s="1">
        <v>101</v>
      </c>
      <c r="T990" s="1">
        <v>120</v>
      </c>
    </row>
    <row r="991" spans="1:20" ht="21" customHeight="1">
      <c r="A991" s="8">
        <v>46267</v>
      </c>
      <c r="B991" s="1" t="s">
        <v>36</v>
      </c>
      <c r="C991" s="1" t="s">
        <v>87</v>
      </c>
      <c r="D991" s="7">
        <v>5000</v>
      </c>
      <c r="E991" s="7">
        <v>5200</v>
      </c>
      <c r="F991" s="7"/>
      <c r="G991" s="7">
        <f>'Option source'!B87</f>
        <v>2170</v>
      </c>
      <c r="H991" s="7">
        <f>'Option source'!B106</f>
        <v>1991.75</v>
      </c>
      <c r="I991" s="7"/>
      <c r="J991" s="7">
        <f t="shared" si="105"/>
        <v>-1813.5</v>
      </c>
      <c r="K991" s="7">
        <f t="shared" si="106"/>
        <v>200</v>
      </c>
      <c r="L991" s="7">
        <f t="shared" si="107"/>
        <v>2013.5</v>
      </c>
      <c r="M991" s="7" t="str">
        <f t="shared" si="108"/>
        <v>Unlimited</v>
      </c>
      <c r="N991" s="7" t="str">
        <f t="shared" si="109"/>
        <v>n.a.</v>
      </c>
      <c r="O991" s="7">
        <f t="shared" si="110"/>
        <v>7213.5</v>
      </c>
      <c r="P991" s="15" t="str">
        <f t="shared" si="111"/>
        <v>n.a.</v>
      </c>
      <c r="Q991" s="7">
        <f>J991*'Model inputs'!$B$8</f>
        <v>-181350</v>
      </c>
      <c r="R991" s="1" t="s">
        <v>164</v>
      </c>
      <c r="S991" s="1">
        <v>82</v>
      </c>
      <c r="T991" s="1">
        <v>101</v>
      </c>
    </row>
    <row r="992" spans="1:20" ht="21" customHeight="1">
      <c r="A992" s="8">
        <v>46267</v>
      </c>
      <c r="B992" s="1" t="s">
        <v>36</v>
      </c>
      <c r="C992" s="1" t="s">
        <v>87</v>
      </c>
      <c r="D992" s="7">
        <v>4800</v>
      </c>
      <c r="E992" s="7">
        <v>5000</v>
      </c>
      <c r="F992" s="7"/>
      <c r="G992" s="7">
        <f>'Option source'!B70</f>
        <v>2375</v>
      </c>
      <c r="H992" s="7">
        <f>'Option source'!B87</f>
        <v>2170</v>
      </c>
      <c r="I992" s="7"/>
      <c r="J992" s="7">
        <f t="shared" si="105"/>
        <v>-1965</v>
      </c>
      <c r="K992" s="7">
        <f t="shared" si="106"/>
        <v>200</v>
      </c>
      <c r="L992" s="7">
        <f t="shared" si="107"/>
        <v>2165</v>
      </c>
      <c r="M992" s="7" t="str">
        <f t="shared" si="108"/>
        <v>Unlimited</v>
      </c>
      <c r="N992" s="7" t="str">
        <f t="shared" si="109"/>
        <v>n.a.</v>
      </c>
      <c r="O992" s="7">
        <f t="shared" si="110"/>
        <v>7165</v>
      </c>
      <c r="P992" s="15" t="str">
        <f t="shared" si="111"/>
        <v>n.a.</v>
      </c>
      <c r="Q992" s="7">
        <f>J992*'Model inputs'!$B$8</f>
        <v>-196500</v>
      </c>
      <c r="R992" s="1" t="s">
        <v>164</v>
      </c>
      <c r="S992" s="1">
        <v>65</v>
      </c>
      <c r="T992" s="1">
        <v>82</v>
      </c>
    </row>
    <row r="993" spans="1:20" ht="21" customHeight="1">
      <c r="A993" s="8">
        <v>46267</v>
      </c>
      <c r="B993" s="1" t="s">
        <v>36</v>
      </c>
      <c r="C993" s="1" t="s">
        <v>87</v>
      </c>
      <c r="D993" s="7">
        <v>4600</v>
      </c>
      <c r="E993" s="7">
        <v>4800</v>
      </c>
      <c r="F993" s="7"/>
      <c r="G993" s="7">
        <f>'Option source'!B53</f>
        <v>2384.7199999999998</v>
      </c>
      <c r="H993" s="7">
        <f>'Option source'!B70</f>
        <v>2375</v>
      </c>
      <c r="I993" s="7"/>
      <c r="J993" s="7">
        <f t="shared" si="105"/>
        <v>-2365.2800000000002</v>
      </c>
      <c r="K993" s="7">
        <f t="shared" si="106"/>
        <v>200</v>
      </c>
      <c r="L993" s="7">
        <f t="shared" si="107"/>
        <v>2565.2800000000002</v>
      </c>
      <c r="M993" s="7" t="str">
        <f t="shared" si="108"/>
        <v>Unlimited</v>
      </c>
      <c r="N993" s="7" t="str">
        <f t="shared" si="109"/>
        <v>n.a.</v>
      </c>
      <c r="O993" s="7">
        <f t="shared" si="110"/>
        <v>7365.2800000000007</v>
      </c>
      <c r="P993" s="15" t="str">
        <f t="shared" si="111"/>
        <v>n.a.</v>
      </c>
      <c r="Q993" s="7">
        <f>J993*'Model inputs'!$B$8</f>
        <v>-236528.00000000003</v>
      </c>
      <c r="R993" s="1" t="s">
        <v>164</v>
      </c>
      <c r="S993" s="1">
        <v>48</v>
      </c>
      <c r="T993" s="1">
        <v>65</v>
      </c>
    </row>
    <row r="994" spans="1:20" ht="21" customHeight="1">
      <c r="A994" s="8">
        <v>46267</v>
      </c>
      <c r="B994" s="1" t="s">
        <v>36</v>
      </c>
      <c r="C994" s="1" t="s">
        <v>87</v>
      </c>
      <c r="D994" s="7">
        <v>4400</v>
      </c>
      <c r="E994" s="7">
        <v>4600</v>
      </c>
      <c r="F994" s="7"/>
      <c r="G994" s="7">
        <f>'Option source'!B34</f>
        <v>2849.09</v>
      </c>
      <c r="H994" s="7">
        <f>'Option source'!B53</f>
        <v>2384.7199999999998</v>
      </c>
      <c r="I994" s="7"/>
      <c r="J994" s="7">
        <f t="shared" si="105"/>
        <v>-1920.3499999999995</v>
      </c>
      <c r="K994" s="7">
        <f t="shared" si="106"/>
        <v>200</v>
      </c>
      <c r="L994" s="7">
        <f t="shared" si="107"/>
        <v>2120.3499999999995</v>
      </c>
      <c r="M994" s="7" t="str">
        <f t="shared" si="108"/>
        <v>Unlimited</v>
      </c>
      <c r="N994" s="7" t="str">
        <f t="shared" si="109"/>
        <v>n.a.</v>
      </c>
      <c r="O994" s="7">
        <f t="shared" si="110"/>
        <v>6720.3499999999995</v>
      </c>
      <c r="P994" s="15" t="str">
        <f t="shared" si="111"/>
        <v>n.a.</v>
      </c>
      <c r="Q994" s="7">
        <f>J994*'Model inputs'!$B$8</f>
        <v>-192034.99999999994</v>
      </c>
      <c r="R994" s="1" t="s">
        <v>164</v>
      </c>
      <c r="S994" s="1">
        <v>29</v>
      </c>
      <c r="T994" s="1">
        <v>48</v>
      </c>
    </row>
    <row r="995" spans="1:20" ht="21" customHeight="1">
      <c r="A995" s="8">
        <v>46267</v>
      </c>
      <c r="B995" s="1" t="s">
        <v>36</v>
      </c>
      <c r="C995" s="1" t="s">
        <v>87</v>
      </c>
      <c r="D995" s="7">
        <v>4200</v>
      </c>
      <c r="E995" s="7">
        <v>4400</v>
      </c>
      <c r="F995" s="7"/>
      <c r="G995" s="7">
        <f>'Option source'!B15</f>
        <v>3017.35</v>
      </c>
      <c r="H995" s="7">
        <f>'Option source'!B34</f>
        <v>2849.09</v>
      </c>
      <c r="I995" s="7"/>
      <c r="J995" s="7">
        <f t="shared" si="105"/>
        <v>-2680.8300000000004</v>
      </c>
      <c r="K995" s="7">
        <f t="shared" si="106"/>
        <v>200</v>
      </c>
      <c r="L995" s="7">
        <f t="shared" si="107"/>
        <v>2880.8300000000004</v>
      </c>
      <c r="M995" s="7" t="str">
        <f t="shared" si="108"/>
        <v>Unlimited</v>
      </c>
      <c r="N995" s="7" t="str">
        <f t="shared" si="109"/>
        <v>n.a.</v>
      </c>
      <c r="O995" s="7">
        <f t="shared" si="110"/>
        <v>7280.83</v>
      </c>
      <c r="P995" s="15" t="str">
        <f t="shared" si="111"/>
        <v>n.a.</v>
      </c>
      <c r="Q995" s="7">
        <f>J995*'Model inputs'!$B$8</f>
        <v>-268083.00000000006</v>
      </c>
      <c r="R995" s="1" t="s">
        <v>164</v>
      </c>
      <c r="S995" s="1">
        <v>10</v>
      </c>
      <c r="T995" s="1">
        <v>29</v>
      </c>
    </row>
    <row r="996" spans="1:20" ht="21" customHeight="1">
      <c r="A996" s="8">
        <v>46266</v>
      </c>
      <c r="B996" s="1" t="s">
        <v>34</v>
      </c>
      <c r="C996" s="1" t="s">
        <v>87</v>
      </c>
      <c r="D996" s="7">
        <v>6800</v>
      </c>
      <c r="E996" s="7">
        <v>7000</v>
      </c>
      <c r="F996" s="7">
        <v>7200</v>
      </c>
      <c r="G996" s="7">
        <f>'Option source'!B247</f>
        <v>688.81</v>
      </c>
      <c r="H996" s="7">
        <f>'Option source'!B266</f>
        <v>562.73</v>
      </c>
      <c r="I996" s="7">
        <f>'Option source'!B285</f>
        <v>464.15</v>
      </c>
      <c r="J996" s="7">
        <f t="shared" si="105"/>
        <v>27.499999999999886</v>
      </c>
      <c r="K996" s="7">
        <f t="shared" si="106"/>
        <v>200</v>
      </c>
      <c r="L996" s="7">
        <f t="shared" si="107"/>
        <v>172.50000000000011</v>
      </c>
      <c r="M996" s="7">
        <f t="shared" si="108"/>
        <v>27.499999999999886</v>
      </c>
      <c r="N996" s="7">
        <f t="shared" si="109"/>
        <v>6827.5</v>
      </c>
      <c r="O996" s="7">
        <f t="shared" si="110"/>
        <v>7172.5</v>
      </c>
      <c r="P996" s="15">
        <f t="shared" si="111"/>
        <v>6.2727272727273027</v>
      </c>
      <c r="Q996" s="7">
        <f>J996*'Model inputs'!$B$8</f>
        <v>2749.9999999999886</v>
      </c>
      <c r="R996" s="1" t="s">
        <v>162</v>
      </c>
      <c r="S996" s="1">
        <v>242</v>
      </c>
      <c r="T996" s="1">
        <v>261</v>
      </c>
    </row>
    <row r="997" spans="1:20" ht="21" customHeight="1">
      <c r="A997" s="8">
        <v>46266</v>
      </c>
      <c r="B997" s="1" t="s">
        <v>34</v>
      </c>
      <c r="C997" s="1" t="s">
        <v>90</v>
      </c>
      <c r="D997" s="7">
        <v>6800</v>
      </c>
      <c r="E997" s="7">
        <v>7000</v>
      </c>
      <c r="F997" s="7">
        <v>7200</v>
      </c>
      <c r="G997" s="7">
        <f>'Option source'!B741</f>
        <v>251.94</v>
      </c>
      <c r="H997" s="7">
        <f>'Option source'!B760</f>
        <v>334.82</v>
      </c>
      <c r="I997" s="7">
        <f>'Option source'!B779</f>
        <v>431.34</v>
      </c>
      <c r="J997" s="7">
        <f t="shared" si="105"/>
        <v>13.639999999999986</v>
      </c>
      <c r="K997" s="7">
        <f t="shared" si="106"/>
        <v>200</v>
      </c>
      <c r="L997" s="7">
        <f t="shared" si="107"/>
        <v>186.36</v>
      </c>
      <c r="M997" s="7">
        <f t="shared" si="108"/>
        <v>13.639999999999986</v>
      </c>
      <c r="N997" s="7">
        <f t="shared" si="109"/>
        <v>6813.64</v>
      </c>
      <c r="O997" s="7">
        <f t="shared" si="110"/>
        <v>7186.36</v>
      </c>
      <c r="P997" s="15">
        <f t="shared" si="111"/>
        <v>13.662756598240485</v>
      </c>
      <c r="Q997" s="7">
        <f>J997*'Model inputs'!$B$8</f>
        <v>1363.9999999999986</v>
      </c>
      <c r="R997" s="1" t="s">
        <v>162</v>
      </c>
      <c r="S997" s="1">
        <v>736</v>
      </c>
      <c r="T997" s="1">
        <v>755</v>
      </c>
    </row>
    <row r="998" spans="1:20" ht="21" customHeight="1">
      <c r="A998" s="8">
        <v>46266</v>
      </c>
      <c r="B998" s="1" t="s">
        <v>34</v>
      </c>
      <c r="C998" s="1" t="s">
        <v>87</v>
      </c>
      <c r="D998" s="7">
        <v>7000</v>
      </c>
      <c r="E998" s="7">
        <v>7200</v>
      </c>
      <c r="F998" s="7">
        <v>7400</v>
      </c>
      <c r="G998" s="7">
        <f>'Option source'!B266</f>
        <v>562.73</v>
      </c>
      <c r="H998" s="7">
        <f>'Option source'!B285</f>
        <v>464.15</v>
      </c>
      <c r="I998" s="7">
        <f>'Option source'!B304</f>
        <v>372.77</v>
      </c>
      <c r="J998" s="7">
        <f t="shared" si="105"/>
        <v>7.2000000000000455</v>
      </c>
      <c r="K998" s="7">
        <f t="shared" si="106"/>
        <v>200</v>
      </c>
      <c r="L998" s="7">
        <f t="shared" si="107"/>
        <v>192.79999999999995</v>
      </c>
      <c r="M998" s="7">
        <f t="shared" si="108"/>
        <v>7.2000000000000455</v>
      </c>
      <c r="N998" s="7">
        <f t="shared" si="109"/>
        <v>7007.2</v>
      </c>
      <c r="O998" s="7">
        <f t="shared" si="110"/>
        <v>7392.8</v>
      </c>
      <c r="P998" s="15">
        <f t="shared" si="111"/>
        <v>26.777777777777601</v>
      </c>
      <c r="Q998" s="7">
        <f>J998*'Model inputs'!$B$8</f>
        <v>720.00000000000455</v>
      </c>
      <c r="R998" s="1" t="s">
        <v>162</v>
      </c>
      <c r="S998" s="1">
        <v>261</v>
      </c>
      <c r="T998" s="1">
        <v>280</v>
      </c>
    </row>
    <row r="999" spans="1:20" ht="21" customHeight="1">
      <c r="A999" s="8">
        <v>46266</v>
      </c>
      <c r="B999" s="1" t="s">
        <v>34</v>
      </c>
      <c r="C999" s="1" t="s">
        <v>90</v>
      </c>
      <c r="D999" s="7">
        <v>7000</v>
      </c>
      <c r="E999" s="7">
        <v>7200</v>
      </c>
      <c r="F999" s="7">
        <v>7400</v>
      </c>
      <c r="G999" s="7">
        <f>'Option source'!B760</f>
        <v>334.82</v>
      </c>
      <c r="H999" s="7">
        <f>'Option source'!B779</f>
        <v>431.34</v>
      </c>
      <c r="I999" s="7">
        <f>'Option source'!B798</f>
        <v>538.73</v>
      </c>
      <c r="J999" s="7">
        <f t="shared" si="105"/>
        <v>10.870000000000118</v>
      </c>
      <c r="K999" s="7">
        <f t="shared" si="106"/>
        <v>200</v>
      </c>
      <c r="L999" s="7">
        <f t="shared" si="107"/>
        <v>189.12999999999988</v>
      </c>
      <c r="M999" s="7">
        <f t="shared" si="108"/>
        <v>10.870000000000118</v>
      </c>
      <c r="N999" s="7">
        <f t="shared" si="109"/>
        <v>7010.87</v>
      </c>
      <c r="O999" s="7">
        <f t="shared" si="110"/>
        <v>7389.13</v>
      </c>
      <c r="P999" s="15">
        <f t="shared" si="111"/>
        <v>17.399264029438623</v>
      </c>
      <c r="Q999" s="7">
        <f>J999*'Model inputs'!$B$8</f>
        <v>1087.0000000000118</v>
      </c>
      <c r="R999" s="1" t="s">
        <v>162</v>
      </c>
      <c r="S999" s="1">
        <v>755</v>
      </c>
      <c r="T999" s="1">
        <v>774</v>
      </c>
    </row>
    <row r="1000" spans="1:20" ht="21" customHeight="1">
      <c r="A1000" s="8">
        <v>46266</v>
      </c>
      <c r="B1000" s="1" t="s">
        <v>34</v>
      </c>
      <c r="C1000" s="1" t="s">
        <v>90</v>
      </c>
      <c r="D1000" s="7">
        <v>6600</v>
      </c>
      <c r="E1000" s="7">
        <v>6800</v>
      </c>
      <c r="F1000" s="7">
        <v>7000</v>
      </c>
      <c r="G1000" s="7">
        <f>'Option source'!B722</f>
        <v>178.65</v>
      </c>
      <c r="H1000" s="7">
        <f>'Option source'!B741</f>
        <v>251.94</v>
      </c>
      <c r="I1000" s="7">
        <f>'Option source'!B760</f>
        <v>334.82</v>
      </c>
      <c r="J1000" s="7">
        <f t="shared" si="105"/>
        <v>9.589999999999975</v>
      </c>
      <c r="K1000" s="7">
        <f t="shared" si="106"/>
        <v>200</v>
      </c>
      <c r="L1000" s="7">
        <f t="shared" si="107"/>
        <v>190.41000000000003</v>
      </c>
      <c r="M1000" s="7">
        <f t="shared" si="108"/>
        <v>9.589999999999975</v>
      </c>
      <c r="N1000" s="7">
        <f t="shared" si="109"/>
        <v>6609.59</v>
      </c>
      <c r="O1000" s="7">
        <f t="shared" si="110"/>
        <v>6990.41</v>
      </c>
      <c r="P1000" s="15">
        <f t="shared" si="111"/>
        <v>19.855057351407769</v>
      </c>
      <c r="Q1000" s="7">
        <f>J1000*'Model inputs'!$B$8</f>
        <v>958.9999999999975</v>
      </c>
      <c r="R1000" s="1" t="s">
        <v>162</v>
      </c>
      <c r="S1000" s="1">
        <v>717</v>
      </c>
      <c r="T1000" s="1">
        <v>736</v>
      </c>
    </row>
    <row r="1001" spans="1:20" ht="21" customHeight="1">
      <c r="A1001" s="8">
        <v>46266</v>
      </c>
      <c r="B1001" s="1" t="s">
        <v>34</v>
      </c>
      <c r="C1001" s="1" t="s">
        <v>87</v>
      </c>
      <c r="D1001" s="7">
        <v>7200</v>
      </c>
      <c r="E1001" s="7">
        <v>7400</v>
      </c>
      <c r="F1001" s="7">
        <v>7600</v>
      </c>
      <c r="G1001" s="7">
        <f>'Option source'!B285</f>
        <v>464.15</v>
      </c>
      <c r="H1001" s="7">
        <f>'Option source'!B304</f>
        <v>372.77</v>
      </c>
      <c r="I1001" s="7">
        <f>'Option source'!B323</f>
        <v>295.41000000000003</v>
      </c>
      <c r="J1001" s="7">
        <f t="shared" si="105"/>
        <v>14.020000000000039</v>
      </c>
      <c r="K1001" s="7">
        <f t="shared" si="106"/>
        <v>200</v>
      </c>
      <c r="L1001" s="7">
        <f t="shared" si="107"/>
        <v>185.97999999999996</v>
      </c>
      <c r="M1001" s="7">
        <f t="shared" si="108"/>
        <v>14.020000000000039</v>
      </c>
      <c r="N1001" s="7">
        <f t="shared" si="109"/>
        <v>7214.02</v>
      </c>
      <c r="O1001" s="7">
        <f t="shared" si="110"/>
        <v>7585.98</v>
      </c>
      <c r="P1001" s="15">
        <f t="shared" si="111"/>
        <v>13.265335235377991</v>
      </c>
      <c r="Q1001" s="7">
        <f>J1001*'Model inputs'!$B$8</f>
        <v>1402.0000000000039</v>
      </c>
      <c r="R1001" s="1" t="s">
        <v>162</v>
      </c>
      <c r="S1001" s="1">
        <v>280</v>
      </c>
      <c r="T1001" s="1">
        <v>299</v>
      </c>
    </row>
    <row r="1002" spans="1:20" ht="21" customHeight="1">
      <c r="A1002" s="8">
        <v>46266</v>
      </c>
      <c r="B1002" s="1" t="s">
        <v>34</v>
      </c>
      <c r="C1002" s="1" t="s">
        <v>90</v>
      </c>
      <c r="D1002" s="7">
        <v>7200</v>
      </c>
      <c r="E1002" s="7">
        <v>7400</v>
      </c>
      <c r="F1002" s="7">
        <v>7600</v>
      </c>
      <c r="G1002" s="7">
        <f>'Option source'!B779</f>
        <v>431.34</v>
      </c>
      <c r="H1002" s="7">
        <f>'Option source'!B798</f>
        <v>538.73</v>
      </c>
      <c r="I1002" s="7">
        <f>'Option source'!B817</f>
        <v>660.35</v>
      </c>
      <c r="J1002" s="7">
        <f t="shared" si="105"/>
        <v>14.229999999999905</v>
      </c>
      <c r="K1002" s="7">
        <f t="shared" si="106"/>
        <v>200</v>
      </c>
      <c r="L1002" s="7">
        <f t="shared" si="107"/>
        <v>185.7700000000001</v>
      </c>
      <c r="M1002" s="7">
        <f t="shared" si="108"/>
        <v>14.229999999999905</v>
      </c>
      <c r="N1002" s="7">
        <f t="shared" si="109"/>
        <v>7214.23</v>
      </c>
      <c r="O1002" s="7">
        <f t="shared" si="110"/>
        <v>7585.77</v>
      </c>
      <c r="P1002" s="15">
        <f t="shared" si="111"/>
        <v>13.054813773717592</v>
      </c>
      <c r="Q1002" s="7">
        <f>J1002*'Model inputs'!$B$8</f>
        <v>1422.9999999999905</v>
      </c>
      <c r="R1002" s="1" t="s">
        <v>162</v>
      </c>
      <c r="S1002" s="1">
        <v>774</v>
      </c>
      <c r="T1002" s="1">
        <v>793</v>
      </c>
    </row>
    <row r="1003" spans="1:20" ht="21" customHeight="1">
      <c r="A1003" s="8">
        <v>46266</v>
      </c>
      <c r="B1003" s="1" t="s">
        <v>34</v>
      </c>
      <c r="C1003" s="1" t="s">
        <v>90</v>
      </c>
      <c r="D1003" s="7">
        <v>6400</v>
      </c>
      <c r="E1003" s="7">
        <v>6600</v>
      </c>
      <c r="F1003" s="7">
        <v>6800</v>
      </c>
      <c r="G1003" s="7">
        <f>'Option source'!B703</f>
        <v>127.45</v>
      </c>
      <c r="H1003" s="7">
        <f>'Option source'!B722</f>
        <v>178.65</v>
      </c>
      <c r="I1003" s="7">
        <f>'Option source'!B741</f>
        <v>251.94</v>
      </c>
      <c r="J1003" s="7">
        <f t="shared" si="105"/>
        <v>22.089999999999975</v>
      </c>
      <c r="K1003" s="7">
        <f t="shared" si="106"/>
        <v>200</v>
      </c>
      <c r="L1003" s="7">
        <f t="shared" si="107"/>
        <v>177.91000000000003</v>
      </c>
      <c r="M1003" s="7">
        <f t="shared" si="108"/>
        <v>22.089999999999975</v>
      </c>
      <c r="N1003" s="7">
        <f t="shared" si="109"/>
        <v>6422.09</v>
      </c>
      <c r="O1003" s="7">
        <f t="shared" si="110"/>
        <v>6777.91</v>
      </c>
      <c r="P1003" s="15">
        <f t="shared" si="111"/>
        <v>8.0538705296514355</v>
      </c>
      <c r="Q1003" s="7">
        <f>J1003*'Model inputs'!$B$8</f>
        <v>2208.9999999999973</v>
      </c>
      <c r="R1003" s="1" t="s">
        <v>162</v>
      </c>
      <c r="S1003" s="1">
        <v>698</v>
      </c>
      <c r="T1003" s="1">
        <v>717</v>
      </c>
    </row>
    <row r="1004" spans="1:20" ht="21" customHeight="1">
      <c r="A1004" s="8">
        <v>46266</v>
      </c>
      <c r="B1004" s="1" t="s">
        <v>34</v>
      </c>
      <c r="C1004" s="1" t="s">
        <v>87</v>
      </c>
      <c r="D1004" s="7">
        <v>7400</v>
      </c>
      <c r="E1004" s="7">
        <v>7600</v>
      </c>
      <c r="F1004" s="7">
        <v>7800</v>
      </c>
      <c r="G1004" s="7">
        <f>'Option source'!B304</f>
        <v>372.77</v>
      </c>
      <c r="H1004" s="7">
        <f>'Option source'!B323</f>
        <v>295.41000000000003</v>
      </c>
      <c r="I1004" s="7">
        <f>'Option source'!B342</f>
        <v>232.85</v>
      </c>
      <c r="J1004" s="7">
        <f t="shared" si="105"/>
        <v>14.799999999999926</v>
      </c>
      <c r="K1004" s="7">
        <f t="shared" si="106"/>
        <v>200</v>
      </c>
      <c r="L1004" s="7">
        <f t="shared" si="107"/>
        <v>185.20000000000007</v>
      </c>
      <c r="M1004" s="7">
        <f t="shared" si="108"/>
        <v>14.799999999999926</v>
      </c>
      <c r="N1004" s="7">
        <f t="shared" si="109"/>
        <v>7414.8</v>
      </c>
      <c r="O1004" s="7">
        <f t="shared" si="110"/>
        <v>7785.2</v>
      </c>
      <c r="P1004" s="15">
        <f t="shared" si="111"/>
        <v>12.513513513513582</v>
      </c>
      <c r="Q1004" s="7">
        <f>J1004*'Model inputs'!$B$8</f>
        <v>1479.9999999999927</v>
      </c>
      <c r="R1004" s="1" t="s">
        <v>162</v>
      </c>
      <c r="S1004" s="1">
        <v>299</v>
      </c>
      <c r="T1004" s="1">
        <v>318</v>
      </c>
    </row>
    <row r="1005" spans="1:20" ht="21" customHeight="1">
      <c r="A1005" s="8">
        <v>46266</v>
      </c>
      <c r="B1005" s="1" t="s">
        <v>34</v>
      </c>
      <c r="C1005" s="1" t="s">
        <v>90</v>
      </c>
      <c r="D1005" s="7">
        <v>7400</v>
      </c>
      <c r="E1005" s="7">
        <v>7600</v>
      </c>
      <c r="F1005" s="7">
        <v>7800</v>
      </c>
      <c r="G1005" s="7">
        <f>'Option source'!B798</f>
        <v>538.73</v>
      </c>
      <c r="H1005" s="7">
        <f>'Option source'!B817</f>
        <v>660.35</v>
      </c>
      <c r="I1005" s="7">
        <f>'Option source'!B836</f>
        <v>798.65</v>
      </c>
      <c r="J1005" s="7">
        <f t="shared" si="105"/>
        <v>16.67999999999995</v>
      </c>
      <c r="K1005" s="7">
        <f t="shared" si="106"/>
        <v>200</v>
      </c>
      <c r="L1005" s="7">
        <f t="shared" si="107"/>
        <v>183.32000000000005</v>
      </c>
      <c r="M1005" s="7">
        <f t="shared" si="108"/>
        <v>16.67999999999995</v>
      </c>
      <c r="N1005" s="7">
        <f t="shared" si="109"/>
        <v>7416.68</v>
      </c>
      <c r="O1005" s="7">
        <f t="shared" si="110"/>
        <v>7783.32</v>
      </c>
      <c r="P1005" s="15">
        <f t="shared" si="111"/>
        <v>10.990407673860947</v>
      </c>
      <c r="Q1005" s="7">
        <f>J1005*'Model inputs'!$B$8</f>
        <v>1667.999999999995</v>
      </c>
      <c r="R1005" s="1" t="s">
        <v>162</v>
      </c>
      <c r="S1005" s="1">
        <v>793</v>
      </c>
      <c r="T1005" s="1">
        <v>812</v>
      </c>
    </row>
    <row r="1006" spans="1:20" ht="21" customHeight="1">
      <c r="A1006" s="8">
        <v>46266</v>
      </c>
      <c r="B1006" s="1" t="s">
        <v>34</v>
      </c>
      <c r="C1006" s="1" t="s">
        <v>90</v>
      </c>
      <c r="D1006" s="7">
        <v>6200</v>
      </c>
      <c r="E1006" s="7">
        <v>6400</v>
      </c>
      <c r="F1006" s="7">
        <v>6600</v>
      </c>
      <c r="G1006" s="7">
        <f>'Option source'!B684</f>
        <v>85.04</v>
      </c>
      <c r="H1006" s="7">
        <f>'Option source'!B703</f>
        <v>127.45</v>
      </c>
      <c r="I1006" s="7">
        <f>'Option source'!B722</f>
        <v>178.65</v>
      </c>
      <c r="J1006" s="7">
        <f t="shared" si="105"/>
        <v>8.789999999999992</v>
      </c>
      <c r="K1006" s="7">
        <f t="shared" si="106"/>
        <v>200</v>
      </c>
      <c r="L1006" s="7">
        <f t="shared" si="107"/>
        <v>191.21</v>
      </c>
      <c r="M1006" s="7">
        <f t="shared" si="108"/>
        <v>8.789999999999992</v>
      </c>
      <c r="N1006" s="7">
        <f t="shared" si="109"/>
        <v>6208.79</v>
      </c>
      <c r="O1006" s="7">
        <f t="shared" si="110"/>
        <v>6591.21</v>
      </c>
      <c r="P1006" s="15">
        <f t="shared" si="111"/>
        <v>21.753128555176357</v>
      </c>
      <c r="Q1006" s="7">
        <f>J1006*'Model inputs'!$B$8</f>
        <v>878.9999999999992</v>
      </c>
      <c r="R1006" s="1" t="s">
        <v>162</v>
      </c>
      <c r="S1006" s="1">
        <v>679</v>
      </c>
      <c r="T1006" s="1">
        <v>698</v>
      </c>
    </row>
    <row r="1007" spans="1:20" ht="21" customHeight="1">
      <c r="A1007" s="8">
        <v>46266</v>
      </c>
      <c r="B1007" s="1" t="s">
        <v>34</v>
      </c>
      <c r="C1007" s="1" t="s">
        <v>87</v>
      </c>
      <c r="D1007" s="7">
        <v>7600</v>
      </c>
      <c r="E1007" s="7">
        <v>7800</v>
      </c>
      <c r="F1007" s="7">
        <v>8000</v>
      </c>
      <c r="G1007" s="7">
        <f>'Option source'!B323</f>
        <v>295.41000000000003</v>
      </c>
      <c r="H1007" s="7">
        <f>'Option source'!B342</f>
        <v>232.85</v>
      </c>
      <c r="I1007" s="7">
        <f>'Option source'!B361</f>
        <v>181.31</v>
      </c>
      <c r="J1007" s="7">
        <f t="shared" si="105"/>
        <v>11.020000000000039</v>
      </c>
      <c r="K1007" s="7">
        <f t="shared" si="106"/>
        <v>200</v>
      </c>
      <c r="L1007" s="7">
        <f t="shared" si="107"/>
        <v>188.97999999999996</v>
      </c>
      <c r="M1007" s="7">
        <f t="shared" si="108"/>
        <v>11.020000000000039</v>
      </c>
      <c r="N1007" s="7">
        <f t="shared" si="109"/>
        <v>7611.02</v>
      </c>
      <c r="O1007" s="7">
        <f t="shared" si="110"/>
        <v>7988.98</v>
      </c>
      <c r="P1007" s="15">
        <f t="shared" si="111"/>
        <v>17.148820326678702</v>
      </c>
      <c r="Q1007" s="7">
        <f>J1007*'Model inputs'!$B$8</f>
        <v>1102.0000000000039</v>
      </c>
      <c r="R1007" s="1" t="s">
        <v>162</v>
      </c>
      <c r="S1007" s="1">
        <v>318</v>
      </c>
      <c r="T1007" s="1">
        <v>337</v>
      </c>
    </row>
    <row r="1008" spans="1:20" ht="21" customHeight="1">
      <c r="A1008" s="8">
        <v>46266</v>
      </c>
      <c r="B1008" s="1" t="s">
        <v>34</v>
      </c>
      <c r="C1008" s="1" t="s">
        <v>90</v>
      </c>
      <c r="D1008" s="7">
        <v>7600</v>
      </c>
      <c r="E1008" s="7">
        <v>7800</v>
      </c>
      <c r="F1008" s="7">
        <v>8000</v>
      </c>
      <c r="G1008" s="7">
        <f>'Option source'!B817</f>
        <v>660.35</v>
      </c>
      <c r="H1008" s="7">
        <f>'Option source'!B836</f>
        <v>798.65</v>
      </c>
      <c r="I1008" s="7">
        <f>'Option source'!B855</f>
        <v>960</v>
      </c>
      <c r="J1008" s="7">
        <f t="shared" si="105"/>
        <v>23.050000000000068</v>
      </c>
      <c r="K1008" s="7">
        <f t="shared" si="106"/>
        <v>200</v>
      </c>
      <c r="L1008" s="7">
        <f t="shared" si="107"/>
        <v>176.94999999999993</v>
      </c>
      <c r="M1008" s="7">
        <f t="shared" si="108"/>
        <v>23.050000000000068</v>
      </c>
      <c r="N1008" s="7">
        <f t="shared" si="109"/>
        <v>7623.05</v>
      </c>
      <c r="O1008" s="7">
        <f t="shared" si="110"/>
        <v>7976.95</v>
      </c>
      <c r="P1008" s="15">
        <f t="shared" si="111"/>
        <v>7.6767895878524692</v>
      </c>
      <c r="Q1008" s="7">
        <f>J1008*'Model inputs'!$B$8</f>
        <v>2305.0000000000068</v>
      </c>
      <c r="R1008" s="1" t="s">
        <v>162</v>
      </c>
      <c r="S1008" s="1">
        <v>812</v>
      </c>
      <c r="T1008" s="1">
        <v>831</v>
      </c>
    </row>
    <row r="1009" spans="1:20" ht="21" customHeight="1">
      <c r="A1009" s="8">
        <v>46266</v>
      </c>
      <c r="B1009" s="1" t="s">
        <v>34</v>
      </c>
      <c r="C1009" s="1" t="s">
        <v>90</v>
      </c>
      <c r="D1009" s="7">
        <v>6000</v>
      </c>
      <c r="E1009" s="7">
        <v>6200</v>
      </c>
      <c r="F1009" s="7">
        <v>6400</v>
      </c>
      <c r="G1009" s="7">
        <f>'Option source'!B665</f>
        <v>56.43</v>
      </c>
      <c r="H1009" s="7">
        <f>'Option source'!B684</f>
        <v>85.04</v>
      </c>
      <c r="I1009" s="7">
        <f>'Option source'!B703</f>
        <v>127.45</v>
      </c>
      <c r="J1009" s="7">
        <f t="shared" si="105"/>
        <v>13.799999999999997</v>
      </c>
      <c r="K1009" s="7">
        <f t="shared" si="106"/>
        <v>200</v>
      </c>
      <c r="L1009" s="7">
        <f t="shared" si="107"/>
        <v>186.2</v>
      </c>
      <c r="M1009" s="7">
        <f t="shared" si="108"/>
        <v>13.799999999999997</v>
      </c>
      <c r="N1009" s="7">
        <f t="shared" si="109"/>
        <v>6013.8</v>
      </c>
      <c r="O1009" s="7">
        <f t="shared" si="110"/>
        <v>6386.2</v>
      </c>
      <c r="P1009" s="15">
        <f t="shared" si="111"/>
        <v>13.492753623188408</v>
      </c>
      <c r="Q1009" s="7">
        <f>J1009*'Model inputs'!$B$8</f>
        <v>1379.9999999999998</v>
      </c>
      <c r="R1009" s="1" t="s">
        <v>162</v>
      </c>
      <c r="S1009" s="1">
        <v>660</v>
      </c>
      <c r="T1009" s="1">
        <v>679</v>
      </c>
    </row>
    <row r="1010" spans="1:20" ht="21" customHeight="1">
      <c r="A1010" s="8">
        <v>46266</v>
      </c>
      <c r="B1010" s="1" t="s">
        <v>34</v>
      </c>
      <c r="C1010" s="1" t="s">
        <v>90</v>
      </c>
      <c r="D1010" s="7">
        <v>5800</v>
      </c>
      <c r="E1010" s="7">
        <v>6000</v>
      </c>
      <c r="F1010" s="7">
        <v>6200</v>
      </c>
      <c r="G1010" s="7">
        <f>'Option source'!B646</f>
        <v>33.950000000000003</v>
      </c>
      <c r="H1010" s="7">
        <f>'Option source'!B665</f>
        <v>56.43</v>
      </c>
      <c r="I1010" s="7">
        <f>'Option source'!B684</f>
        <v>85.04</v>
      </c>
      <c r="J1010" s="7">
        <f t="shared" si="105"/>
        <v>6.1300000000000097</v>
      </c>
      <c r="K1010" s="7">
        <f t="shared" si="106"/>
        <v>200</v>
      </c>
      <c r="L1010" s="7">
        <f t="shared" si="107"/>
        <v>193.87</v>
      </c>
      <c r="M1010" s="7">
        <f t="shared" si="108"/>
        <v>6.1300000000000097</v>
      </c>
      <c r="N1010" s="7">
        <f t="shared" si="109"/>
        <v>5806.13</v>
      </c>
      <c r="O1010" s="7">
        <f t="shared" si="110"/>
        <v>6193.87</v>
      </c>
      <c r="P1010" s="15">
        <f t="shared" si="111"/>
        <v>31.626427406198971</v>
      </c>
      <c r="Q1010" s="7">
        <f>J1010*'Model inputs'!$B$8</f>
        <v>613.00000000000091</v>
      </c>
      <c r="R1010" s="1" t="s">
        <v>162</v>
      </c>
      <c r="S1010" s="1">
        <v>641</v>
      </c>
      <c r="T1010" s="1">
        <v>660</v>
      </c>
    </row>
    <row r="1011" spans="1:20" ht="21" customHeight="1">
      <c r="A1011" s="8">
        <v>46266</v>
      </c>
      <c r="B1011" s="1" t="s">
        <v>34</v>
      </c>
      <c r="C1011" s="1" t="s">
        <v>87</v>
      </c>
      <c r="D1011" s="7">
        <v>8000</v>
      </c>
      <c r="E1011" s="7">
        <v>8300</v>
      </c>
      <c r="F1011" s="7">
        <v>8600</v>
      </c>
      <c r="G1011" s="7">
        <f>'Option source'!B361</f>
        <v>181.31</v>
      </c>
      <c r="H1011" s="7">
        <f>'Option source'!B380</f>
        <v>117.76</v>
      </c>
      <c r="I1011" s="7">
        <f>'Option source'!B399</f>
        <v>73.38</v>
      </c>
      <c r="J1011" s="7">
        <f t="shared" si="105"/>
        <v>19.169999999999987</v>
      </c>
      <c r="K1011" s="7">
        <f t="shared" si="106"/>
        <v>300</v>
      </c>
      <c r="L1011" s="7">
        <f t="shared" si="107"/>
        <v>280.83000000000004</v>
      </c>
      <c r="M1011" s="7">
        <f t="shared" si="108"/>
        <v>19.169999999999987</v>
      </c>
      <c r="N1011" s="7">
        <f t="shared" si="109"/>
        <v>8019.17</v>
      </c>
      <c r="O1011" s="7">
        <f t="shared" si="110"/>
        <v>8580.83</v>
      </c>
      <c r="P1011" s="15">
        <f t="shared" si="111"/>
        <v>14.64945226917059</v>
      </c>
      <c r="Q1011" s="7">
        <f>J1011*'Model inputs'!$B$8</f>
        <v>1916.9999999999986</v>
      </c>
      <c r="R1011" s="1" t="s">
        <v>162</v>
      </c>
      <c r="S1011" s="1">
        <v>356</v>
      </c>
      <c r="T1011" s="1">
        <v>375</v>
      </c>
    </row>
    <row r="1012" spans="1:20" ht="21" customHeight="1">
      <c r="A1012" s="8">
        <v>46266</v>
      </c>
      <c r="B1012" s="1" t="s">
        <v>34</v>
      </c>
      <c r="C1012" s="1" t="s">
        <v>90</v>
      </c>
      <c r="D1012" s="7">
        <v>5600</v>
      </c>
      <c r="E1012" s="7">
        <v>5800</v>
      </c>
      <c r="F1012" s="7">
        <v>6000</v>
      </c>
      <c r="G1012" s="7">
        <f>'Option source'!B627</f>
        <v>20.3</v>
      </c>
      <c r="H1012" s="7">
        <f>'Option source'!B646</f>
        <v>33.950000000000003</v>
      </c>
      <c r="I1012" s="7">
        <f>'Option source'!B665</f>
        <v>56.43</v>
      </c>
      <c r="J1012" s="7">
        <f t="shared" si="105"/>
        <v>8.8299999999999912</v>
      </c>
      <c r="K1012" s="7">
        <f t="shared" si="106"/>
        <v>200</v>
      </c>
      <c r="L1012" s="7">
        <f t="shared" si="107"/>
        <v>191.17000000000002</v>
      </c>
      <c r="M1012" s="7">
        <f t="shared" si="108"/>
        <v>8.8299999999999912</v>
      </c>
      <c r="N1012" s="7">
        <f t="shared" si="109"/>
        <v>5608.83</v>
      </c>
      <c r="O1012" s="7">
        <f t="shared" si="110"/>
        <v>5991.17</v>
      </c>
      <c r="P1012" s="15">
        <f t="shared" si="111"/>
        <v>21.650056625141588</v>
      </c>
      <c r="Q1012" s="7">
        <f>J1012*'Model inputs'!$B$8</f>
        <v>882.99999999999909</v>
      </c>
      <c r="R1012" s="1" t="s">
        <v>162</v>
      </c>
      <c r="S1012" s="1">
        <v>622</v>
      </c>
      <c r="T1012" s="1">
        <v>641</v>
      </c>
    </row>
    <row r="1013" spans="1:20" ht="21" customHeight="1">
      <c r="A1013" s="8">
        <v>46266</v>
      </c>
      <c r="B1013" s="1" t="s">
        <v>34</v>
      </c>
      <c r="C1013" s="1" t="s">
        <v>90</v>
      </c>
      <c r="D1013" s="7">
        <v>5400</v>
      </c>
      <c r="E1013" s="7">
        <v>5600</v>
      </c>
      <c r="F1013" s="7">
        <v>5800</v>
      </c>
      <c r="G1013" s="7">
        <f>'Option source'!B608</f>
        <v>11.07</v>
      </c>
      <c r="H1013" s="7">
        <f>'Option source'!B627</f>
        <v>20.3</v>
      </c>
      <c r="I1013" s="7">
        <f>'Option source'!B646</f>
        <v>33.950000000000003</v>
      </c>
      <c r="J1013" s="7">
        <f t="shared" si="105"/>
        <v>4.4200000000000017</v>
      </c>
      <c r="K1013" s="7">
        <f t="shared" si="106"/>
        <v>200</v>
      </c>
      <c r="L1013" s="7">
        <f t="shared" si="107"/>
        <v>195.57999999999998</v>
      </c>
      <c r="M1013" s="7">
        <f t="shared" si="108"/>
        <v>4.4200000000000017</v>
      </c>
      <c r="N1013" s="7">
        <f t="shared" si="109"/>
        <v>5404.42</v>
      </c>
      <c r="O1013" s="7">
        <f t="shared" si="110"/>
        <v>5795.58</v>
      </c>
      <c r="P1013" s="15">
        <f t="shared" si="111"/>
        <v>44.248868778280524</v>
      </c>
      <c r="Q1013" s="7">
        <f>J1013*'Model inputs'!$B$8</f>
        <v>442.00000000000017</v>
      </c>
      <c r="R1013" s="1" t="s">
        <v>162</v>
      </c>
      <c r="S1013" s="1">
        <v>603</v>
      </c>
      <c r="T1013" s="1">
        <v>622</v>
      </c>
    </row>
    <row r="1014" spans="1:20" ht="21" customHeight="1">
      <c r="A1014" s="8">
        <v>46266</v>
      </c>
      <c r="B1014" s="1" t="s">
        <v>34</v>
      </c>
      <c r="C1014" s="1" t="s">
        <v>87</v>
      </c>
      <c r="D1014" s="7">
        <v>8300</v>
      </c>
      <c r="E1014" s="7">
        <v>8600</v>
      </c>
      <c r="F1014" s="7">
        <v>8900</v>
      </c>
      <c r="G1014" s="7">
        <f>'Option source'!B380</f>
        <v>117.76</v>
      </c>
      <c r="H1014" s="7">
        <f>'Option source'!B399</f>
        <v>73.38</v>
      </c>
      <c r="I1014" s="7">
        <f>'Option source'!B418</f>
        <v>45.91</v>
      </c>
      <c r="J1014" s="7">
        <f t="shared" si="105"/>
        <v>16.910000000000011</v>
      </c>
      <c r="K1014" s="7">
        <f t="shared" si="106"/>
        <v>300</v>
      </c>
      <c r="L1014" s="7">
        <f t="shared" si="107"/>
        <v>283.08999999999997</v>
      </c>
      <c r="M1014" s="7">
        <f t="shared" si="108"/>
        <v>16.910000000000011</v>
      </c>
      <c r="N1014" s="7">
        <f t="shared" si="109"/>
        <v>8316.91</v>
      </c>
      <c r="O1014" s="7">
        <f t="shared" si="110"/>
        <v>8883.09</v>
      </c>
      <c r="P1014" s="15">
        <f t="shared" si="111"/>
        <v>16.740981667652264</v>
      </c>
      <c r="Q1014" s="7">
        <f>J1014*'Model inputs'!$B$8</f>
        <v>1691.0000000000011</v>
      </c>
      <c r="R1014" s="1" t="s">
        <v>162</v>
      </c>
      <c r="S1014" s="1">
        <v>375</v>
      </c>
      <c r="T1014" s="1">
        <v>394</v>
      </c>
    </row>
    <row r="1015" spans="1:20" ht="21" customHeight="1">
      <c r="A1015" s="8">
        <v>46266</v>
      </c>
      <c r="B1015" s="1" t="s">
        <v>34</v>
      </c>
      <c r="C1015" s="1" t="s">
        <v>90</v>
      </c>
      <c r="D1015" s="7">
        <v>5200</v>
      </c>
      <c r="E1015" s="7">
        <v>5400</v>
      </c>
      <c r="F1015" s="7">
        <v>5600</v>
      </c>
      <c r="G1015" s="7">
        <f>'Option source'!B589</f>
        <v>6.67</v>
      </c>
      <c r="H1015" s="7">
        <f>'Option source'!B608</f>
        <v>11.07</v>
      </c>
      <c r="I1015" s="7">
        <f>'Option source'!B627</f>
        <v>20.3</v>
      </c>
      <c r="J1015" s="7">
        <f t="shared" si="105"/>
        <v>4.83</v>
      </c>
      <c r="K1015" s="7">
        <f t="shared" si="106"/>
        <v>200</v>
      </c>
      <c r="L1015" s="7">
        <f t="shared" si="107"/>
        <v>195.17</v>
      </c>
      <c r="M1015" s="7">
        <f t="shared" si="108"/>
        <v>4.83</v>
      </c>
      <c r="N1015" s="7">
        <f t="shared" si="109"/>
        <v>5204.83</v>
      </c>
      <c r="O1015" s="7">
        <f t="shared" si="110"/>
        <v>5595.17</v>
      </c>
      <c r="P1015" s="15">
        <f t="shared" si="111"/>
        <v>40.407867494824011</v>
      </c>
      <c r="Q1015" s="7">
        <f>J1015*'Model inputs'!$B$8</f>
        <v>483</v>
      </c>
      <c r="R1015" s="1" t="s">
        <v>162</v>
      </c>
      <c r="S1015" s="1">
        <v>584</v>
      </c>
      <c r="T1015" s="1">
        <v>603</v>
      </c>
    </row>
    <row r="1016" spans="1:20" ht="21" customHeight="1">
      <c r="A1016" s="8">
        <v>46266</v>
      </c>
      <c r="B1016" s="1" t="s">
        <v>34</v>
      </c>
      <c r="C1016" s="1" t="s">
        <v>87</v>
      </c>
      <c r="D1016" s="7">
        <v>8600</v>
      </c>
      <c r="E1016" s="7">
        <v>8900</v>
      </c>
      <c r="F1016" s="7">
        <v>9200</v>
      </c>
      <c r="G1016" s="7">
        <f>'Option source'!B399</f>
        <v>73.38</v>
      </c>
      <c r="H1016" s="7">
        <f>'Option source'!B418</f>
        <v>45.91</v>
      </c>
      <c r="I1016" s="7">
        <f>'Option source'!B437</f>
        <v>29.8</v>
      </c>
      <c r="J1016" s="7">
        <f t="shared" si="105"/>
        <v>11.360000000000003</v>
      </c>
      <c r="K1016" s="7">
        <f t="shared" si="106"/>
        <v>300</v>
      </c>
      <c r="L1016" s="7">
        <f t="shared" si="107"/>
        <v>288.64</v>
      </c>
      <c r="M1016" s="7">
        <f t="shared" si="108"/>
        <v>11.360000000000003</v>
      </c>
      <c r="N1016" s="7">
        <f t="shared" si="109"/>
        <v>8611.36</v>
      </c>
      <c r="O1016" s="7">
        <f t="shared" si="110"/>
        <v>9188.64</v>
      </c>
      <c r="P1016" s="15">
        <f t="shared" si="111"/>
        <v>25.408450704225345</v>
      </c>
      <c r="Q1016" s="7">
        <f>J1016*'Model inputs'!$B$8</f>
        <v>1136.0000000000002</v>
      </c>
      <c r="R1016" s="1" t="s">
        <v>162</v>
      </c>
      <c r="S1016" s="1">
        <v>394</v>
      </c>
      <c r="T1016" s="1">
        <v>413</v>
      </c>
    </row>
    <row r="1017" spans="1:20" ht="21" customHeight="1">
      <c r="A1017" s="8">
        <v>46266</v>
      </c>
      <c r="B1017" s="1" t="s">
        <v>34</v>
      </c>
      <c r="C1017" s="1" t="s">
        <v>90</v>
      </c>
      <c r="D1017" s="7">
        <v>5000</v>
      </c>
      <c r="E1017" s="7">
        <v>5200</v>
      </c>
      <c r="F1017" s="7">
        <v>5400</v>
      </c>
      <c r="G1017" s="7">
        <f>'Option source'!B570</f>
        <v>3.51</v>
      </c>
      <c r="H1017" s="7">
        <f>'Option source'!B589</f>
        <v>6.67</v>
      </c>
      <c r="I1017" s="7">
        <f>'Option source'!B608</f>
        <v>11.07</v>
      </c>
      <c r="J1017" s="7">
        <f t="shared" si="105"/>
        <v>1.2400000000000002</v>
      </c>
      <c r="K1017" s="7">
        <f t="shared" si="106"/>
        <v>200</v>
      </c>
      <c r="L1017" s="7">
        <f t="shared" si="107"/>
        <v>198.76</v>
      </c>
      <c r="M1017" s="7">
        <f t="shared" si="108"/>
        <v>1.2400000000000002</v>
      </c>
      <c r="N1017" s="7">
        <f t="shared" si="109"/>
        <v>5001.24</v>
      </c>
      <c r="O1017" s="7">
        <f t="shared" si="110"/>
        <v>5398.76</v>
      </c>
      <c r="P1017" s="15">
        <f t="shared" si="111"/>
        <v>160.29032258064512</v>
      </c>
      <c r="Q1017" s="7">
        <f>J1017*'Model inputs'!$B$8</f>
        <v>124.00000000000003</v>
      </c>
      <c r="R1017" s="1" t="s">
        <v>162</v>
      </c>
      <c r="S1017" s="1">
        <v>565</v>
      </c>
      <c r="T1017" s="1">
        <v>584</v>
      </c>
    </row>
    <row r="1018" spans="1:20" ht="21" customHeight="1">
      <c r="A1018" s="8">
        <v>46266</v>
      </c>
      <c r="B1018" s="1" t="s">
        <v>34</v>
      </c>
      <c r="C1018" s="1" t="s">
        <v>90</v>
      </c>
      <c r="D1018" s="7">
        <v>4800</v>
      </c>
      <c r="E1018" s="7">
        <v>5000</v>
      </c>
      <c r="F1018" s="7">
        <v>5200</v>
      </c>
      <c r="G1018" s="7">
        <f>'Option source'!B551</f>
        <v>2.89</v>
      </c>
      <c r="H1018" s="7">
        <f>'Option source'!B570</f>
        <v>3.51</v>
      </c>
      <c r="I1018" s="7">
        <f>'Option source'!B589</f>
        <v>6.67</v>
      </c>
      <c r="J1018" s="7">
        <f t="shared" si="105"/>
        <v>2.5400000000000009</v>
      </c>
      <c r="K1018" s="7">
        <f t="shared" si="106"/>
        <v>200</v>
      </c>
      <c r="L1018" s="7">
        <f t="shared" si="107"/>
        <v>197.46</v>
      </c>
      <c r="M1018" s="7">
        <f t="shared" si="108"/>
        <v>2.5400000000000009</v>
      </c>
      <c r="N1018" s="7">
        <f t="shared" si="109"/>
        <v>4802.54</v>
      </c>
      <c r="O1018" s="7">
        <f t="shared" si="110"/>
        <v>5197.46</v>
      </c>
      <c r="P1018" s="15">
        <f t="shared" si="111"/>
        <v>77.740157480314934</v>
      </c>
      <c r="Q1018" s="7">
        <f>J1018*'Model inputs'!$B$8</f>
        <v>254.00000000000009</v>
      </c>
      <c r="R1018" s="1" t="s">
        <v>162</v>
      </c>
      <c r="S1018" s="1">
        <v>546</v>
      </c>
      <c r="T1018" s="1">
        <v>565</v>
      </c>
    </row>
    <row r="1019" spans="1:20" ht="21" customHeight="1">
      <c r="A1019" s="8">
        <v>46266</v>
      </c>
      <c r="B1019" s="1" t="s">
        <v>34</v>
      </c>
      <c r="C1019" s="1" t="s">
        <v>87</v>
      </c>
      <c r="D1019" s="7">
        <v>8900</v>
      </c>
      <c r="E1019" s="7">
        <v>9200</v>
      </c>
      <c r="F1019" s="7">
        <v>9500</v>
      </c>
      <c r="G1019" s="7">
        <f>'Option source'!B418</f>
        <v>45.91</v>
      </c>
      <c r="H1019" s="7">
        <f>'Option source'!B437</f>
        <v>29.8</v>
      </c>
      <c r="I1019" s="7">
        <f>'Option source'!B456</f>
        <v>19.03</v>
      </c>
      <c r="J1019" s="7">
        <f t="shared" si="105"/>
        <v>5.3399999999999963</v>
      </c>
      <c r="K1019" s="7">
        <f t="shared" si="106"/>
        <v>300</v>
      </c>
      <c r="L1019" s="7">
        <f t="shared" si="107"/>
        <v>294.66000000000003</v>
      </c>
      <c r="M1019" s="7">
        <f t="shared" si="108"/>
        <v>5.3399999999999963</v>
      </c>
      <c r="N1019" s="7">
        <f t="shared" si="109"/>
        <v>8905.34</v>
      </c>
      <c r="O1019" s="7">
        <f t="shared" si="110"/>
        <v>9494.66</v>
      </c>
      <c r="P1019" s="15">
        <f t="shared" si="111"/>
        <v>55.179775280898916</v>
      </c>
      <c r="Q1019" s="7">
        <f>J1019*'Model inputs'!$B$8</f>
        <v>533.99999999999966</v>
      </c>
      <c r="R1019" s="1" t="s">
        <v>162</v>
      </c>
      <c r="S1019" s="1">
        <v>413</v>
      </c>
      <c r="T1019" s="1">
        <v>432</v>
      </c>
    </row>
    <row r="1020" spans="1:20" ht="21" customHeight="1">
      <c r="A1020" s="8">
        <v>46266</v>
      </c>
      <c r="B1020" s="1" t="s">
        <v>34</v>
      </c>
      <c r="C1020" s="1" t="s">
        <v>90</v>
      </c>
      <c r="D1020" s="7">
        <v>4400</v>
      </c>
      <c r="E1020" s="7">
        <v>4600</v>
      </c>
      <c r="F1020" s="7">
        <v>4800</v>
      </c>
      <c r="G1020" s="7">
        <f>'Option source'!B513</f>
        <v>1.22</v>
      </c>
      <c r="H1020" s="7">
        <f>'Option source'!B532</f>
        <v>1.53</v>
      </c>
      <c r="I1020" s="7">
        <f>'Option source'!B551</f>
        <v>2.89</v>
      </c>
      <c r="J1020" s="7">
        <f t="shared" si="105"/>
        <v>1.05</v>
      </c>
      <c r="K1020" s="7">
        <f t="shared" si="106"/>
        <v>200</v>
      </c>
      <c r="L1020" s="7">
        <f t="shared" si="107"/>
        <v>198.95</v>
      </c>
      <c r="M1020" s="7">
        <f t="shared" si="108"/>
        <v>1.05</v>
      </c>
      <c r="N1020" s="7">
        <f t="shared" si="109"/>
        <v>4401.05</v>
      </c>
      <c r="O1020" s="7">
        <f t="shared" si="110"/>
        <v>4798.95</v>
      </c>
      <c r="P1020" s="15">
        <f t="shared" si="111"/>
        <v>189.47619047619045</v>
      </c>
      <c r="Q1020" s="7">
        <f>J1020*'Model inputs'!$B$8</f>
        <v>105</v>
      </c>
      <c r="R1020" s="1" t="s">
        <v>162</v>
      </c>
      <c r="S1020" s="1">
        <v>508</v>
      </c>
      <c r="T1020" s="1">
        <v>527</v>
      </c>
    </row>
    <row r="1021" spans="1:20" ht="21" customHeight="1">
      <c r="A1021" s="8">
        <v>46266</v>
      </c>
      <c r="B1021" s="1" t="s">
        <v>34</v>
      </c>
      <c r="C1021" s="1" t="s">
        <v>90</v>
      </c>
      <c r="D1021" s="7">
        <v>4200</v>
      </c>
      <c r="E1021" s="7">
        <v>4400</v>
      </c>
      <c r="F1021" s="7">
        <v>4600</v>
      </c>
      <c r="G1021" s="7">
        <f>'Option source'!B494</f>
        <v>0.97</v>
      </c>
      <c r="H1021" s="7">
        <f>'Option source'!B513</f>
        <v>1.22</v>
      </c>
      <c r="I1021" s="7">
        <f>'Option source'!B532</f>
        <v>1.53</v>
      </c>
      <c r="J1021" s="7">
        <f t="shared" si="105"/>
        <v>6.0000000000000053E-2</v>
      </c>
      <c r="K1021" s="7">
        <f t="shared" si="106"/>
        <v>200</v>
      </c>
      <c r="L1021" s="7">
        <f t="shared" si="107"/>
        <v>199.94</v>
      </c>
      <c r="M1021" s="7">
        <f t="shared" si="108"/>
        <v>6.0000000000000053E-2</v>
      </c>
      <c r="N1021" s="7">
        <f t="shared" si="109"/>
        <v>4200.0600000000004</v>
      </c>
      <c r="O1021" s="7">
        <f t="shared" si="110"/>
        <v>4599.9399999999996</v>
      </c>
      <c r="P1021" s="15">
        <f t="shared" si="111"/>
        <v>3332.3333333333303</v>
      </c>
      <c r="Q1021" s="7">
        <f>J1021*'Model inputs'!$B$8</f>
        <v>6.0000000000000053</v>
      </c>
      <c r="R1021" s="1" t="s">
        <v>162</v>
      </c>
      <c r="S1021" s="1">
        <v>489</v>
      </c>
      <c r="T1021" s="1">
        <v>508</v>
      </c>
    </row>
    <row r="1022" spans="1:20" ht="21" customHeight="1">
      <c r="A1022" s="8">
        <v>46266</v>
      </c>
      <c r="B1022" s="1" t="s">
        <v>34</v>
      </c>
      <c r="C1022" s="1" t="s">
        <v>87</v>
      </c>
      <c r="D1022" s="7">
        <v>6600</v>
      </c>
      <c r="E1022" s="7">
        <v>6800</v>
      </c>
      <c r="F1022" s="7">
        <v>7000</v>
      </c>
      <c r="G1022" s="7">
        <f>'Option source'!B228</f>
        <v>808.51</v>
      </c>
      <c r="H1022" s="7">
        <f>'Option source'!B247</f>
        <v>688.81</v>
      </c>
      <c r="I1022" s="7">
        <f>'Option source'!B266</f>
        <v>562.73</v>
      </c>
      <c r="J1022" s="7">
        <f t="shared" si="105"/>
        <v>-6.3799999999998818</v>
      </c>
      <c r="K1022" s="7">
        <f t="shared" si="106"/>
        <v>200</v>
      </c>
      <c r="L1022" s="7">
        <f t="shared" si="107"/>
        <v>206.37999999999988</v>
      </c>
      <c r="M1022" s="7">
        <f t="shared" si="108"/>
        <v>0</v>
      </c>
      <c r="N1022" s="7" t="str">
        <f t="shared" si="109"/>
        <v>n.a.</v>
      </c>
      <c r="O1022" s="7" t="str">
        <f t="shared" si="110"/>
        <v>n.a.</v>
      </c>
      <c r="P1022" s="15" t="str">
        <f t="shared" si="111"/>
        <v>n.a.</v>
      </c>
      <c r="Q1022" s="7">
        <f>J1022*'Model inputs'!$B$8</f>
        <v>-637.99999999998818</v>
      </c>
      <c r="R1022" s="1" t="s">
        <v>163</v>
      </c>
      <c r="S1022" s="1">
        <v>223</v>
      </c>
      <c r="T1022" s="1">
        <v>242</v>
      </c>
    </row>
    <row r="1023" spans="1:20" ht="21" customHeight="1">
      <c r="A1023" s="8">
        <v>46266</v>
      </c>
      <c r="B1023" s="1" t="s">
        <v>34</v>
      </c>
      <c r="C1023" s="1" t="s">
        <v>87</v>
      </c>
      <c r="D1023" s="7">
        <v>6400</v>
      </c>
      <c r="E1023" s="7">
        <v>6600</v>
      </c>
      <c r="F1023" s="7">
        <v>6800</v>
      </c>
      <c r="G1023" s="7">
        <f>'Option source'!B209</f>
        <v>909.97</v>
      </c>
      <c r="H1023" s="7">
        <f>'Option source'!B228</f>
        <v>808.51</v>
      </c>
      <c r="I1023" s="7">
        <f>'Option source'!B247</f>
        <v>688.81</v>
      </c>
      <c r="J1023" s="7">
        <f t="shared" si="105"/>
        <v>-18.240000000000009</v>
      </c>
      <c r="K1023" s="7">
        <f t="shared" si="106"/>
        <v>200</v>
      </c>
      <c r="L1023" s="7">
        <f t="shared" si="107"/>
        <v>218.24</v>
      </c>
      <c r="M1023" s="7">
        <f t="shared" si="108"/>
        <v>0</v>
      </c>
      <c r="N1023" s="7" t="str">
        <f t="shared" si="109"/>
        <v>n.a.</v>
      </c>
      <c r="O1023" s="7" t="str">
        <f t="shared" si="110"/>
        <v>n.a.</v>
      </c>
      <c r="P1023" s="15" t="str">
        <f t="shared" si="111"/>
        <v>n.a.</v>
      </c>
      <c r="Q1023" s="7">
        <f>J1023*'Model inputs'!$B$8</f>
        <v>-1824.0000000000009</v>
      </c>
      <c r="R1023" s="1" t="s">
        <v>163</v>
      </c>
      <c r="S1023" s="1">
        <v>204</v>
      </c>
      <c r="T1023" s="1">
        <v>223</v>
      </c>
    </row>
    <row r="1024" spans="1:20" ht="21" customHeight="1">
      <c r="A1024" s="8">
        <v>46266</v>
      </c>
      <c r="B1024" s="1" t="s">
        <v>34</v>
      </c>
      <c r="C1024" s="1" t="s">
        <v>87</v>
      </c>
      <c r="D1024" s="7">
        <v>6200</v>
      </c>
      <c r="E1024" s="7">
        <v>6400</v>
      </c>
      <c r="F1024" s="7">
        <v>6600</v>
      </c>
      <c r="G1024" s="7">
        <f>'Option source'!B190</f>
        <v>1069</v>
      </c>
      <c r="H1024" s="7">
        <f>'Option source'!B209</f>
        <v>909.97</v>
      </c>
      <c r="I1024" s="7">
        <f>'Option source'!B228</f>
        <v>808.51</v>
      </c>
      <c r="J1024" s="7">
        <f t="shared" si="105"/>
        <v>57.569999999999936</v>
      </c>
      <c r="K1024" s="7">
        <f t="shared" si="106"/>
        <v>200</v>
      </c>
      <c r="L1024" s="7">
        <f t="shared" si="107"/>
        <v>142.43000000000006</v>
      </c>
      <c r="M1024" s="7">
        <f t="shared" si="108"/>
        <v>57.569999999999936</v>
      </c>
      <c r="N1024" s="7">
        <f t="shared" si="109"/>
        <v>6257.57</v>
      </c>
      <c r="O1024" s="7">
        <f t="shared" si="110"/>
        <v>6542.43</v>
      </c>
      <c r="P1024" s="15">
        <f t="shared" si="111"/>
        <v>2.4740316136876883</v>
      </c>
      <c r="Q1024" s="7">
        <f>J1024*'Model inputs'!$B$8</f>
        <v>5756.9999999999936</v>
      </c>
      <c r="R1024" s="1" t="s">
        <v>164</v>
      </c>
      <c r="S1024" s="1">
        <v>185</v>
      </c>
      <c r="T1024" s="1">
        <v>204</v>
      </c>
    </row>
    <row r="1025" spans="1:20" ht="21" customHeight="1">
      <c r="A1025" s="8">
        <v>46266</v>
      </c>
      <c r="B1025" s="1" t="s">
        <v>34</v>
      </c>
      <c r="C1025" s="1" t="s">
        <v>87</v>
      </c>
      <c r="D1025" s="7">
        <v>6000</v>
      </c>
      <c r="E1025" s="7">
        <v>6200</v>
      </c>
      <c r="F1025" s="7">
        <v>6400</v>
      </c>
      <c r="G1025" s="7">
        <f>'Option source'!B171</f>
        <v>1200</v>
      </c>
      <c r="H1025" s="7">
        <f>'Option source'!B190</f>
        <v>1069</v>
      </c>
      <c r="I1025" s="7">
        <f>'Option source'!B209</f>
        <v>909.97</v>
      </c>
      <c r="J1025" s="7">
        <f t="shared" si="105"/>
        <v>-28.029999999999973</v>
      </c>
      <c r="K1025" s="7">
        <f t="shared" si="106"/>
        <v>200</v>
      </c>
      <c r="L1025" s="7">
        <f t="shared" si="107"/>
        <v>228.02999999999997</v>
      </c>
      <c r="M1025" s="7">
        <f t="shared" si="108"/>
        <v>0</v>
      </c>
      <c r="N1025" s="7" t="str">
        <f t="shared" si="109"/>
        <v>n.a.</v>
      </c>
      <c r="O1025" s="7" t="str">
        <f t="shared" si="110"/>
        <v>n.a.</v>
      </c>
      <c r="P1025" s="15" t="str">
        <f t="shared" si="111"/>
        <v>n.a.</v>
      </c>
      <c r="Q1025" s="7">
        <f>J1025*'Model inputs'!$B$8</f>
        <v>-2802.9999999999973</v>
      </c>
      <c r="R1025" s="1" t="s">
        <v>163</v>
      </c>
      <c r="S1025" s="1">
        <v>166</v>
      </c>
      <c r="T1025" s="1">
        <v>185</v>
      </c>
    </row>
    <row r="1026" spans="1:20" ht="21" customHeight="1">
      <c r="A1026" s="8">
        <v>46266</v>
      </c>
      <c r="B1026" s="1" t="s">
        <v>34</v>
      </c>
      <c r="C1026" s="1" t="s">
        <v>90</v>
      </c>
      <c r="D1026" s="7">
        <v>8000</v>
      </c>
      <c r="E1026" s="7">
        <v>8300</v>
      </c>
      <c r="F1026" s="7">
        <v>8600</v>
      </c>
      <c r="G1026" s="7">
        <f>'Option source'!B855</f>
        <v>960</v>
      </c>
      <c r="H1026" s="7">
        <f>'Option source'!B874</f>
        <v>1260</v>
      </c>
      <c r="I1026" s="7">
        <f>'Option source'!B893</f>
        <v>1650</v>
      </c>
      <c r="J1026" s="7">
        <f t="shared" si="105"/>
        <v>90</v>
      </c>
      <c r="K1026" s="7">
        <f t="shared" si="106"/>
        <v>300</v>
      </c>
      <c r="L1026" s="7">
        <f t="shared" si="107"/>
        <v>210</v>
      </c>
      <c r="M1026" s="7">
        <f t="shared" si="108"/>
        <v>90</v>
      </c>
      <c r="N1026" s="7">
        <f t="shared" si="109"/>
        <v>8090</v>
      </c>
      <c r="O1026" s="7">
        <f t="shared" si="110"/>
        <v>8510</v>
      </c>
      <c r="P1026" s="15">
        <f t="shared" si="111"/>
        <v>2.3333333333333335</v>
      </c>
      <c r="Q1026" s="7">
        <f>J1026*'Model inputs'!$B$8</f>
        <v>9000</v>
      </c>
      <c r="R1026" s="1" t="s">
        <v>164</v>
      </c>
      <c r="S1026" s="1">
        <v>850</v>
      </c>
      <c r="T1026" s="1">
        <v>869</v>
      </c>
    </row>
    <row r="1027" spans="1:20" ht="21" customHeight="1">
      <c r="A1027" s="8">
        <v>46266</v>
      </c>
      <c r="B1027" s="1" t="s">
        <v>34</v>
      </c>
      <c r="C1027" s="1" t="s">
        <v>90</v>
      </c>
      <c r="D1027" s="7">
        <v>8300</v>
      </c>
      <c r="E1027" s="7">
        <v>8600</v>
      </c>
      <c r="F1027" s="7">
        <v>8900</v>
      </c>
      <c r="G1027" s="7">
        <f>'Option source'!B874</f>
        <v>1260</v>
      </c>
      <c r="H1027" s="7">
        <f>'Option source'!B893</f>
        <v>1650</v>
      </c>
      <c r="I1027" s="7">
        <f>'Option source'!B908</f>
        <v>2022.5</v>
      </c>
      <c r="J1027" s="7">
        <f t="shared" si="105"/>
        <v>-17.5</v>
      </c>
      <c r="K1027" s="7">
        <f t="shared" si="106"/>
        <v>300</v>
      </c>
      <c r="L1027" s="7">
        <f t="shared" si="107"/>
        <v>317.5</v>
      </c>
      <c r="M1027" s="7">
        <f t="shared" si="108"/>
        <v>0</v>
      </c>
      <c r="N1027" s="7" t="str">
        <f t="shared" si="109"/>
        <v>n.a.</v>
      </c>
      <c r="O1027" s="7" t="str">
        <f t="shared" si="110"/>
        <v>n.a.</v>
      </c>
      <c r="P1027" s="15" t="str">
        <f t="shared" si="111"/>
        <v>n.a.</v>
      </c>
      <c r="Q1027" s="7">
        <f>J1027*'Model inputs'!$B$8</f>
        <v>-1750</v>
      </c>
      <c r="R1027" s="1" t="s">
        <v>163</v>
      </c>
      <c r="S1027" s="1">
        <v>869</v>
      </c>
      <c r="T1027" s="1">
        <v>888</v>
      </c>
    </row>
    <row r="1028" spans="1:20" ht="21" customHeight="1">
      <c r="A1028" s="8">
        <v>46266</v>
      </c>
      <c r="B1028" s="1" t="s">
        <v>34</v>
      </c>
      <c r="C1028" s="1" t="s">
        <v>87</v>
      </c>
      <c r="D1028" s="7">
        <v>5200</v>
      </c>
      <c r="E1028" s="7">
        <v>5400</v>
      </c>
      <c r="F1028" s="7">
        <v>5600</v>
      </c>
      <c r="G1028" s="7">
        <f>'Option source'!B105</f>
        <v>1991.75</v>
      </c>
      <c r="H1028" s="7">
        <f>'Option source'!B124</f>
        <v>1790</v>
      </c>
      <c r="I1028" s="7">
        <f>'Option source'!B142</f>
        <v>1600</v>
      </c>
      <c r="J1028" s="7">
        <f t="shared" si="105"/>
        <v>11.75</v>
      </c>
      <c r="K1028" s="7">
        <f t="shared" si="106"/>
        <v>200</v>
      </c>
      <c r="L1028" s="7">
        <f t="shared" si="107"/>
        <v>188.25</v>
      </c>
      <c r="M1028" s="7">
        <f t="shared" si="108"/>
        <v>11.75</v>
      </c>
      <c r="N1028" s="7">
        <f t="shared" si="109"/>
        <v>5211.75</v>
      </c>
      <c r="O1028" s="7">
        <f t="shared" si="110"/>
        <v>5588.25</v>
      </c>
      <c r="P1028" s="15">
        <f t="shared" si="111"/>
        <v>16.021276595744681</v>
      </c>
      <c r="Q1028" s="7">
        <f>J1028*'Model inputs'!$B$8</f>
        <v>1175</v>
      </c>
      <c r="R1028" s="1" t="s">
        <v>164</v>
      </c>
      <c r="S1028" s="1">
        <v>100</v>
      </c>
      <c r="T1028" s="1">
        <v>119</v>
      </c>
    </row>
    <row r="1029" spans="1:20" ht="21" customHeight="1">
      <c r="A1029" s="8">
        <v>46266</v>
      </c>
      <c r="B1029" s="1" t="s">
        <v>34</v>
      </c>
      <c r="C1029" s="1" t="s">
        <v>87</v>
      </c>
      <c r="D1029" s="7">
        <v>5000</v>
      </c>
      <c r="E1029" s="7">
        <v>5200</v>
      </c>
      <c r="F1029" s="7">
        <v>5400</v>
      </c>
      <c r="G1029" s="7">
        <f>'Option source'!B86</f>
        <v>2180</v>
      </c>
      <c r="H1029" s="7">
        <f>'Option source'!B105</f>
        <v>1991.75</v>
      </c>
      <c r="I1029" s="7">
        <f>'Option source'!B124</f>
        <v>1790</v>
      </c>
      <c r="J1029" s="7">
        <f t="shared" si="105"/>
        <v>-13.5</v>
      </c>
      <c r="K1029" s="7">
        <f t="shared" si="106"/>
        <v>200</v>
      </c>
      <c r="L1029" s="7">
        <f t="shared" si="107"/>
        <v>213.5</v>
      </c>
      <c r="M1029" s="7">
        <f t="shared" si="108"/>
        <v>0</v>
      </c>
      <c r="N1029" s="7" t="str">
        <f t="shared" si="109"/>
        <v>n.a.</v>
      </c>
      <c r="O1029" s="7" t="str">
        <f t="shared" si="110"/>
        <v>n.a.</v>
      </c>
      <c r="P1029" s="15" t="str">
        <f t="shared" si="111"/>
        <v>n.a.</v>
      </c>
      <c r="Q1029" s="7">
        <f>J1029*'Model inputs'!$B$8</f>
        <v>-1350</v>
      </c>
      <c r="R1029" s="1" t="s">
        <v>163</v>
      </c>
      <c r="S1029" s="1">
        <v>81</v>
      </c>
      <c r="T1029" s="1">
        <v>100</v>
      </c>
    </row>
    <row r="1030" spans="1:20" ht="21" customHeight="1">
      <c r="A1030" s="8">
        <v>46266</v>
      </c>
      <c r="B1030" s="1" t="s">
        <v>34</v>
      </c>
      <c r="C1030" s="1" t="s">
        <v>87</v>
      </c>
      <c r="D1030" s="7">
        <v>4800</v>
      </c>
      <c r="E1030" s="7">
        <v>5000</v>
      </c>
      <c r="F1030" s="7">
        <v>5200</v>
      </c>
      <c r="G1030" s="7">
        <f>'Option source'!B69</f>
        <v>2375</v>
      </c>
      <c r="H1030" s="7">
        <f>'Option source'!B86</f>
        <v>2180</v>
      </c>
      <c r="I1030" s="7">
        <f>'Option source'!B105</f>
        <v>1991.75</v>
      </c>
      <c r="J1030" s="7">
        <f t="shared" si="105"/>
        <v>6.75</v>
      </c>
      <c r="K1030" s="7">
        <f t="shared" si="106"/>
        <v>200</v>
      </c>
      <c r="L1030" s="7">
        <f t="shared" si="107"/>
        <v>193.25</v>
      </c>
      <c r="M1030" s="7">
        <f t="shared" si="108"/>
        <v>6.75</v>
      </c>
      <c r="N1030" s="7">
        <f t="shared" si="109"/>
        <v>4806.75</v>
      </c>
      <c r="O1030" s="7">
        <f t="shared" si="110"/>
        <v>5193.25</v>
      </c>
      <c r="P1030" s="15">
        <f t="shared" si="111"/>
        <v>28.62962962962963</v>
      </c>
      <c r="Q1030" s="7">
        <f>J1030*'Model inputs'!$B$8</f>
        <v>675</v>
      </c>
      <c r="R1030" s="1" t="s">
        <v>164</v>
      </c>
      <c r="S1030" s="1">
        <v>64</v>
      </c>
      <c r="T1030" s="1">
        <v>81</v>
      </c>
    </row>
    <row r="1031" spans="1:20" ht="21" customHeight="1">
      <c r="A1031" s="8">
        <v>46266</v>
      </c>
      <c r="B1031" s="1" t="s">
        <v>34</v>
      </c>
      <c r="C1031" s="1" t="s">
        <v>87</v>
      </c>
      <c r="D1031" s="7">
        <v>4600</v>
      </c>
      <c r="E1031" s="7">
        <v>4800</v>
      </c>
      <c r="F1031" s="7">
        <v>5000</v>
      </c>
      <c r="G1031" s="7">
        <f>'Option source'!B52</f>
        <v>2384.7199999999998</v>
      </c>
      <c r="H1031" s="7">
        <f>'Option source'!B69</f>
        <v>2375</v>
      </c>
      <c r="I1031" s="7">
        <f>'Option source'!B86</f>
        <v>2180</v>
      </c>
      <c r="J1031" s="7">
        <f t="shared" ref="J1031:J1094" si="112">G1031-2*H1031+IF(B1031="Butterfly",I1031,0)</f>
        <v>-185.2800000000002</v>
      </c>
      <c r="K1031" s="7">
        <f t="shared" ref="K1031:K1094" si="113">ABS(E1031-D1031)</f>
        <v>200</v>
      </c>
      <c r="L1031" s="7">
        <f t="shared" ref="L1031:L1094" si="114">K1031-J1031</f>
        <v>385.2800000000002</v>
      </c>
      <c r="M1031" s="7">
        <f t="shared" ref="M1031:M1094" si="115">IF(B1031="Butterfly",MAX(J1031,0),IF(C1031="call","Unlimited",MAX(2*E1031-D1031+J1031,J1031,0)))</f>
        <v>0</v>
      </c>
      <c r="N1031" s="7" t="str">
        <f t="shared" ref="N1031:N1094" si="116">IF(B1031="Butterfly",IF(AND(J1031&gt;0,J1031&lt;K1031),D1031+J1031,"n.a."),IF(C1031="call",IF(AND(J1031&gt;0,J1031&lt;K1031),D1031+J1031,"n.a."),IF(AND(K1031&gt;J1031,2*E1031-D1031+J1031&gt;=0),2*E1031-D1031+J1031,"n.a.")))</f>
        <v>n.a.</v>
      </c>
      <c r="O1031" s="7" t="str">
        <f t="shared" ref="O1031:O1094" si="117">IF(B1031="Butterfly",IF(AND(J1031&gt;0,J1031&lt;K1031),F1031-J1031,"n.a."),IF(C1031="call",IF(K1031&gt;J1031,2*E1031-D1031-J1031,"n.a."),IF(AND(J1031&gt;0,J1031&lt;K1031),D1031-J1031,"n.a.")))</f>
        <v>n.a.</v>
      </c>
      <c r="P1031" s="15" t="str">
        <f t="shared" ref="P1031:P1094" si="118">IF(AND(B1031="Butterfly",J1031&gt;0,J1031&lt;K1031),L1031/J1031,"n.a.")</f>
        <v>n.a.</v>
      </c>
      <c r="Q1031" s="7">
        <f>J1031*'Model inputs'!$B$8</f>
        <v>-18528.000000000022</v>
      </c>
      <c r="R1031" s="1" t="s">
        <v>163</v>
      </c>
      <c r="S1031" s="1">
        <v>47</v>
      </c>
      <c r="T1031" s="1">
        <v>64</v>
      </c>
    </row>
    <row r="1032" spans="1:20" ht="21" customHeight="1">
      <c r="A1032" s="8">
        <v>46266</v>
      </c>
      <c r="B1032" s="1" t="s">
        <v>34</v>
      </c>
      <c r="C1032" s="1" t="s">
        <v>90</v>
      </c>
      <c r="D1032" s="7">
        <v>4600</v>
      </c>
      <c r="E1032" s="7">
        <v>4800</v>
      </c>
      <c r="F1032" s="7">
        <v>5000</v>
      </c>
      <c r="G1032" s="7">
        <f>'Option source'!B532</f>
        <v>1.53</v>
      </c>
      <c r="H1032" s="7">
        <f>'Option source'!B551</f>
        <v>2.89</v>
      </c>
      <c r="I1032" s="7">
        <f>'Option source'!B570</f>
        <v>3.51</v>
      </c>
      <c r="J1032" s="7">
        <f t="shared" si="112"/>
        <v>-0.74000000000000021</v>
      </c>
      <c r="K1032" s="7">
        <f t="shared" si="113"/>
        <v>200</v>
      </c>
      <c r="L1032" s="7">
        <f t="shared" si="114"/>
        <v>200.74</v>
      </c>
      <c r="M1032" s="7">
        <f t="shared" si="115"/>
        <v>0</v>
      </c>
      <c r="N1032" s="7" t="str">
        <f t="shared" si="116"/>
        <v>n.a.</v>
      </c>
      <c r="O1032" s="7" t="str">
        <f t="shared" si="117"/>
        <v>n.a.</v>
      </c>
      <c r="P1032" s="15" t="str">
        <f t="shared" si="118"/>
        <v>n.a.</v>
      </c>
      <c r="Q1032" s="7">
        <f>J1032*'Model inputs'!$B$8</f>
        <v>-74.000000000000028</v>
      </c>
      <c r="R1032" s="1" t="s">
        <v>163</v>
      </c>
      <c r="S1032" s="1">
        <v>527</v>
      </c>
      <c r="T1032" s="1">
        <v>546</v>
      </c>
    </row>
    <row r="1033" spans="1:20" ht="21" customHeight="1">
      <c r="A1033" s="8">
        <v>46266</v>
      </c>
      <c r="B1033" s="1" t="s">
        <v>34</v>
      </c>
      <c r="C1033" s="1" t="s">
        <v>87</v>
      </c>
      <c r="D1033" s="7">
        <v>4400</v>
      </c>
      <c r="E1033" s="7">
        <v>4600</v>
      </c>
      <c r="F1033" s="7">
        <v>4800</v>
      </c>
      <c r="G1033" s="7">
        <f>'Option source'!B33</f>
        <v>2746.82</v>
      </c>
      <c r="H1033" s="7">
        <f>'Option source'!B52</f>
        <v>2384.7199999999998</v>
      </c>
      <c r="I1033" s="7">
        <f>'Option source'!B69</f>
        <v>2375</v>
      </c>
      <c r="J1033" s="7">
        <f t="shared" si="112"/>
        <v>352.38000000000056</v>
      </c>
      <c r="K1033" s="7">
        <f t="shared" si="113"/>
        <v>200</v>
      </c>
      <c r="L1033" s="7">
        <f t="shared" si="114"/>
        <v>-152.38000000000056</v>
      </c>
      <c r="M1033" s="7">
        <f t="shared" si="115"/>
        <v>352.38000000000056</v>
      </c>
      <c r="N1033" s="7" t="str">
        <f t="shared" si="116"/>
        <v>n.a.</v>
      </c>
      <c r="O1033" s="7" t="str">
        <f t="shared" si="117"/>
        <v>n.a.</v>
      </c>
      <c r="P1033" s="15" t="str">
        <f t="shared" si="118"/>
        <v>n.a.</v>
      </c>
      <c r="Q1033" s="7">
        <f>J1033*'Model inputs'!$B$8</f>
        <v>35238.000000000058</v>
      </c>
      <c r="R1033" s="1" t="s">
        <v>163</v>
      </c>
      <c r="S1033" s="1">
        <v>28</v>
      </c>
      <c r="T1033" s="1">
        <v>47</v>
      </c>
    </row>
    <row r="1034" spans="1:20" ht="21" customHeight="1">
      <c r="A1034" s="8">
        <v>46266</v>
      </c>
      <c r="B1034" s="1" t="s">
        <v>34</v>
      </c>
      <c r="C1034" s="1" t="s">
        <v>87</v>
      </c>
      <c r="D1034" s="7">
        <v>4200</v>
      </c>
      <c r="E1034" s="7">
        <v>4400</v>
      </c>
      <c r="F1034" s="7">
        <v>4600</v>
      </c>
      <c r="G1034" s="7">
        <f>'Option source'!B14</f>
        <v>3017.35</v>
      </c>
      <c r="H1034" s="7">
        <f>'Option source'!B33</f>
        <v>2746.82</v>
      </c>
      <c r="I1034" s="7">
        <f>'Option source'!B52</f>
        <v>2384.7199999999998</v>
      </c>
      <c r="J1034" s="7">
        <f t="shared" si="112"/>
        <v>-91.570000000000618</v>
      </c>
      <c r="K1034" s="7">
        <f t="shared" si="113"/>
        <v>200</v>
      </c>
      <c r="L1034" s="7">
        <f t="shared" si="114"/>
        <v>291.57000000000062</v>
      </c>
      <c r="M1034" s="7">
        <f t="shared" si="115"/>
        <v>0</v>
      </c>
      <c r="N1034" s="7" t="str">
        <f t="shared" si="116"/>
        <v>n.a.</v>
      </c>
      <c r="O1034" s="7" t="str">
        <f t="shared" si="117"/>
        <v>n.a.</v>
      </c>
      <c r="P1034" s="15" t="str">
        <f t="shared" si="118"/>
        <v>n.a.</v>
      </c>
      <c r="Q1034" s="7">
        <f>J1034*'Model inputs'!$B$8</f>
        <v>-9157.0000000000618</v>
      </c>
      <c r="R1034" s="1" t="s">
        <v>163</v>
      </c>
      <c r="S1034" s="1">
        <v>9</v>
      </c>
      <c r="T1034" s="1">
        <v>28</v>
      </c>
    </row>
    <row r="1035" spans="1:20" ht="21" customHeight="1">
      <c r="A1035" s="8">
        <v>46266</v>
      </c>
      <c r="B1035" s="1" t="s">
        <v>36</v>
      </c>
      <c r="C1035" s="1" t="s">
        <v>87</v>
      </c>
      <c r="D1035" s="7">
        <v>6800</v>
      </c>
      <c r="E1035" s="7">
        <v>7000</v>
      </c>
      <c r="F1035" s="7"/>
      <c r="G1035" s="7">
        <f>'Option source'!B247</f>
        <v>688.81</v>
      </c>
      <c r="H1035" s="7">
        <f>'Option source'!B266</f>
        <v>562.73</v>
      </c>
      <c r="I1035" s="7"/>
      <c r="J1035" s="7">
        <f t="shared" si="112"/>
        <v>-436.65000000000009</v>
      </c>
      <c r="K1035" s="7">
        <f t="shared" si="113"/>
        <v>200</v>
      </c>
      <c r="L1035" s="7">
        <f t="shared" si="114"/>
        <v>636.65000000000009</v>
      </c>
      <c r="M1035" s="7" t="str">
        <f t="shared" si="115"/>
        <v>Unlimited</v>
      </c>
      <c r="N1035" s="7" t="str">
        <f t="shared" si="116"/>
        <v>n.a.</v>
      </c>
      <c r="O1035" s="7">
        <f t="shared" si="117"/>
        <v>7636.65</v>
      </c>
      <c r="P1035" s="15" t="str">
        <f t="shared" si="118"/>
        <v>n.a.</v>
      </c>
      <c r="Q1035" s="7">
        <f>J1035*'Model inputs'!$B$8</f>
        <v>-43665.000000000007</v>
      </c>
      <c r="R1035" s="1" t="s">
        <v>162</v>
      </c>
      <c r="S1035" s="1">
        <v>242</v>
      </c>
      <c r="T1035" s="1">
        <v>261</v>
      </c>
    </row>
    <row r="1036" spans="1:20" ht="21" customHeight="1">
      <c r="A1036" s="8">
        <v>46266</v>
      </c>
      <c r="B1036" s="1" t="s">
        <v>36</v>
      </c>
      <c r="C1036" s="1" t="s">
        <v>90</v>
      </c>
      <c r="D1036" s="7">
        <v>7200</v>
      </c>
      <c r="E1036" s="7">
        <v>7000</v>
      </c>
      <c r="F1036" s="7"/>
      <c r="G1036" s="7">
        <f>'Option source'!B779</f>
        <v>431.34</v>
      </c>
      <c r="H1036" s="7">
        <f>'Option source'!B760</f>
        <v>334.82</v>
      </c>
      <c r="I1036" s="7"/>
      <c r="J1036" s="7">
        <f t="shared" si="112"/>
        <v>-238.3</v>
      </c>
      <c r="K1036" s="7">
        <f t="shared" si="113"/>
        <v>200</v>
      </c>
      <c r="L1036" s="7">
        <f t="shared" si="114"/>
        <v>438.3</v>
      </c>
      <c r="M1036" s="7">
        <f t="shared" si="115"/>
        <v>6561.7</v>
      </c>
      <c r="N1036" s="7">
        <f t="shared" si="116"/>
        <v>6561.7</v>
      </c>
      <c r="O1036" s="7" t="str">
        <f t="shared" si="117"/>
        <v>n.a.</v>
      </c>
      <c r="P1036" s="15" t="str">
        <f t="shared" si="118"/>
        <v>n.a.</v>
      </c>
      <c r="Q1036" s="7">
        <f>J1036*'Model inputs'!$B$8</f>
        <v>-23830</v>
      </c>
      <c r="R1036" s="1" t="s">
        <v>162</v>
      </c>
      <c r="S1036" s="1">
        <v>774</v>
      </c>
      <c r="T1036" s="1">
        <v>755</v>
      </c>
    </row>
    <row r="1037" spans="1:20" ht="21" customHeight="1">
      <c r="A1037" s="8">
        <v>46266</v>
      </c>
      <c r="B1037" s="1" t="s">
        <v>36</v>
      </c>
      <c r="C1037" s="1" t="s">
        <v>87</v>
      </c>
      <c r="D1037" s="7">
        <v>7000</v>
      </c>
      <c r="E1037" s="7">
        <v>7200</v>
      </c>
      <c r="F1037" s="7"/>
      <c r="G1037" s="7">
        <f>'Option source'!B266</f>
        <v>562.73</v>
      </c>
      <c r="H1037" s="7">
        <f>'Option source'!B285</f>
        <v>464.15</v>
      </c>
      <c r="I1037" s="7"/>
      <c r="J1037" s="7">
        <f t="shared" si="112"/>
        <v>-365.56999999999994</v>
      </c>
      <c r="K1037" s="7">
        <f t="shared" si="113"/>
        <v>200</v>
      </c>
      <c r="L1037" s="7">
        <f t="shared" si="114"/>
        <v>565.56999999999994</v>
      </c>
      <c r="M1037" s="7" t="str">
        <f t="shared" si="115"/>
        <v>Unlimited</v>
      </c>
      <c r="N1037" s="7" t="str">
        <f t="shared" si="116"/>
        <v>n.a.</v>
      </c>
      <c r="O1037" s="7">
        <f t="shared" si="117"/>
        <v>7765.57</v>
      </c>
      <c r="P1037" s="15" t="str">
        <f t="shared" si="118"/>
        <v>n.a.</v>
      </c>
      <c r="Q1037" s="7">
        <f>J1037*'Model inputs'!$B$8</f>
        <v>-36556.999999999993</v>
      </c>
      <c r="R1037" s="1" t="s">
        <v>162</v>
      </c>
      <c r="S1037" s="1">
        <v>261</v>
      </c>
      <c r="T1037" s="1">
        <v>280</v>
      </c>
    </row>
    <row r="1038" spans="1:20" ht="21" customHeight="1">
      <c r="A1038" s="8">
        <v>46266</v>
      </c>
      <c r="B1038" s="1" t="s">
        <v>36</v>
      </c>
      <c r="C1038" s="1" t="s">
        <v>90</v>
      </c>
      <c r="D1038" s="7">
        <v>7400</v>
      </c>
      <c r="E1038" s="7">
        <v>7200</v>
      </c>
      <c r="F1038" s="7"/>
      <c r="G1038" s="7">
        <f>'Option source'!B798</f>
        <v>538.73</v>
      </c>
      <c r="H1038" s="7">
        <f>'Option source'!B779</f>
        <v>431.34</v>
      </c>
      <c r="I1038" s="7"/>
      <c r="J1038" s="7">
        <f t="shared" si="112"/>
        <v>-323.94999999999993</v>
      </c>
      <c r="K1038" s="7">
        <f t="shared" si="113"/>
        <v>200</v>
      </c>
      <c r="L1038" s="7">
        <f t="shared" si="114"/>
        <v>523.94999999999993</v>
      </c>
      <c r="M1038" s="7">
        <f t="shared" si="115"/>
        <v>6676.05</v>
      </c>
      <c r="N1038" s="7">
        <f t="shared" si="116"/>
        <v>6676.05</v>
      </c>
      <c r="O1038" s="7" t="str">
        <f t="shared" si="117"/>
        <v>n.a.</v>
      </c>
      <c r="P1038" s="15" t="str">
        <f t="shared" si="118"/>
        <v>n.a.</v>
      </c>
      <c r="Q1038" s="7">
        <f>J1038*'Model inputs'!$B$8</f>
        <v>-32394.999999999993</v>
      </c>
      <c r="R1038" s="1" t="s">
        <v>162</v>
      </c>
      <c r="S1038" s="1">
        <v>793</v>
      </c>
      <c r="T1038" s="1">
        <v>774</v>
      </c>
    </row>
    <row r="1039" spans="1:20" ht="21" customHeight="1">
      <c r="A1039" s="8">
        <v>46266</v>
      </c>
      <c r="B1039" s="1" t="s">
        <v>36</v>
      </c>
      <c r="C1039" s="1" t="s">
        <v>87</v>
      </c>
      <c r="D1039" s="7">
        <v>6600</v>
      </c>
      <c r="E1039" s="7">
        <v>6800</v>
      </c>
      <c r="F1039" s="7"/>
      <c r="G1039" s="7">
        <f>'Option source'!B228</f>
        <v>808.51</v>
      </c>
      <c r="H1039" s="7">
        <f>'Option source'!B247</f>
        <v>688.81</v>
      </c>
      <c r="I1039" s="7"/>
      <c r="J1039" s="7">
        <f t="shared" si="112"/>
        <v>-569.1099999999999</v>
      </c>
      <c r="K1039" s="7">
        <f t="shared" si="113"/>
        <v>200</v>
      </c>
      <c r="L1039" s="7">
        <f t="shared" si="114"/>
        <v>769.1099999999999</v>
      </c>
      <c r="M1039" s="7" t="str">
        <f t="shared" si="115"/>
        <v>Unlimited</v>
      </c>
      <c r="N1039" s="7" t="str">
        <f t="shared" si="116"/>
        <v>n.a.</v>
      </c>
      <c r="O1039" s="7">
        <f t="shared" si="117"/>
        <v>7569.11</v>
      </c>
      <c r="P1039" s="15" t="str">
        <f t="shared" si="118"/>
        <v>n.a.</v>
      </c>
      <c r="Q1039" s="7">
        <f>J1039*'Model inputs'!$B$8</f>
        <v>-56910.999999999993</v>
      </c>
      <c r="R1039" s="1" t="s">
        <v>162</v>
      </c>
      <c r="S1039" s="1">
        <v>223</v>
      </c>
      <c r="T1039" s="1">
        <v>242</v>
      </c>
    </row>
    <row r="1040" spans="1:20" ht="21" customHeight="1">
      <c r="A1040" s="8">
        <v>46266</v>
      </c>
      <c r="B1040" s="1" t="s">
        <v>36</v>
      </c>
      <c r="C1040" s="1" t="s">
        <v>90</v>
      </c>
      <c r="D1040" s="7">
        <v>7000</v>
      </c>
      <c r="E1040" s="7">
        <v>6800</v>
      </c>
      <c r="F1040" s="7"/>
      <c r="G1040" s="7">
        <f>'Option source'!B760</f>
        <v>334.82</v>
      </c>
      <c r="H1040" s="7">
        <f>'Option source'!B741</f>
        <v>251.94</v>
      </c>
      <c r="I1040" s="7"/>
      <c r="J1040" s="7">
        <f t="shared" si="112"/>
        <v>-169.06</v>
      </c>
      <c r="K1040" s="7">
        <f t="shared" si="113"/>
        <v>200</v>
      </c>
      <c r="L1040" s="7">
        <f t="shared" si="114"/>
        <v>369.06</v>
      </c>
      <c r="M1040" s="7">
        <f t="shared" si="115"/>
        <v>6430.94</v>
      </c>
      <c r="N1040" s="7">
        <f t="shared" si="116"/>
        <v>6430.94</v>
      </c>
      <c r="O1040" s="7" t="str">
        <f t="shared" si="117"/>
        <v>n.a.</v>
      </c>
      <c r="P1040" s="15" t="str">
        <f t="shared" si="118"/>
        <v>n.a.</v>
      </c>
      <c r="Q1040" s="7">
        <f>J1040*'Model inputs'!$B$8</f>
        <v>-16906</v>
      </c>
      <c r="R1040" s="1" t="s">
        <v>162</v>
      </c>
      <c r="S1040" s="1">
        <v>755</v>
      </c>
      <c r="T1040" s="1">
        <v>736</v>
      </c>
    </row>
    <row r="1041" spans="1:20" ht="21" customHeight="1">
      <c r="A1041" s="8">
        <v>46266</v>
      </c>
      <c r="B1041" s="1" t="s">
        <v>36</v>
      </c>
      <c r="C1041" s="1" t="s">
        <v>87</v>
      </c>
      <c r="D1041" s="7">
        <v>7200</v>
      </c>
      <c r="E1041" s="7">
        <v>7400</v>
      </c>
      <c r="F1041" s="7"/>
      <c r="G1041" s="7">
        <f>'Option source'!B285</f>
        <v>464.15</v>
      </c>
      <c r="H1041" s="7">
        <f>'Option source'!B304</f>
        <v>372.77</v>
      </c>
      <c r="I1041" s="7"/>
      <c r="J1041" s="7">
        <f t="shared" si="112"/>
        <v>-281.39</v>
      </c>
      <c r="K1041" s="7">
        <f t="shared" si="113"/>
        <v>200</v>
      </c>
      <c r="L1041" s="7">
        <f t="shared" si="114"/>
        <v>481.39</v>
      </c>
      <c r="M1041" s="7" t="str">
        <f t="shared" si="115"/>
        <v>Unlimited</v>
      </c>
      <c r="N1041" s="7" t="str">
        <f t="shared" si="116"/>
        <v>n.a.</v>
      </c>
      <c r="O1041" s="7">
        <f t="shared" si="117"/>
        <v>7881.39</v>
      </c>
      <c r="P1041" s="15" t="str">
        <f t="shared" si="118"/>
        <v>n.a.</v>
      </c>
      <c r="Q1041" s="7">
        <f>J1041*'Model inputs'!$B$8</f>
        <v>-28139</v>
      </c>
      <c r="R1041" s="1" t="s">
        <v>162</v>
      </c>
      <c r="S1041" s="1">
        <v>280</v>
      </c>
      <c r="T1041" s="1">
        <v>299</v>
      </c>
    </row>
    <row r="1042" spans="1:20" ht="21" customHeight="1">
      <c r="A1042" s="8">
        <v>46266</v>
      </c>
      <c r="B1042" s="1" t="s">
        <v>36</v>
      </c>
      <c r="C1042" s="1" t="s">
        <v>90</v>
      </c>
      <c r="D1042" s="7">
        <v>7600</v>
      </c>
      <c r="E1042" s="7">
        <v>7400</v>
      </c>
      <c r="F1042" s="7"/>
      <c r="G1042" s="7">
        <f>'Option source'!B817</f>
        <v>660.35</v>
      </c>
      <c r="H1042" s="7">
        <f>'Option source'!B798</f>
        <v>538.73</v>
      </c>
      <c r="I1042" s="7"/>
      <c r="J1042" s="7">
        <f t="shared" si="112"/>
        <v>-417.11</v>
      </c>
      <c r="K1042" s="7">
        <f t="shared" si="113"/>
        <v>200</v>
      </c>
      <c r="L1042" s="7">
        <f t="shared" si="114"/>
        <v>617.11</v>
      </c>
      <c r="M1042" s="7">
        <f t="shared" si="115"/>
        <v>6782.89</v>
      </c>
      <c r="N1042" s="7">
        <f t="shared" si="116"/>
        <v>6782.89</v>
      </c>
      <c r="O1042" s="7" t="str">
        <f t="shared" si="117"/>
        <v>n.a.</v>
      </c>
      <c r="P1042" s="15" t="str">
        <f t="shared" si="118"/>
        <v>n.a.</v>
      </c>
      <c r="Q1042" s="7">
        <f>J1042*'Model inputs'!$B$8</f>
        <v>-41711</v>
      </c>
      <c r="R1042" s="1" t="s">
        <v>162</v>
      </c>
      <c r="S1042" s="1">
        <v>812</v>
      </c>
      <c r="T1042" s="1">
        <v>793</v>
      </c>
    </row>
    <row r="1043" spans="1:20" ht="21" customHeight="1">
      <c r="A1043" s="8">
        <v>46266</v>
      </c>
      <c r="B1043" s="1" t="s">
        <v>36</v>
      </c>
      <c r="C1043" s="1" t="s">
        <v>87</v>
      </c>
      <c r="D1043" s="7">
        <v>6400</v>
      </c>
      <c r="E1043" s="7">
        <v>6600</v>
      </c>
      <c r="F1043" s="7"/>
      <c r="G1043" s="7">
        <f>'Option source'!B209</f>
        <v>909.97</v>
      </c>
      <c r="H1043" s="7">
        <f>'Option source'!B228</f>
        <v>808.51</v>
      </c>
      <c r="I1043" s="7"/>
      <c r="J1043" s="7">
        <f t="shared" si="112"/>
        <v>-707.05</v>
      </c>
      <c r="K1043" s="7">
        <f t="shared" si="113"/>
        <v>200</v>
      </c>
      <c r="L1043" s="7">
        <f t="shared" si="114"/>
        <v>907.05</v>
      </c>
      <c r="M1043" s="7" t="str">
        <f t="shared" si="115"/>
        <v>Unlimited</v>
      </c>
      <c r="N1043" s="7" t="str">
        <f t="shared" si="116"/>
        <v>n.a.</v>
      </c>
      <c r="O1043" s="7">
        <f t="shared" si="117"/>
        <v>7507.05</v>
      </c>
      <c r="P1043" s="15" t="str">
        <f t="shared" si="118"/>
        <v>n.a.</v>
      </c>
      <c r="Q1043" s="7">
        <f>J1043*'Model inputs'!$B$8</f>
        <v>-70705</v>
      </c>
      <c r="R1043" s="1" t="s">
        <v>162</v>
      </c>
      <c r="S1043" s="1">
        <v>204</v>
      </c>
      <c r="T1043" s="1">
        <v>223</v>
      </c>
    </row>
    <row r="1044" spans="1:20" ht="21" customHeight="1">
      <c r="A1044" s="8">
        <v>46266</v>
      </c>
      <c r="B1044" s="1" t="s">
        <v>36</v>
      </c>
      <c r="C1044" s="1" t="s">
        <v>90</v>
      </c>
      <c r="D1044" s="7">
        <v>6800</v>
      </c>
      <c r="E1044" s="7">
        <v>6600</v>
      </c>
      <c r="F1044" s="7"/>
      <c r="G1044" s="7">
        <f>'Option source'!B741</f>
        <v>251.94</v>
      </c>
      <c r="H1044" s="7">
        <f>'Option source'!B722</f>
        <v>178.65</v>
      </c>
      <c r="I1044" s="7"/>
      <c r="J1044" s="7">
        <f t="shared" si="112"/>
        <v>-105.36000000000001</v>
      </c>
      <c r="K1044" s="7">
        <f t="shared" si="113"/>
        <v>200</v>
      </c>
      <c r="L1044" s="7">
        <f t="shared" si="114"/>
        <v>305.36</v>
      </c>
      <c r="M1044" s="7">
        <f t="shared" si="115"/>
        <v>6294.64</v>
      </c>
      <c r="N1044" s="7">
        <f t="shared" si="116"/>
        <v>6294.64</v>
      </c>
      <c r="O1044" s="7" t="str">
        <f t="shared" si="117"/>
        <v>n.a.</v>
      </c>
      <c r="P1044" s="15" t="str">
        <f t="shared" si="118"/>
        <v>n.a.</v>
      </c>
      <c r="Q1044" s="7">
        <f>J1044*'Model inputs'!$B$8</f>
        <v>-10536.000000000002</v>
      </c>
      <c r="R1044" s="1" t="s">
        <v>162</v>
      </c>
      <c r="S1044" s="1">
        <v>736</v>
      </c>
      <c r="T1044" s="1">
        <v>717</v>
      </c>
    </row>
    <row r="1045" spans="1:20" ht="21" customHeight="1">
      <c r="A1045" s="8">
        <v>46266</v>
      </c>
      <c r="B1045" s="1" t="s">
        <v>36</v>
      </c>
      <c r="C1045" s="1" t="s">
        <v>87</v>
      </c>
      <c r="D1045" s="7">
        <v>7400</v>
      </c>
      <c r="E1045" s="7">
        <v>7600</v>
      </c>
      <c r="F1045" s="7"/>
      <c r="G1045" s="7">
        <f>'Option source'!B304</f>
        <v>372.77</v>
      </c>
      <c r="H1045" s="7">
        <f>'Option source'!B323</f>
        <v>295.41000000000003</v>
      </c>
      <c r="I1045" s="7"/>
      <c r="J1045" s="7">
        <f t="shared" si="112"/>
        <v>-218.05000000000007</v>
      </c>
      <c r="K1045" s="7">
        <f t="shared" si="113"/>
        <v>200</v>
      </c>
      <c r="L1045" s="7">
        <f t="shared" si="114"/>
        <v>418.05000000000007</v>
      </c>
      <c r="M1045" s="7" t="str">
        <f t="shared" si="115"/>
        <v>Unlimited</v>
      </c>
      <c r="N1045" s="7" t="str">
        <f t="shared" si="116"/>
        <v>n.a.</v>
      </c>
      <c r="O1045" s="7">
        <f t="shared" si="117"/>
        <v>8018.05</v>
      </c>
      <c r="P1045" s="15" t="str">
        <f t="shared" si="118"/>
        <v>n.a.</v>
      </c>
      <c r="Q1045" s="7">
        <f>J1045*'Model inputs'!$B$8</f>
        <v>-21805.000000000007</v>
      </c>
      <c r="R1045" s="1" t="s">
        <v>162</v>
      </c>
      <c r="S1045" s="1">
        <v>299</v>
      </c>
      <c r="T1045" s="1">
        <v>318</v>
      </c>
    </row>
    <row r="1046" spans="1:20" ht="21" customHeight="1">
      <c r="A1046" s="8">
        <v>46266</v>
      </c>
      <c r="B1046" s="1" t="s">
        <v>36</v>
      </c>
      <c r="C1046" s="1" t="s">
        <v>90</v>
      </c>
      <c r="D1046" s="7">
        <v>7800</v>
      </c>
      <c r="E1046" s="7">
        <v>7600</v>
      </c>
      <c r="F1046" s="7"/>
      <c r="G1046" s="7">
        <f>'Option source'!B836</f>
        <v>798.65</v>
      </c>
      <c r="H1046" s="7">
        <f>'Option source'!B817</f>
        <v>660.35</v>
      </c>
      <c r="I1046" s="7"/>
      <c r="J1046" s="7">
        <f t="shared" si="112"/>
        <v>-522.05000000000007</v>
      </c>
      <c r="K1046" s="7">
        <f t="shared" si="113"/>
        <v>200</v>
      </c>
      <c r="L1046" s="7">
        <f t="shared" si="114"/>
        <v>722.05000000000007</v>
      </c>
      <c r="M1046" s="7">
        <f t="shared" si="115"/>
        <v>6877.95</v>
      </c>
      <c r="N1046" s="7">
        <f t="shared" si="116"/>
        <v>6877.95</v>
      </c>
      <c r="O1046" s="7" t="str">
        <f t="shared" si="117"/>
        <v>n.a.</v>
      </c>
      <c r="P1046" s="15" t="str">
        <f t="shared" si="118"/>
        <v>n.a.</v>
      </c>
      <c r="Q1046" s="7">
        <f>J1046*'Model inputs'!$B$8</f>
        <v>-52205.000000000007</v>
      </c>
      <c r="R1046" s="1" t="s">
        <v>162</v>
      </c>
      <c r="S1046" s="1">
        <v>831</v>
      </c>
      <c r="T1046" s="1">
        <v>812</v>
      </c>
    </row>
    <row r="1047" spans="1:20" ht="21" customHeight="1">
      <c r="A1047" s="8">
        <v>46266</v>
      </c>
      <c r="B1047" s="1" t="s">
        <v>36</v>
      </c>
      <c r="C1047" s="1" t="s">
        <v>90</v>
      </c>
      <c r="D1047" s="7">
        <v>6600</v>
      </c>
      <c r="E1047" s="7">
        <v>6400</v>
      </c>
      <c r="F1047" s="7"/>
      <c r="G1047" s="7">
        <f>'Option source'!B722</f>
        <v>178.65</v>
      </c>
      <c r="H1047" s="7">
        <f>'Option source'!B703</f>
        <v>127.45</v>
      </c>
      <c r="I1047" s="7"/>
      <c r="J1047" s="7">
        <f t="shared" si="112"/>
        <v>-76.25</v>
      </c>
      <c r="K1047" s="7">
        <f t="shared" si="113"/>
        <v>200</v>
      </c>
      <c r="L1047" s="7">
        <f t="shared" si="114"/>
        <v>276.25</v>
      </c>
      <c r="M1047" s="7">
        <f t="shared" si="115"/>
        <v>6123.75</v>
      </c>
      <c r="N1047" s="7">
        <f t="shared" si="116"/>
        <v>6123.75</v>
      </c>
      <c r="O1047" s="7" t="str">
        <f t="shared" si="117"/>
        <v>n.a.</v>
      </c>
      <c r="P1047" s="15" t="str">
        <f t="shared" si="118"/>
        <v>n.a.</v>
      </c>
      <c r="Q1047" s="7">
        <f>J1047*'Model inputs'!$B$8</f>
        <v>-7625</v>
      </c>
      <c r="R1047" s="1" t="s">
        <v>162</v>
      </c>
      <c r="S1047" s="1">
        <v>717</v>
      </c>
      <c r="T1047" s="1">
        <v>698</v>
      </c>
    </row>
    <row r="1048" spans="1:20" ht="21" customHeight="1">
      <c r="A1048" s="8">
        <v>46266</v>
      </c>
      <c r="B1048" s="1" t="s">
        <v>36</v>
      </c>
      <c r="C1048" s="1" t="s">
        <v>87</v>
      </c>
      <c r="D1048" s="7">
        <v>7600</v>
      </c>
      <c r="E1048" s="7">
        <v>7800</v>
      </c>
      <c r="F1048" s="7"/>
      <c r="G1048" s="7">
        <f>'Option source'!B323</f>
        <v>295.41000000000003</v>
      </c>
      <c r="H1048" s="7">
        <f>'Option source'!B342</f>
        <v>232.85</v>
      </c>
      <c r="I1048" s="7"/>
      <c r="J1048" s="7">
        <f t="shared" si="112"/>
        <v>-170.28999999999996</v>
      </c>
      <c r="K1048" s="7">
        <f t="shared" si="113"/>
        <v>200</v>
      </c>
      <c r="L1048" s="7">
        <f t="shared" si="114"/>
        <v>370.28999999999996</v>
      </c>
      <c r="M1048" s="7" t="str">
        <f t="shared" si="115"/>
        <v>Unlimited</v>
      </c>
      <c r="N1048" s="7" t="str">
        <f t="shared" si="116"/>
        <v>n.a.</v>
      </c>
      <c r="O1048" s="7">
        <f t="shared" si="117"/>
        <v>8170.29</v>
      </c>
      <c r="P1048" s="15" t="str">
        <f t="shared" si="118"/>
        <v>n.a.</v>
      </c>
      <c r="Q1048" s="7">
        <f>J1048*'Model inputs'!$B$8</f>
        <v>-17028.999999999996</v>
      </c>
      <c r="R1048" s="1" t="s">
        <v>162</v>
      </c>
      <c r="S1048" s="1">
        <v>318</v>
      </c>
      <c r="T1048" s="1">
        <v>337</v>
      </c>
    </row>
    <row r="1049" spans="1:20" ht="21" customHeight="1">
      <c r="A1049" s="8">
        <v>46266</v>
      </c>
      <c r="B1049" s="1" t="s">
        <v>36</v>
      </c>
      <c r="C1049" s="1" t="s">
        <v>90</v>
      </c>
      <c r="D1049" s="7">
        <v>8000</v>
      </c>
      <c r="E1049" s="7">
        <v>7800</v>
      </c>
      <c r="F1049" s="7"/>
      <c r="G1049" s="7">
        <f>'Option source'!B855</f>
        <v>960</v>
      </c>
      <c r="H1049" s="7">
        <f>'Option source'!B836</f>
        <v>798.65</v>
      </c>
      <c r="I1049" s="7"/>
      <c r="J1049" s="7">
        <f t="shared" si="112"/>
        <v>-637.29999999999995</v>
      </c>
      <c r="K1049" s="7">
        <f t="shared" si="113"/>
        <v>200</v>
      </c>
      <c r="L1049" s="7">
        <f t="shared" si="114"/>
        <v>837.3</v>
      </c>
      <c r="M1049" s="7">
        <f t="shared" si="115"/>
        <v>6962.7</v>
      </c>
      <c r="N1049" s="7">
        <f t="shared" si="116"/>
        <v>6962.7</v>
      </c>
      <c r="O1049" s="7" t="str">
        <f t="shared" si="117"/>
        <v>n.a.</v>
      </c>
      <c r="P1049" s="15" t="str">
        <f t="shared" si="118"/>
        <v>n.a.</v>
      </c>
      <c r="Q1049" s="7">
        <f>J1049*'Model inputs'!$B$8</f>
        <v>-63729.999999999993</v>
      </c>
      <c r="R1049" s="1" t="s">
        <v>162</v>
      </c>
      <c r="S1049" s="1">
        <v>850</v>
      </c>
      <c r="T1049" s="1">
        <v>831</v>
      </c>
    </row>
    <row r="1050" spans="1:20" ht="21" customHeight="1">
      <c r="A1050" s="8">
        <v>46266</v>
      </c>
      <c r="B1050" s="1" t="s">
        <v>36</v>
      </c>
      <c r="C1050" s="1" t="s">
        <v>90</v>
      </c>
      <c r="D1050" s="7">
        <v>6400</v>
      </c>
      <c r="E1050" s="7">
        <v>6200</v>
      </c>
      <c r="F1050" s="7"/>
      <c r="G1050" s="7">
        <f>'Option source'!B703</f>
        <v>127.45</v>
      </c>
      <c r="H1050" s="7">
        <f>'Option source'!B684</f>
        <v>85.04</v>
      </c>
      <c r="I1050" s="7"/>
      <c r="J1050" s="7">
        <f t="shared" si="112"/>
        <v>-42.63000000000001</v>
      </c>
      <c r="K1050" s="7">
        <f t="shared" si="113"/>
        <v>200</v>
      </c>
      <c r="L1050" s="7">
        <f t="shared" si="114"/>
        <v>242.63</v>
      </c>
      <c r="M1050" s="7">
        <f t="shared" si="115"/>
        <v>5957.37</v>
      </c>
      <c r="N1050" s="7">
        <f t="shared" si="116"/>
        <v>5957.37</v>
      </c>
      <c r="O1050" s="7" t="str">
        <f t="shared" si="117"/>
        <v>n.a.</v>
      </c>
      <c r="P1050" s="15" t="str">
        <f t="shared" si="118"/>
        <v>n.a.</v>
      </c>
      <c r="Q1050" s="7">
        <f>J1050*'Model inputs'!$B$8</f>
        <v>-4263.0000000000009</v>
      </c>
      <c r="R1050" s="1" t="s">
        <v>162</v>
      </c>
      <c r="S1050" s="1">
        <v>698</v>
      </c>
      <c r="T1050" s="1">
        <v>679</v>
      </c>
    </row>
    <row r="1051" spans="1:20" ht="21" customHeight="1">
      <c r="A1051" s="8">
        <v>46266</v>
      </c>
      <c r="B1051" s="1" t="s">
        <v>36</v>
      </c>
      <c r="C1051" s="1" t="s">
        <v>87</v>
      </c>
      <c r="D1051" s="7">
        <v>7800</v>
      </c>
      <c r="E1051" s="7">
        <v>8000</v>
      </c>
      <c r="F1051" s="7"/>
      <c r="G1051" s="7">
        <f>'Option source'!B342</f>
        <v>232.85</v>
      </c>
      <c r="H1051" s="7">
        <f>'Option source'!B361</f>
        <v>181.31</v>
      </c>
      <c r="I1051" s="7"/>
      <c r="J1051" s="7">
        <f t="shared" si="112"/>
        <v>-129.77000000000001</v>
      </c>
      <c r="K1051" s="7">
        <f t="shared" si="113"/>
        <v>200</v>
      </c>
      <c r="L1051" s="7">
        <f t="shared" si="114"/>
        <v>329.77</v>
      </c>
      <c r="M1051" s="7" t="str">
        <f t="shared" si="115"/>
        <v>Unlimited</v>
      </c>
      <c r="N1051" s="7" t="str">
        <f t="shared" si="116"/>
        <v>n.a.</v>
      </c>
      <c r="O1051" s="7">
        <f t="shared" si="117"/>
        <v>8329.77</v>
      </c>
      <c r="P1051" s="15" t="str">
        <f t="shared" si="118"/>
        <v>n.a.</v>
      </c>
      <c r="Q1051" s="7">
        <f>J1051*'Model inputs'!$B$8</f>
        <v>-12977.000000000002</v>
      </c>
      <c r="R1051" s="1" t="s">
        <v>162</v>
      </c>
      <c r="S1051" s="1">
        <v>337</v>
      </c>
      <c r="T1051" s="1">
        <v>356</v>
      </c>
    </row>
    <row r="1052" spans="1:20" ht="21" customHeight="1">
      <c r="A1052" s="8">
        <v>46266</v>
      </c>
      <c r="B1052" s="1" t="s">
        <v>36</v>
      </c>
      <c r="C1052" s="1" t="s">
        <v>90</v>
      </c>
      <c r="D1052" s="7">
        <v>6200</v>
      </c>
      <c r="E1052" s="7">
        <v>6000</v>
      </c>
      <c r="F1052" s="7"/>
      <c r="G1052" s="7">
        <f>'Option source'!B684</f>
        <v>85.04</v>
      </c>
      <c r="H1052" s="7">
        <f>'Option source'!B665</f>
        <v>56.43</v>
      </c>
      <c r="I1052" s="7"/>
      <c r="J1052" s="7">
        <f t="shared" si="112"/>
        <v>-27.819999999999993</v>
      </c>
      <c r="K1052" s="7">
        <f t="shared" si="113"/>
        <v>200</v>
      </c>
      <c r="L1052" s="7">
        <f t="shared" si="114"/>
        <v>227.82</v>
      </c>
      <c r="M1052" s="7">
        <f t="shared" si="115"/>
        <v>5772.18</v>
      </c>
      <c r="N1052" s="7">
        <f t="shared" si="116"/>
        <v>5772.18</v>
      </c>
      <c r="O1052" s="7" t="str">
        <f t="shared" si="117"/>
        <v>n.a.</v>
      </c>
      <c r="P1052" s="15" t="str">
        <f t="shared" si="118"/>
        <v>n.a.</v>
      </c>
      <c r="Q1052" s="7">
        <f>J1052*'Model inputs'!$B$8</f>
        <v>-2781.9999999999991</v>
      </c>
      <c r="R1052" s="1" t="s">
        <v>162</v>
      </c>
      <c r="S1052" s="1">
        <v>679</v>
      </c>
      <c r="T1052" s="1">
        <v>660</v>
      </c>
    </row>
    <row r="1053" spans="1:20" ht="21" customHeight="1">
      <c r="A1053" s="8">
        <v>46266</v>
      </c>
      <c r="B1053" s="1" t="s">
        <v>36</v>
      </c>
      <c r="C1053" s="1" t="s">
        <v>87</v>
      </c>
      <c r="D1053" s="7">
        <v>8000</v>
      </c>
      <c r="E1053" s="7">
        <v>8300</v>
      </c>
      <c r="F1053" s="7"/>
      <c r="G1053" s="7">
        <f>'Option source'!B361</f>
        <v>181.31</v>
      </c>
      <c r="H1053" s="7">
        <f>'Option source'!B380</f>
        <v>117.76</v>
      </c>
      <c r="I1053" s="7"/>
      <c r="J1053" s="7">
        <f t="shared" si="112"/>
        <v>-54.210000000000008</v>
      </c>
      <c r="K1053" s="7">
        <f t="shared" si="113"/>
        <v>300</v>
      </c>
      <c r="L1053" s="7">
        <f t="shared" si="114"/>
        <v>354.21000000000004</v>
      </c>
      <c r="M1053" s="7" t="str">
        <f t="shared" si="115"/>
        <v>Unlimited</v>
      </c>
      <c r="N1053" s="7" t="str">
        <f t="shared" si="116"/>
        <v>n.a.</v>
      </c>
      <c r="O1053" s="7">
        <f t="shared" si="117"/>
        <v>8654.2099999999991</v>
      </c>
      <c r="P1053" s="15" t="str">
        <f t="shared" si="118"/>
        <v>n.a.</v>
      </c>
      <c r="Q1053" s="7">
        <f>J1053*'Model inputs'!$B$8</f>
        <v>-5421.0000000000009</v>
      </c>
      <c r="R1053" s="1" t="s">
        <v>162</v>
      </c>
      <c r="S1053" s="1">
        <v>356</v>
      </c>
      <c r="T1053" s="1">
        <v>375</v>
      </c>
    </row>
    <row r="1054" spans="1:20" ht="21" customHeight="1">
      <c r="A1054" s="8">
        <v>46266</v>
      </c>
      <c r="B1054" s="1" t="s">
        <v>36</v>
      </c>
      <c r="C1054" s="1" t="s">
        <v>90</v>
      </c>
      <c r="D1054" s="7">
        <v>6000</v>
      </c>
      <c r="E1054" s="7">
        <v>5800</v>
      </c>
      <c r="F1054" s="7"/>
      <c r="G1054" s="7">
        <f>'Option source'!B665</f>
        <v>56.43</v>
      </c>
      <c r="H1054" s="7">
        <f>'Option source'!B646</f>
        <v>33.950000000000003</v>
      </c>
      <c r="I1054" s="7"/>
      <c r="J1054" s="7">
        <f t="shared" si="112"/>
        <v>-11.470000000000006</v>
      </c>
      <c r="K1054" s="7">
        <f t="shared" si="113"/>
        <v>200</v>
      </c>
      <c r="L1054" s="7">
        <f t="shared" si="114"/>
        <v>211.47</v>
      </c>
      <c r="M1054" s="7">
        <f t="shared" si="115"/>
        <v>5588.53</v>
      </c>
      <c r="N1054" s="7">
        <f t="shared" si="116"/>
        <v>5588.53</v>
      </c>
      <c r="O1054" s="7" t="str">
        <f t="shared" si="117"/>
        <v>n.a.</v>
      </c>
      <c r="P1054" s="15" t="str">
        <f t="shared" si="118"/>
        <v>n.a.</v>
      </c>
      <c r="Q1054" s="7">
        <f>J1054*'Model inputs'!$B$8</f>
        <v>-1147.0000000000007</v>
      </c>
      <c r="R1054" s="1" t="s">
        <v>162</v>
      </c>
      <c r="S1054" s="1">
        <v>660</v>
      </c>
      <c r="T1054" s="1">
        <v>641</v>
      </c>
    </row>
    <row r="1055" spans="1:20" ht="21" customHeight="1">
      <c r="A1055" s="8">
        <v>46266</v>
      </c>
      <c r="B1055" s="1" t="s">
        <v>36</v>
      </c>
      <c r="C1055" s="1" t="s">
        <v>90</v>
      </c>
      <c r="D1055" s="7">
        <v>5800</v>
      </c>
      <c r="E1055" s="7">
        <v>5600</v>
      </c>
      <c r="F1055" s="7"/>
      <c r="G1055" s="7">
        <f>'Option source'!B646</f>
        <v>33.950000000000003</v>
      </c>
      <c r="H1055" s="7">
        <f>'Option source'!B627</f>
        <v>20.3</v>
      </c>
      <c r="I1055" s="7"/>
      <c r="J1055" s="7">
        <f t="shared" si="112"/>
        <v>-6.6499999999999986</v>
      </c>
      <c r="K1055" s="7">
        <f t="shared" si="113"/>
        <v>200</v>
      </c>
      <c r="L1055" s="7">
        <f t="shared" si="114"/>
        <v>206.65</v>
      </c>
      <c r="M1055" s="7">
        <f t="shared" si="115"/>
        <v>5393.35</v>
      </c>
      <c r="N1055" s="7">
        <f t="shared" si="116"/>
        <v>5393.35</v>
      </c>
      <c r="O1055" s="7" t="str">
        <f t="shared" si="117"/>
        <v>n.a.</v>
      </c>
      <c r="P1055" s="15" t="str">
        <f t="shared" si="118"/>
        <v>n.a.</v>
      </c>
      <c r="Q1055" s="7">
        <f>J1055*'Model inputs'!$B$8</f>
        <v>-664.99999999999989</v>
      </c>
      <c r="R1055" s="1" t="s">
        <v>162</v>
      </c>
      <c r="S1055" s="1">
        <v>641</v>
      </c>
      <c r="T1055" s="1">
        <v>622</v>
      </c>
    </row>
    <row r="1056" spans="1:20" ht="21" customHeight="1">
      <c r="A1056" s="8">
        <v>46266</v>
      </c>
      <c r="B1056" s="1" t="s">
        <v>36</v>
      </c>
      <c r="C1056" s="1" t="s">
        <v>87</v>
      </c>
      <c r="D1056" s="7">
        <v>8300</v>
      </c>
      <c r="E1056" s="7">
        <v>8600</v>
      </c>
      <c r="F1056" s="7"/>
      <c r="G1056" s="7">
        <f>'Option source'!B380</f>
        <v>117.76</v>
      </c>
      <c r="H1056" s="7">
        <f>'Option source'!B399</f>
        <v>73.38</v>
      </c>
      <c r="I1056" s="7"/>
      <c r="J1056" s="7">
        <f t="shared" si="112"/>
        <v>-28.999999999999986</v>
      </c>
      <c r="K1056" s="7">
        <f t="shared" si="113"/>
        <v>300</v>
      </c>
      <c r="L1056" s="7">
        <f t="shared" si="114"/>
        <v>329</v>
      </c>
      <c r="M1056" s="7" t="str">
        <f t="shared" si="115"/>
        <v>Unlimited</v>
      </c>
      <c r="N1056" s="7" t="str">
        <f t="shared" si="116"/>
        <v>n.a.</v>
      </c>
      <c r="O1056" s="7">
        <f t="shared" si="117"/>
        <v>8929</v>
      </c>
      <c r="P1056" s="15" t="str">
        <f t="shared" si="118"/>
        <v>n.a.</v>
      </c>
      <c r="Q1056" s="7">
        <f>J1056*'Model inputs'!$B$8</f>
        <v>-2899.9999999999986</v>
      </c>
      <c r="R1056" s="1" t="s">
        <v>162</v>
      </c>
      <c r="S1056" s="1">
        <v>375</v>
      </c>
      <c r="T1056" s="1">
        <v>394</v>
      </c>
    </row>
    <row r="1057" spans="1:20" ht="21" customHeight="1">
      <c r="A1057" s="8">
        <v>46266</v>
      </c>
      <c r="B1057" s="1" t="s">
        <v>36</v>
      </c>
      <c r="C1057" s="1" t="s">
        <v>90</v>
      </c>
      <c r="D1057" s="7">
        <v>5600</v>
      </c>
      <c r="E1057" s="7">
        <v>5400</v>
      </c>
      <c r="F1057" s="7"/>
      <c r="G1057" s="7">
        <f>'Option source'!B627</f>
        <v>20.3</v>
      </c>
      <c r="H1057" s="7">
        <f>'Option source'!B608</f>
        <v>11.07</v>
      </c>
      <c r="I1057" s="7"/>
      <c r="J1057" s="7">
        <f t="shared" si="112"/>
        <v>-1.8399999999999999</v>
      </c>
      <c r="K1057" s="7">
        <f t="shared" si="113"/>
        <v>200</v>
      </c>
      <c r="L1057" s="7">
        <f t="shared" si="114"/>
        <v>201.84</v>
      </c>
      <c r="M1057" s="7">
        <f t="shared" si="115"/>
        <v>5198.16</v>
      </c>
      <c r="N1057" s="7">
        <f t="shared" si="116"/>
        <v>5198.16</v>
      </c>
      <c r="O1057" s="7" t="str">
        <f t="shared" si="117"/>
        <v>n.a.</v>
      </c>
      <c r="P1057" s="15" t="str">
        <f t="shared" si="118"/>
        <v>n.a.</v>
      </c>
      <c r="Q1057" s="7">
        <f>J1057*'Model inputs'!$B$8</f>
        <v>-184</v>
      </c>
      <c r="R1057" s="1" t="s">
        <v>162</v>
      </c>
      <c r="S1057" s="1">
        <v>622</v>
      </c>
      <c r="T1057" s="1">
        <v>603</v>
      </c>
    </row>
    <row r="1058" spans="1:20" ht="21" customHeight="1">
      <c r="A1058" s="8">
        <v>46266</v>
      </c>
      <c r="B1058" s="1" t="s">
        <v>36</v>
      </c>
      <c r="C1058" s="1" t="s">
        <v>87</v>
      </c>
      <c r="D1058" s="7">
        <v>8600</v>
      </c>
      <c r="E1058" s="7">
        <v>8900</v>
      </c>
      <c r="F1058" s="7"/>
      <c r="G1058" s="7">
        <f>'Option source'!B399</f>
        <v>73.38</v>
      </c>
      <c r="H1058" s="7">
        <f>'Option source'!B418</f>
        <v>45.91</v>
      </c>
      <c r="I1058" s="7"/>
      <c r="J1058" s="7">
        <f t="shared" si="112"/>
        <v>-18.439999999999998</v>
      </c>
      <c r="K1058" s="7">
        <f t="shared" si="113"/>
        <v>300</v>
      </c>
      <c r="L1058" s="7">
        <f t="shared" si="114"/>
        <v>318.44</v>
      </c>
      <c r="M1058" s="7" t="str">
        <f t="shared" si="115"/>
        <v>Unlimited</v>
      </c>
      <c r="N1058" s="7" t="str">
        <f t="shared" si="116"/>
        <v>n.a.</v>
      </c>
      <c r="O1058" s="7">
        <f t="shared" si="117"/>
        <v>9218.44</v>
      </c>
      <c r="P1058" s="15" t="str">
        <f t="shared" si="118"/>
        <v>n.a.</v>
      </c>
      <c r="Q1058" s="7">
        <f>J1058*'Model inputs'!$B$8</f>
        <v>-1843.9999999999998</v>
      </c>
      <c r="R1058" s="1" t="s">
        <v>162</v>
      </c>
      <c r="S1058" s="1">
        <v>394</v>
      </c>
      <c r="T1058" s="1">
        <v>413</v>
      </c>
    </row>
    <row r="1059" spans="1:20" ht="21" customHeight="1">
      <c r="A1059" s="8">
        <v>46266</v>
      </c>
      <c r="B1059" s="1" t="s">
        <v>36</v>
      </c>
      <c r="C1059" s="1" t="s">
        <v>90</v>
      </c>
      <c r="D1059" s="7">
        <v>5400</v>
      </c>
      <c r="E1059" s="7">
        <v>5200</v>
      </c>
      <c r="F1059" s="7"/>
      <c r="G1059" s="7">
        <f>'Option source'!B608</f>
        <v>11.07</v>
      </c>
      <c r="H1059" s="7">
        <f>'Option source'!B589</f>
        <v>6.67</v>
      </c>
      <c r="I1059" s="7"/>
      <c r="J1059" s="7">
        <f t="shared" si="112"/>
        <v>-2.2699999999999996</v>
      </c>
      <c r="K1059" s="7">
        <f t="shared" si="113"/>
        <v>200</v>
      </c>
      <c r="L1059" s="7">
        <f t="shared" si="114"/>
        <v>202.27</v>
      </c>
      <c r="M1059" s="7">
        <f t="shared" si="115"/>
        <v>4997.7299999999996</v>
      </c>
      <c r="N1059" s="7">
        <f t="shared" si="116"/>
        <v>4997.7299999999996</v>
      </c>
      <c r="O1059" s="7" t="str">
        <f t="shared" si="117"/>
        <v>n.a.</v>
      </c>
      <c r="P1059" s="15" t="str">
        <f t="shared" si="118"/>
        <v>n.a.</v>
      </c>
      <c r="Q1059" s="7">
        <f>J1059*'Model inputs'!$B$8</f>
        <v>-226.99999999999994</v>
      </c>
      <c r="R1059" s="1" t="s">
        <v>162</v>
      </c>
      <c r="S1059" s="1">
        <v>603</v>
      </c>
      <c r="T1059" s="1">
        <v>584</v>
      </c>
    </row>
    <row r="1060" spans="1:20" ht="21" customHeight="1">
      <c r="A1060" s="8">
        <v>46266</v>
      </c>
      <c r="B1060" s="1" t="s">
        <v>36</v>
      </c>
      <c r="C1060" s="1" t="s">
        <v>90</v>
      </c>
      <c r="D1060" s="7">
        <v>5200</v>
      </c>
      <c r="E1060" s="7">
        <v>5000</v>
      </c>
      <c r="F1060" s="7"/>
      <c r="G1060" s="7">
        <f>'Option source'!B589</f>
        <v>6.67</v>
      </c>
      <c r="H1060" s="7">
        <f>'Option source'!B570</f>
        <v>3.51</v>
      </c>
      <c r="I1060" s="7"/>
      <c r="J1060" s="7">
        <f t="shared" si="112"/>
        <v>-0.34999999999999964</v>
      </c>
      <c r="K1060" s="7">
        <f t="shared" si="113"/>
        <v>200</v>
      </c>
      <c r="L1060" s="7">
        <f t="shared" si="114"/>
        <v>200.35</v>
      </c>
      <c r="M1060" s="7">
        <f t="shared" si="115"/>
        <v>4799.6499999999996</v>
      </c>
      <c r="N1060" s="7">
        <f t="shared" si="116"/>
        <v>4799.6499999999996</v>
      </c>
      <c r="O1060" s="7" t="str">
        <f t="shared" si="117"/>
        <v>n.a.</v>
      </c>
      <c r="P1060" s="15" t="str">
        <f t="shared" si="118"/>
        <v>n.a.</v>
      </c>
      <c r="Q1060" s="7">
        <f>J1060*'Model inputs'!$B$8</f>
        <v>-34.999999999999964</v>
      </c>
      <c r="R1060" s="1" t="s">
        <v>162</v>
      </c>
      <c r="S1060" s="1">
        <v>584</v>
      </c>
      <c r="T1060" s="1">
        <v>565</v>
      </c>
    </row>
    <row r="1061" spans="1:20" ht="21" customHeight="1">
      <c r="A1061" s="8">
        <v>46266</v>
      </c>
      <c r="B1061" s="1" t="s">
        <v>36</v>
      </c>
      <c r="C1061" s="1" t="s">
        <v>87</v>
      </c>
      <c r="D1061" s="7">
        <v>8900</v>
      </c>
      <c r="E1061" s="7">
        <v>9200</v>
      </c>
      <c r="F1061" s="7"/>
      <c r="G1061" s="7">
        <f>'Option source'!B418</f>
        <v>45.91</v>
      </c>
      <c r="H1061" s="7">
        <f>'Option source'!B437</f>
        <v>29.8</v>
      </c>
      <c r="I1061" s="7"/>
      <c r="J1061" s="7">
        <f t="shared" si="112"/>
        <v>-13.690000000000005</v>
      </c>
      <c r="K1061" s="7">
        <f t="shared" si="113"/>
        <v>300</v>
      </c>
      <c r="L1061" s="7">
        <f t="shared" si="114"/>
        <v>313.69</v>
      </c>
      <c r="M1061" s="7" t="str">
        <f t="shared" si="115"/>
        <v>Unlimited</v>
      </c>
      <c r="N1061" s="7" t="str">
        <f t="shared" si="116"/>
        <v>n.a.</v>
      </c>
      <c r="O1061" s="7">
        <f t="shared" si="117"/>
        <v>9513.69</v>
      </c>
      <c r="P1061" s="15" t="str">
        <f t="shared" si="118"/>
        <v>n.a.</v>
      </c>
      <c r="Q1061" s="7">
        <f>J1061*'Model inputs'!$B$8</f>
        <v>-1369.0000000000005</v>
      </c>
      <c r="R1061" s="1" t="s">
        <v>162</v>
      </c>
      <c r="S1061" s="1">
        <v>413</v>
      </c>
      <c r="T1061" s="1">
        <v>432</v>
      </c>
    </row>
    <row r="1062" spans="1:20" ht="21" customHeight="1">
      <c r="A1062" s="8">
        <v>46266</v>
      </c>
      <c r="B1062" s="1" t="s">
        <v>36</v>
      </c>
      <c r="C1062" s="1" t="s">
        <v>90</v>
      </c>
      <c r="D1062" s="7">
        <v>5000</v>
      </c>
      <c r="E1062" s="7">
        <v>4800</v>
      </c>
      <c r="F1062" s="7"/>
      <c r="G1062" s="7">
        <f>'Option source'!B570</f>
        <v>3.51</v>
      </c>
      <c r="H1062" s="7">
        <f>'Option source'!B551</f>
        <v>2.89</v>
      </c>
      <c r="I1062" s="7"/>
      <c r="J1062" s="7">
        <f t="shared" si="112"/>
        <v>-2.2700000000000005</v>
      </c>
      <c r="K1062" s="7">
        <f t="shared" si="113"/>
        <v>200</v>
      </c>
      <c r="L1062" s="7">
        <f t="shared" si="114"/>
        <v>202.27</v>
      </c>
      <c r="M1062" s="7">
        <f t="shared" si="115"/>
        <v>4597.7299999999996</v>
      </c>
      <c r="N1062" s="7">
        <f t="shared" si="116"/>
        <v>4597.7299999999996</v>
      </c>
      <c r="O1062" s="7" t="str">
        <f t="shared" si="117"/>
        <v>n.a.</v>
      </c>
      <c r="P1062" s="15" t="str">
        <f t="shared" si="118"/>
        <v>n.a.</v>
      </c>
      <c r="Q1062" s="7">
        <f>J1062*'Model inputs'!$B$8</f>
        <v>-227.00000000000006</v>
      </c>
      <c r="R1062" s="1" t="s">
        <v>162</v>
      </c>
      <c r="S1062" s="1">
        <v>565</v>
      </c>
      <c r="T1062" s="1">
        <v>546</v>
      </c>
    </row>
    <row r="1063" spans="1:20" ht="21" customHeight="1">
      <c r="A1063" s="8">
        <v>46266</v>
      </c>
      <c r="B1063" s="1" t="s">
        <v>36</v>
      </c>
      <c r="C1063" s="1" t="s">
        <v>87</v>
      </c>
      <c r="D1063" s="7">
        <v>9200</v>
      </c>
      <c r="E1063" s="7">
        <v>9500</v>
      </c>
      <c r="F1063" s="7"/>
      <c r="G1063" s="7">
        <f>'Option source'!B437</f>
        <v>29.8</v>
      </c>
      <c r="H1063" s="7">
        <f>'Option source'!B456</f>
        <v>19.03</v>
      </c>
      <c r="I1063" s="7"/>
      <c r="J1063" s="7">
        <f t="shared" si="112"/>
        <v>-8.2600000000000016</v>
      </c>
      <c r="K1063" s="7">
        <f t="shared" si="113"/>
        <v>300</v>
      </c>
      <c r="L1063" s="7">
        <f t="shared" si="114"/>
        <v>308.26</v>
      </c>
      <c r="M1063" s="7" t="str">
        <f t="shared" si="115"/>
        <v>Unlimited</v>
      </c>
      <c r="N1063" s="7" t="str">
        <f t="shared" si="116"/>
        <v>n.a.</v>
      </c>
      <c r="O1063" s="7">
        <f t="shared" si="117"/>
        <v>9808.26</v>
      </c>
      <c r="P1063" s="15" t="str">
        <f t="shared" si="118"/>
        <v>n.a.</v>
      </c>
      <c r="Q1063" s="7">
        <f>J1063*'Model inputs'!$B$8</f>
        <v>-826.00000000000011</v>
      </c>
      <c r="R1063" s="1" t="s">
        <v>162</v>
      </c>
      <c r="S1063" s="1">
        <v>432</v>
      </c>
      <c r="T1063" s="1">
        <v>451</v>
      </c>
    </row>
    <row r="1064" spans="1:20" ht="21" customHeight="1">
      <c r="A1064" s="8">
        <v>46266</v>
      </c>
      <c r="B1064" s="1" t="s">
        <v>36</v>
      </c>
      <c r="C1064" s="1" t="s">
        <v>90</v>
      </c>
      <c r="D1064" s="7">
        <v>4800</v>
      </c>
      <c r="E1064" s="7">
        <v>4600</v>
      </c>
      <c r="F1064" s="7"/>
      <c r="G1064" s="7">
        <f>'Option source'!B551</f>
        <v>2.89</v>
      </c>
      <c r="H1064" s="7">
        <f>'Option source'!B532</f>
        <v>1.53</v>
      </c>
      <c r="I1064" s="7"/>
      <c r="J1064" s="7">
        <f t="shared" si="112"/>
        <v>-0.16999999999999993</v>
      </c>
      <c r="K1064" s="7">
        <f t="shared" si="113"/>
        <v>200</v>
      </c>
      <c r="L1064" s="7">
        <f t="shared" si="114"/>
        <v>200.17</v>
      </c>
      <c r="M1064" s="7">
        <f t="shared" si="115"/>
        <v>4399.83</v>
      </c>
      <c r="N1064" s="7">
        <f t="shared" si="116"/>
        <v>4399.83</v>
      </c>
      <c r="O1064" s="7" t="str">
        <f t="shared" si="117"/>
        <v>n.a.</v>
      </c>
      <c r="P1064" s="15" t="str">
        <f t="shared" si="118"/>
        <v>n.a.</v>
      </c>
      <c r="Q1064" s="7">
        <f>J1064*'Model inputs'!$B$8</f>
        <v>-16.999999999999993</v>
      </c>
      <c r="R1064" s="1" t="s">
        <v>162</v>
      </c>
      <c r="S1064" s="1">
        <v>546</v>
      </c>
      <c r="T1064" s="1">
        <v>527</v>
      </c>
    </row>
    <row r="1065" spans="1:20" ht="21" customHeight="1">
      <c r="A1065" s="8">
        <v>46266</v>
      </c>
      <c r="B1065" s="1" t="s">
        <v>36</v>
      </c>
      <c r="C1065" s="1" t="s">
        <v>90</v>
      </c>
      <c r="D1065" s="7">
        <v>4600</v>
      </c>
      <c r="E1065" s="7">
        <v>4400</v>
      </c>
      <c r="F1065" s="7"/>
      <c r="G1065" s="7">
        <f>'Option source'!B532</f>
        <v>1.53</v>
      </c>
      <c r="H1065" s="7">
        <f>'Option source'!B513</f>
        <v>1.22</v>
      </c>
      <c r="I1065" s="7"/>
      <c r="J1065" s="7">
        <f t="shared" si="112"/>
        <v>-0.90999999999999992</v>
      </c>
      <c r="K1065" s="7">
        <f t="shared" si="113"/>
        <v>200</v>
      </c>
      <c r="L1065" s="7">
        <f t="shared" si="114"/>
        <v>200.91</v>
      </c>
      <c r="M1065" s="7">
        <f t="shared" si="115"/>
        <v>4199.09</v>
      </c>
      <c r="N1065" s="7">
        <f t="shared" si="116"/>
        <v>4199.09</v>
      </c>
      <c r="O1065" s="7" t="str">
        <f t="shared" si="117"/>
        <v>n.a.</v>
      </c>
      <c r="P1065" s="15" t="str">
        <f t="shared" si="118"/>
        <v>n.a.</v>
      </c>
      <c r="Q1065" s="7">
        <f>J1065*'Model inputs'!$B$8</f>
        <v>-90.999999999999986</v>
      </c>
      <c r="R1065" s="1" t="s">
        <v>162</v>
      </c>
      <c r="S1065" s="1">
        <v>527</v>
      </c>
      <c r="T1065" s="1">
        <v>508</v>
      </c>
    </row>
    <row r="1066" spans="1:20" ht="21" customHeight="1">
      <c r="A1066" s="8">
        <v>46266</v>
      </c>
      <c r="B1066" s="1" t="s">
        <v>36</v>
      </c>
      <c r="C1066" s="1" t="s">
        <v>87</v>
      </c>
      <c r="D1066" s="7">
        <v>9500</v>
      </c>
      <c r="E1066" s="7">
        <v>9900</v>
      </c>
      <c r="F1066" s="7"/>
      <c r="G1066" s="7">
        <f>'Option source'!B456</f>
        <v>19.03</v>
      </c>
      <c r="H1066" s="7">
        <f>'Option source'!B475</f>
        <v>11.44</v>
      </c>
      <c r="I1066" s="7"/>
      <c r="J1066" s="7">
        <f t="shared" si="112"/>
        <v>-3.8499999999999979</v>
      </c>
      <c r="K1066" s="7">
        <f t="shared" si="113"/>
        <v>400</v>
      </c>
      <c r="L1066" s="7">
        <f t="shared" si="114"/>
        <v>403.85</v>
      </c>
      <c r="M1066" s="7" t="str">
        <f t="shared" si="115"/>
        <v>Unlimited</v>
      </c>
      <c r="N1066" s="7" t="str">
        <f t="shared" si="116"/>
        <v>n.a.</v>
      </c>
      <c r="O1066" s="7">
        <f t="shared" si="117"/>
        <v>10303.85</v>
      </c>
      <c r="P1066" s="15" t="str">
        <f t="shared" si="118"/>
        <v>n.a.</v>
      </c>
      <c r="Q1066" s="7">
        <f>J1066*'Model inputs'!$B$8</f>
        <v>-384.99999999999977</v>
      </c>
      <c r="R1066" s="1" t="s">
        <v>162</v>
      </c>
      <c r="S1066" s="1">
        <v>451</v>
      </c>
      <c r="T1066" s="1">
        <v>470</v>
      </c>
    </row>
    <row r="1067" spans="1:20" ht="21" customHeight="1">
      <c r="A1067" s="8">
        <v>46266</v>
      </c>
      <c r="B1067" s="1" t="s">
        <v>36</v>
      </c>
      <c r="C1067" s="1" t="s">
        <v>90</v>
      </c>
      <c r="D1067" s="7">
        <v>4400</v>
      </c>
      <c r="E1067" s="7">
        <v>4200</v>
      </c>
      <c r="F1067" s="7"/>
      <c r="G1067" s="7">
        <f>'Option source'!B513</f>
        <v>1.22</v>
      </c>
      <c r="H1067" s="7">
        <f>'Option source'!B494</f>
        <v>0.97</v>
      </c>
      <c r="I1067" s="7"/>
      <c r="J1067" s="7">
        <f t="shared" si="112"/>
        <v>-0.72</v>
      </c>
      <c r="K1067" s="7">
        <f t="shared" si="113"/>
        <v>200</v>
      </c>
      <c r="L1067" s="7">
        <f t="shared" si="114"/>
        <v>200.72</v>
      </c>
      <c r="M1067" s="7">
        <f t="shared" si="115"/>
        <v>3999.28</v>
      </c>
      <c r="N1067" s="7">
        <f t="shared" si="116"/>
        <v>3999.28</v>
      </c>
      <c r="O1067" s="7" t="str">
        <f t="shared" si="117"/>
        <v>n.a.</v>
      </c>
      <c r="P1067" s="15" t="str">
        <f t="shared" si="118"/>
        <v>n.a.</v>
      </c>
      <c r="Q1067" s="7">
        <f>J1067*'Model inputs'!$B$8</f>
        <v>-72</v>
      </c>
      <c r="R1067" s="1" t="s">
        <v>162</v>
      </c>
      <c r="S1067" s="1">
        <v>508</v>
      </c>
      <c r="T1067" s="1">
        <v>489</v>
      </c>
    </row>
    <row r="1068" spans="1:20" ht="21" customHeight="1">
      <c r="A1068" s="8">
        <v>46266</v>
      </c>
      <c r="B1068" s="1" t="s">
        <v>36</v>
      </c>
      <c r="C1068" s="1" t="s">
        <v>87</v>
      </c>
      <c r="D1068" s="7">
        <v>6200</v>
      </c>
      <c r="E1068" s="7">
        <v>6400</v>
      </c>
      <c r="F1068" s="7"/>
      <c r="G1068" s="7">
        <f>'Option source'!B190</f>
        <v>1069</v>
      </c>
      <c r="H1068" s="7">
        <f>'Option source'!B209</f>
        <v>909.97</v>
      </c>
      <c r="I1068" s="7"/>
      <c r="J1068" s="7">
        <f t="shared" si="112"/>
        <v>-750.94</v>
      </c>
      <c r="K1068" s="7">
        <f t="shared" si="113"/>
        <v>200</v>
      </c>
      <c r="L1068" s="7">
        <f t="shared" si="114"/>
        <v>950.94</v>
      </c>
      <c r="M1068" s="7" t="str">
        <f t="shared" si="115"/>
        <v>Unlimited</v>
      </c>
      <c r="N1068" s="7" t="str">
        <f t="shared" si="116"/>
        <v>n.a.</v>
      </c>
      <c r="O1068" s="7">
        <f t="shared" si="117"/>
        <v>7350.9400000000005</v>
      </c>
      <c r="P1068" s="15" t="str">
        <f t="shared" si="118"/>
        <v>n.a.</v>
      </c>
      <c r="Q1068" s="7">
        <f>J1068*'Model inputs'!$B$8</f>
        <v>-75094</v>
      </c>
      <c r="R1068" s="1" t="s">
        <v>164</v>
      </c>
      <c r="S1068" s="1">
        <v>185</v>
      </c>
      <c r="T1068" s="1">
        <v>204</v>
      </c>
    </row>
    <row r="1069" spans="1:20" ht="21" customHeight="1">
      <c r="A1069" s="8">
        <v>46266</v>
      </c>
      <c r="B1069" s="1" t="s">
        <v>36</v>
      </c>
      <c r="C1069" s="1" t="s">
        <v>87</v>
      </c>
      <c r="D1069" s="7">
        <v>6000</v>
      </c>
      <c r="E1069" s="7">
        <v>6200</v>
      </c>
      <c r="F1069" s="7"/>
      <c r="G1069" s="7">
        <f>'Option source'!B171</f>
        <v>1200</v>
      </c>
      <c r="H1069" s="7">
        <f>'Option source'!B190</f>
        <v>1069</v>
      </c>
      <c r="I1069" s="7"/>
      <c r="J1069" s="7">
        <f t="shared" si="112"/>
        <v>-938</v>
      </c>
      <c r="K1069" s="7">
        <f t="shared" si="113"/>
        <v>200</v>
      </c>
      <c r="L1069" s="7">
        <f t="shared" si="114"/>
        <v>1138</v>
      </c>
      <c r="M1069" s="7" t="str">
        <f t="shared" si="115"/>
        <v>Unlimited</v>
      </c>
      <c r="N1069" s="7" t="str">
        <f t="shared" si="116"/>
        <v>n.a.</v>
      </c>
      <c r="O1069" s="7">
        <f t="shared" si="117"/>
        <v>7338</v>
      </c>
      <c r="P1069" s="15" t="str">
        <f t="shared" si="118"/>
        <v>n.a.</v>
      </c>
      <c r="Q1069" s="7">
        <f>J1069*'Model inputs'!$B$8</f>
        <v>-93800</v>
      </c>
      <c r="R1069" s="1" t="s">
        <v>164</v>
      </c>
      <c r="S1069" s="1">
        <v>166</v>
      </c>
      <c r="T1069" s="1">
        <v>185</v>
      </c>
    </row>
    <row r="1070" spans="1:20" ht="21" customHeight="1">
      <c r="A1070" s="8">
        <v>46266</v>
      </c>
      <c r="B1070" s="1" t="s">
        <v>36</v>
      </c>
      <c r="C1070" s="1" t="s">
        <v>90</v>
      </c>
      <c r="D1070" s="7">
        <v>8300</v>
      </c>
      <c r="E1070" s="7">
        <v>8000</v>
      </c>
      <c r="F1070" s="7"/>
      <c r="G1070" s="7">
        <f>'Option source'!B874</f>
        <v>1260</v>
      </c>
      <c r="H1070" s="7">
        <f>'Option source'!B855</f>
        <v>960</v>
      </c>
      <c r="I1070" s="7"/>
      <c r="J1070" s="7">
        <f t="shared" si="112"/>
        <v>-660</v>
      </c>
      <c r="K1070" s="7">
        <f t="shared" si="113"/>
        <v>300</v>
      </c>
      <c r="L1070" s="7">
        <f t="shared" si="114"/>
        <v>960</v>
      </c>
      <c r="M1070" s="7">
        <f t="shared" si="115"/>
        <v>7040</v>
      </c>
      <c r="N1070" s="7">
        <f t="shared" si="116"/>
        <v>7040</v>
      </c>
      <c r="O1070" s="7" t="str">
        <f t="shared" si="117"/>
        <v>n.a.</v>
      </c>
      <c r="P1070" s="15" t="str">
        <f t="shared" si="118"/>
        <v>n.a.</v>
      </c>
      <c r="Q1070" s="7">
        <f>J1070*'Model inputs'!$B$8</f>
        <v>-66000</v>
      </c>
      <c r="R1070" s="1" t="s">
        <v>164</v>
      </c>
      <c r="S1070" s="1">
        <v>869</v>
      </c>
      <c r="T1070" s="1">
        <v>850</v>
      </c>
    </row>
    <row r="1071" spans="1:20" ht="21" customHeight="1">
      <c r="A1071" s="8">
        <v>46266</v>
      </c>
      <c r="B1071" s="1" t="s">
        <v>36</v>
      </c>
      <c r="C1071" s="1" t="s">
        <v>87</v>
      </c>
      <c r="D1071" s="7">
        <v>5600</v>
      </c>
      <c r="E1071" s="7">
        <v>6000</v>
      </c>
      <c r="F1071" s="7"/>
      <c r="G1071" s="7">
        <f>'Option source'!B142</f>
        <v>1600</v>
      </c>
      <c r="H1071" s="7">
        <f>'Option source'!B171</f>
        <v>1200</v>
      </c>
      <c r="I1071" s="7"/>
      <c r="J1071" s="7">
        <f t="shared" si="112"/>
        <v>-800</v>
      </c>
      <c r="K1071" s="7">
        <f t="shared" si="113"/>
        <v>400</v>
      </c>
      <c r="L1071" s="7">
        <f t="shared" si="114"/>
        <v>1200</v>
      </c>
      <c r="M1071" s="7" t="str">
        <f t="shared" si="115"/>
        <v>Unlimited</v>
      </c>
      <c r="N1071" s="7" t="str">
        <f t="shared" si="116"/>
        <v>n.a.</v>
      </c>
      <c r="O1071" s="7">
        <f t="shared" si="117"/>
        <v>7200</v>
      </c>
      <c r="P1071" s="15" t="str">
        <f t="shared" si="118"/>
        <v>n.a.</v>
      </c>
      <c r="Q1071" s="7">
        <f>J1071*'Model inputs'!$B$8</f>
        <v>-80000</v>
      </c>
      <c r="R1071" s="1" t="s">
        <v>164</v>
      </c>
      <c r="S1071" s="1">
        <v>137</v>
      </c>
      <c r="T1071" s="1">
        <v>166</v>
      </c>
    </row>
    <row r="1072" spans="1:20" ht="21" customHeight="1">
      <c r="A1072" s="8">
        <v>46266</v>
      </c>
      <c r="B1072" s="1" t="s">
        <v>36</v>
      </c>
      <c r="C1072" s="1" t="s">
        <v>90</v>
      </c>
      <c r="D1072" s="7">
        <v>8600</v>
      </c>
      <c r="E1072" s="7">
        <v>8300</v>
      </c>
      <c r="F1072" s="7"/>
      <c r="G1072" s="7">
        <f>'Option source'!B893</f>
        <v>1650</v>
      </c>
      <c r="H1072" s="7">
        <f>'Option source'!B874</f>
        <v>1260</v>
      </c>
      <c r="I1072" s="7"/>
      <c r="J1072" s="7">
        <f t="shared" si="112"/>
        <v>-870</v>
      </c>
      <c r="K1072" s="7">
        <f t="shared" si="113"/>
        <v>300</v>
      </c>
      <c r="L1072" s="7">
        <f t="shared" si="114"/>
        <v>1170</v>
      </c>
      <c r="M1072" s="7">
        <f t="shared" si="115"/>
        <v>7130</v>
      </c>
      <c r="N1072" s="7">
        <f t="shared" si="116"/>
        <v>7130</v>
      </c>
      <c r="O1072" s="7" t="str">
        <f t="shared" si="117"/>
        <v>n.a.</v>
      </c>
      <c r="P1072" s="15" t="str">
        <f t="shared" si="118"/>
        <v>n.a.</v>
      </c>
      <c r="Q1072" s="7">
        <f>J1072*'Model inputs'!$B$8</f>
        <v>-87000</v>
      </c>
      <c r="R1072" s="1" t="s">
        <v>164</v>
      </c>
      <c r="S1072" s="1">
        <v>888</v>
      </c>
      <c r="T1072" s="1">
        <v>869</v>
      </c>
    </row>
    <row r="1073" spans="1:20" ht="21" customHeight="1">
      <c r="A1073" s="8">
        <v>46266</v>
      </c>
      <c r="B1073" s="1" t="s">
        <v>36</v>
      </c>
      <c r="C1073" s="1" t="s">
        <v>87</v>
      </c>
      <c r="D1073" s="7">
        <v>5400</v>
      </c>
      <c r="E1073" s="7">
        <v>5600</v>
      </c>
      <c r="F1073" s="7"/>
      <c r="G1073" s="7">
        <f>'Option source'!B124</f>
        <v>1790</v>
      </c>
      <c r="H1073" s="7">
        <f>'Option source'!B142</f>
        <v>1600</v>
      </c>
      <c r="I1073" s="7"/>
      <c r="J1073" s="7">
        <f t="shared" si="112"/>
        <v>-1410</v>
      </c>
      <c r="K1073" s="7">
        <f t="shared" si="113"/>
        <v>200</v>
      </c>
      <c r="L1073" s="7">
        <f t="shared" si="114"/>
        <v>1610</v>
      </c>
      <c r="M1073" s="7" t="str">
        <f t="shared" si="115"/>
        <v>Unlimited</v>
      </c>
      <c r="N1073" s="7" t="str">
        <f t="shared" si="116"/>
        <v>n.a.</v>
      </c>
      <c r="O1073" s="7">
        <f t="shared" si="117"/>
        <v>7210</v>
      </c>
      <c r="P1073" s="15" t="str">
        <f t="shared" si="118"/>
        <v>n.a.</v>
      </c>
      <c r="Q1073" s="7">
        <f>J1073*'Model inputs'!$B$8</f>
        <v>-141000</v>
      </c>
      <c r="R1073" s="1" t="s">
        <v>164</v>
      </c>
      <c r="S1073" s="1">
        <v>119</v>
      </c>
      <c r="T1073" s="1">
        <v>137</v>
      </c>
    </row>
    <row r="1074" spans="1:20" ht="21" customHeight="1">
      <c r="A1074" s="8">
        <v>46266</v>
      </c>
      <c r="B1074" s="1" t="s">
        <v>36</v>
      </c>
      <c r="C1074" s="1" t="s">
        <v>90</v>
      </c>
      <c r="D1074" s="7">
        <v>8900</v>
      </c>
      <c r="E1074" s="7">
        <v>8600</v>
      </c>
      <c r="F1074" s="7"/>
      <c r="G1074" s="7">
        <f>'Option source'!B908</f>
        <v>2022.5</v>
      </c>
      <c r="H1074" s="7">
        <f>'Option source'!B893</f>
        <v>1650</v>
      </c>
      <c r="I1074" s="7"/>
      <c r="J1074" s="7">
        <f t="shared" si="112"/>
        <v>-1277.5</v>
      </c>
      <c r="K1074" s="7">
        <f t="shared" si="113"/>
        <v>300</v>
      </c>
      <c r="L1074" s="7">
        <f t="shared" si="114"/>
        <v>1577.5</v>
      </c>
      <c r="M1074" s="7">
        <f t="shared" si="115"/>
        <v>7022.5</v>
      </c>
      <c r="N1074" s="7">
        <f t="shared" si="116"/>
        <v>7022.5</v>
      </c>
      <c r="O1074" s="7" t="str">
        <f t="shared" si="117"/>
        <v>n.a.</v>
      </c>
      <c r="P1074" s="15" t="str">
        <f t="shared" si="118"/>
        <v>n.a.</v>
      </c>
      <c r="Q1074" s="7">
        <f>J1074*'Model inputs'!$B$8</f>
        <v>-127750</v>
      </c>
      <c r="R1074" s="1" t="s">
        <v>164</v>
      </c>
      <c r="S1074" s="1">
        <v>903</v>
      </c>
      <c r="T1074" s="1">
        <v>888</v>
      </c>
    </row>
    <row r="1075" spans="1:20" ht="21" customHeight="1">
      <c r="A1075" s="8">
        <v>46266</v>
      </c>
      <c r="B1075" s="1" t="s">
        <v>36</v>
      </c>
      <c r="C1075" s="1" t="s">
        <v>87</v>
      </c>
      <c r="D1075" s="7">
        <v>5200</v>
      </c>
      <c r="E1075" s="7">
        <v>5400</v>
      </c>
      <c r="F1075" s="7"/>
      <c r="G1075" s="7">
        <f>'Option source'!B105</f>
        <v>1991.75</v>
      </c>
      <c r="H1075" s="7">
        <f>'Option source'!B124</f>
        <v>1790</v>
      </c>
      <c r="I1075" s="7"/>
      <c r="J1075" s="7">
        <f t="shared" si="112"/>
        <v>-1588.25</v>
      </c>
      <c r="K1075" s="7">
        <f t="shared" si="113"/>
        <v>200</v>
      </c>
      <c r="L1075" s="7">
        <f t="shared" si="114"/>
        <v>1788.25</v>
      </c>
      <c r="M1075" s="7" t="str">
        <f t="shared" si="115"/>
        <v>Unlimited</v>
      </c>
      <c r="N1075" s="7" t="str">
        <f t="shared" si="116"/>
        <v>n.a.</v>
      </c>
      <c r="O1075" s="7">
        <f t="shared" si="117"/>
        <v>7188.25</v>
      </c>
      <c r="P1075" s="15" t="str">
        <f t="shared" si="118"/>
        <v>n.a.</v>
      </c>
      <c r="Q1075" s="7">
        <f>J1075*'Model inputs'!$B$8</f>
        <v>-158825</v>
      </c>
      <c r="R1075" s="1" t="s">
        <v>164</v>
      </c>
      <c r="S1075" s="1">
        <v>100</v>
      </c>
      <c r="T1075" s="1">
        <v>119</v>
      </c>
    </row>
    <row r="1076" spans="1:20" ht="21" customHeight="1">
      <c r="A1076" s="8">
        <v>46266</v>
      </c>
      <c r="B1076" s="1" t="s">
        <v>36</v>
      </c>
      <c r="C1076" s="1" t="s">
        <v>87</v>
      </c>
      <c r="D1076" s="7">
        <v>5000</v>
      </c>
      <c r="E1076" s="7">
        <v>5200</v>
      </c>
      <c r="F1076" s="7"/>
      <c r="G1076" s="7">
        <f>'Option source'!B86</f>
        <v>2180</v>
      </c>
      <c r="H1076" s="7">
        <f>'Option source'!B105</f>
        <v>1991.75</v>
      </c>
      <c r="I1076" s="7"/>
      <c r="J1076" s="7">
        <f t="shared" si="112"/>
        <v>-1803.5</v>
      </c>
      <c r="K1076" s="7">
        <f t="shared" si="113"/>
        <v>200</v>
      </c>
      <c r="L1076" s="7">
        <f t="shared" si="114"/>
        <v>2003.5</v>
      </c>
      <c r="M1076" s="7" t="str">
        <f t="shared" si="115"/>
        <v>Unlimited</v>
      </c>
      <c r="N1076" s="7" t="str">
        <f t="shared" si="116"/>
        <v>n.a.</v>
      </c>
      <c r="O1076" s="7">
        <f t="shared" si="117"/>
        <v>7203.5</v>
      </c>
      <c r="P1076" s="15" t="str">
        <f t="shared" si="118"/>
        <v>n.a.</v>
      </c>
      <c r="Q1076" s="7">
        <f>J1076*'Model inputs'!$B$8</f>
        <v>-180350</v>
      </c>
      <c r="R1076" s="1" t="s">
        <v>164</v>
      </c>
      <c r="S1076" s="1">
        <v>81</v>
      </c>
      <c r="T1076" s="1">
        <v>100</v>
      </c>
    </row>
    <row r="1077" spans="1:20" ht="21" customHeight="1">
      <c r="A1077" s="8">
        <v>46266</v>
      </c>
      <c r="B1077" s="1" t="s">
        <v>36</v>
      </c>
      <c r="C1077" s="1" t="s">
        <v>87</v>
      </c>
      <c r="D1077" s="7">
        <v>4800</v>
      </c>
      <c r="E1077" s="7">
        <v>5000</v>
      </c>
      <c r="F1077" s="7"/>
      <c r="G1077" s="7">
        <f>'Option source'!B69</f>
        <v>2375</v>
      </c>
      <c r="H1077" s="7">
        <f>'Option source'!B86</f>
        <v>2180</v>
      </c>
      <c r="I1077" s="7"/>
      <c r="J1077" s="7">
        <f t="shared" si="112"/>
        <v>-1985</v>
      </c>
      <c r="K1077" s="7">
        <f t="shared" si="113"/>
        <v>200</v>
      </c>
      <c r="L1077" s="7">
        <f t="shared" si="114"/>
        <v>2185</v>
      </c>
      <c r="M1077" s="7" t="str">
        <f t="shared" si="115"/>
        <v>Unlimited</v>
      </c>
      <c r="N1077" s="7" t="str">
        <f t="shared" si="116"/>
        <v>n.a.</v>
      </c>
      <c r="O1077" s="7">
        <f t="shared" si="117"/>
        <v>7185</v>
      </c>
      <c r="P1077" s="15" t="str">
        <f t="shared" si="118"/>
        <v>n.a.</v>
      </c>
      <c r="Q1077" s="7">
        <f>J1077*'Model inputs'!$B$8</f>
        <v>-198500</v>
      </c>
      <c r="R1077" s="1" t="s">
        <v>164</v>
      </c>
      <c r="S1077" s="1">
        <v>64</v>
      </c>
      <c r="T1077" s="1">
        <v>81</v>
      </c>
    </row>
    <row r="1078" spans="1:20" ht="21" customHeight="1">
      <c r="A1078" s="8">
        <v>46266</v>
      </c>
      <c r="B1078" s="1" t="s">
        <v>36</v>
      </c>
      <c r="C1078" s="1" t="s">
        <v>87</v>
      </c>
      <c r="D1078" s="7">
        <v>4600</v>
      </c>
      <c r="E1078" s="7">
        <v>4800</v>
      </c>
      <c r="F1078" s="7"/>
      <c r="G1078" s="7">
        <f>'Option source'!B52</f>
        <v>2384.7199999999998</v>
      </c>
      <c r="H1078" s="7">
        <f>'Option source'!B69</f>
        <v>2375</v>
      </c>
      <c r="I1078" s="7"/>
      <c r="J1078" s="7">
        <f t="shared" si="112"/>
        <v>-2365.2800000000002</v>
      </c>
      <c r="K1078" s="7">
        <f t="shared" si="113"/>
        <v>200</v>
      </c>
      <c r="L1078" s="7">
        <f t="shared" si="114"/>
        <v>2565.2800000000002</v>
      </c>
      <c r="M1078" s="7" t="str">
        <f t="shared" si="115"/>
        <v>Unlimited</v>
      </c>
      <c r="N1078" s="7" t="str">
        <f t="shared" si="116"/>
        <v>n.a.</v>
      </c>
      <c r="O1078" s="7">
        <f t="shared" si="117"/>
        <v>7365.2800000000007</v>
      </c>
      <c r="P1078" s="15" t="str">
        <f t="shared" si="118"/>
        <v>n.a.</v>
      </c>
      <c r="Q1078" s="7">
        <f>J1078*'Model inputs'!$B$8</f>
        <v>-236528.00000000003</v>
      </c>
      <c r="R1078" s="1" t="s">
        <v>164</v>
      </c>
      <c r="S1078" s="1">
        <v>47</v>
      </c>
      <c r="T1078" s="1">
        <v>64</v>
      </c>
    </row>
    <row r="1079" spans="1:20" ht="21" customHeight="1">
      <c r="A1079" s="8">
        <v>46266</v>
      </c>
      <c r="B1079" s="1" t="s">
        <v>36</v>
      </c>
      <c r="C1079" s="1" t="s">
        <v>87</v>
      </c>
      <c r="D1079" s="7">
        <v>4400</v>
      </c>
      <c r="E1079" s="7">
        <v>4600</v>
      </c>
      <c r="F1079" s="7"/>
      <c r="G1079" s="7">
        <f>'Option source'!B33</f>
        <v>2746.82</v>
      </c>
      <c r="H1079" s="7">
        <f>'Option source'!B52</f>
        <v>2384.7199999999998</v>
      </c>
      <c r="I1079" s="7"/>
      <c r="J1079" s="7">
        <f t="shared" si="112"/>
        <v>-2022.6199999999994</v>
      </c>
      <c r="K1079" s="7">
        <f t="shared" si="113"/>
        <v>200</v>
      </c>
      <c r="L1079" s="7">
        <f t="shared" si="114"/>
        <v>2222.6199999999994</v>
      </c>
      <c r="M1079" s="7" t="str">
        <f t="shared" si="115"/>
        <v>Unlimited</v>
      </c>
      <c r="N1079" s="7" t="str">
        <f t="shared" si="116"/>
        <v>n.a.</v>
      </c>
      <c r="O1079" s="7">
        <f t="shared" si="117"/>
        <v>6822.619999999999</v>
      </c>
      <c r="P1079" s="15" t="str">
        <f t="shared" si="118"/>
        <v>n.a.</v>
      </c>
      <c r="Q1079" s="7">
        <f>J1079*'Model inputs'!$B$8</f>
        <v>-202261.99999999994</v>
      </c>
      <c r="R1079" s="1" t="s">
        <v>164</v>
      </c>
      <c r="S1079" s="1">
        <v>28</v>
      </c>
      <c r="T1079" s="1">
        <v>47</v>
      </c>
    </row>
    <row r="1080" spans="1:20" ht="21" customHeight="1">
      <c r="A1080" s="8">
        <v>46266</v>
      </c>
      <c r="B1080" s="1" t="s">
        <v>36</v>
      </c>
      <c r="C1080" s="1" t="s">
        <v>87</v>
      </c>
      <c r="D1080" s="7">
        <v>4200</v>
      </c>
      <c r="E1080" s="7">
        <v>4400</v>
      </c>
      <c r="F1080" s="7"/>
      <c r="G1080" s="7">
        <f>'Option source'!B14</f>
        <v>3017.35</v>
      </c>
      <c r="H1080" s="7">
        <f>'Option source'!B33</f>
        <v>2746.82</v>
      </c>
      <c r="I1080" s="7"/>
      <c r="J1080" s="7">
        <f t="shared" si="112"/>
        <v>-2476.2900000000004</v>
      </c>
      <c r="K1080" s="7">
        <f t="shared" si="113"/>
        <v>200</v>
      </c>
      <c r="L1080" s="7">
        <f t="shared" si="114"/>
        <v>2676.2900000000004</v>
      </c>
      <c r="M1080" s="7" t="str">
        <f t="shared" si="115"/>
        <v>Unlimited</v>
      </c>
      <c r="N1080" s="7" t="str">
        <f t="shared" si="116"/>
        <v>n.a.</v>
      </c>
      <c r="O1080" s="7">
        <f t="shared" si="117"/>
        <v>7076.2900000000009</v>
      </c>
      <c r="P1080" s="15" t="str">
        <f t="shared" si="118"/>
        <v>n.a.</v>
      </c>
      <c r="Q1080" s="7">
        <f>J1080*'Model inputs'!$B$8</f>
        <v>-247629.00000000003</v>
      </c>
      <c r="R1080" s="1" t="s">
        <v>164</v>
      </c>
      <c r="S1080" s="1">
        <v>9</v>
      </c>
      <c r="T1080" s="1">
        <v>28</v>
      </c>
    </row>
    <row r="1081" spans="1:20" ht="21" customHeight="1">
      <c r="A1081" s="8">
        <v>46265</v>
      </c>
      <c r="B1081" s="1" t="s">
        <v>34</v>
      </c>
      <c r="C1081" s="1" t="s">
        <v>87</v>
      </c>
      <c r="D1081" s="7">
        <v>6800</v>
      </c>
      <c r="E1081" s="7">
        <v>7000</v>
      </c>
      <c r="F1081" s="7">
        <v>7200</v>
      </c>
      <c r="G1081" s="7">
        <f>'Option source'!B246</f>
        <v>661.02</v>
      </c>
      <c r="H1081" s="7">
        <f>'Option source'!B265</f>
        <v>552.70000000000005</v>
      </c>
      <c r="I1081" s="7">
        <f>'Option source'!B284</f>
        <v>453.57</v>
      </c>
      <c r="J1081" s="7">
        <f t="shared" si="112"/>
        <v>9.189999999999884</v>
      </c>
      <c r="K1081" s="7">
        <f t="shared" si="113"/>
        <v>200</v>
      </c>
      <c r="L1081" s="7">
        <f t="shared" si="114"/>
        <v>190.81000000000012</v>
      </c>
      <c r="M1081" s="7">
        <f t="shared" si="115"/>
        <v>9.189999999999884</v>
      </c>
      <c r="N1081" s="7">
        <f t="shared" si="116"/>
        <v>6809.19</v>
      </c>
      <c r="O1081" s="7">
        <f t="shared" si="117"/>
        <v>7190.81</v>
      </c>
      <c r="P1081" s="15">
        <f t="shared" si="118"/>
        <v>20.762785636561755</v>
      </c>
      <c r="Q1081" s="7">
        <f>J1081*'Model inputs'!$B$8</f>
        <v>918.9999999999884</v>
      </c>
      <c r="R1081" s="1" t="s">
        <v>162</v>
      </c>
      <c r="S1081" s="1">
        <v>241</v>
      </c>
      <c r="T1081" s="1">
        <v>260</v>
      </c>
    </row>
    <row r="1082" spans="1:20" ht="21" customHeight="1">
      <c r="A1082" s="8">
        <v>46265</v>
      </c>
      <c r="B1082" s="1" t="s">
        <v>34</v>
      </c>
      <c r="C1082" s="1" t="s">
        <v>90</v>
      </c>
      <c r="D1082" s="7">
        <v>6800</v>
      </c>
      <c r="E1082" s="7">
        <v>7000</v>
      </c>
      <c r="F1082" s="7">
        <v>7200</v>
      </c>
      <c r="G1082" s="7">
        <f>'Option source'!B740</f>
        <v>262.94</v>
      </c>
      <c r="H1082" s="7">
        <f>'Option source'!B759</f>
        <v>346.09</v>
      </c>
      <c r="I1082" s="7">
        <f>'Option source'!B778</f>
        <v>447.89</v>
      </c>
      <c r="J1082" s="7">
        <f t="shared" si="112"/>
        <v>18.650000000000034</v>
      </c>
      <c r="K1082" s="7">
        <f t="shared" si="113"/>
        <v>200</v>
      </c>
      <c r="L1082" s="7">
        <f t="shared" si="114"/>
        <v>181.34999999999997</v>
      </c>
      <c r="M1082" s="7">
        <f t="shared" si="115"/>
        <v>18.650000000000034</v>
      </c>
      <c r="N1082" s="7">
        <f t="shared" si="116"/>
        <v>6818.65</v>
      </c>
      <c r="O1082" s="7">
        <f t="shared" si="117"/>
        <v>7181.35</v>
      </c>
      <c r="P1082" s="15">
        <f t="shared" si="118"/>
        <v>9.7238605898123129</v>
      </c>
      <c r="Q1082" s="7">
        <f>J1082*'Model inputs'!$B$8</f>
        <v>1865.0000000000034</v>
      </c>
      <c r="R1082" s="1" t="s">
        <v>162</v>
      </c>
      <c r="S1082" s="1">
        <v>735</v>
      </c>
      <c r="T1082" s="1">
        <v>754</v>
      </c>
    </row>
    <row r="1083" spans="1:20" ht="21" customHeight="1">
      <c r="A1083" s="8">
        <v>46265</v>
      </c>
      <c r="B1083" s="1" t="s">
        <v>34</v>
      </c>
      <c r="C1083" s="1" t="s">
        <v>87</v>
      </c>
      <c r="D1083" s="7">
        <v>7000</v>
      </c>
      <c r="E1083" s="7">
        <v>7200</v>
      </c>
      <c r="F1083" s="7">
        <v>7400</v>
      </c>
      <c r="G1083" s="7">
        <f>'Option source'!B265</f>
        <v>552.70000000000005</v>
      </c>
      <c r="H1083" s="7">
        <f>'Option source'!B284</f>
        <v>453.57</v>
      </c>
      <c r="I1083" s="7">
        <f>'Option source'!B303</f>
        <v>370.64</v>
      </c>
      <c r="J1083" s="7">
        <f t="shared" si="112"/>
        <v>16.200000000000045</v>
      </c>
      <c r="K1083" s="7">
        <f t="shared" si="113"/>
        <v>200</v>
      </c>
      <c r="L1083" s="7">
        <f t="shared" si="114"/>
        <v>183.79999999999995</v>
      </c>
      <c r="M1083" s="7">
        <f t="shared" si="115"/>
        <v>16.200000000000045</v>
      </c>
      <c r="N1083" s="7">
        <f t="shared" si="116"/>
        <v>7016.2</v>
      </c>
      <c r="O1083" s="7">
        <f t="shared" si="117"/>
        <v>7383.8</v>
      </c>
      <c r="P1083" s="15">
        <f t="shared" si="118"/>
        <v>11.345679012345645</v>
      </c>
      <c r="Q1083" s="7">
        <f>J1083*'Model inputs'!$B$8</f>
        <v>1620.0000000000045</v>
      </c>
      <c r="R1083" s="1" t="s">
        <v>162</v>
      </c>
      <c r="S1083" s="1">
        <v>260</v>
      </c>
      <c r="T1083" s="1">
        <v>279</v>
      </c>
    </row>
    <row r="1084" spans="1:20" ht="21" customHeight="1">
      <c r="A1084" s="8">
        <v>46265</v>
      </c>
      <c r="B1084" s="1" t="s">
        <v>34</v>
      </c>
      <c r="C1084" s="1" t="s">
        <v>90</v>
      </c>
      <c r="D1084" s="7">
        <v>7000</v>
      </c>
      <c r="E1084" s="7">
        <v>7200</v>
      </c>
      <c r="F1084" s="7">
        <v>7400</v>
      </c>
      <c r="G1084" s="7">
        <f>'Option source'!B759</f>
        <v>346.09</v>
      </c>
      <c r="H1084" s="7">
        <f>'Option source'!B778</f>
        <v>447.89</v>
      </c>
      <c r="I1084" s="7">
        <f>'Option source'!B797</f>
        <v>560.79</v>
      </c>
      <c r="J1084" s="7">
        <f t="shared" si="112"/>
        <v>11.099999999999909</v>
      </c>
      <c r="K1084" s="7">
        <f t="shared" si="113"/>
        <v>200</v>
      </c>
      <c r="L1084" s="7">
        <f t="shared" si="114"/>
        <v>188.90000000000009</v>
      </c>
      <c r="M1084" s="7">
        <f t="shared" si="115"/>
        <v>11.099999999999909</v>
      </c>
      <c r="N1084" s="7">
        <f t="shared" si="116"/>
        <v>7011.1</v>
      </c>
      <c r="O1084" s="7">
        <f t="shared" si="117"/>
        <v>7388.9</v>
      </c>
      <c r="P1084" s="15">
        <f t="shared" si="118"/>
        <v>17.018018018018164</v>
      </c>
      <c r="Q1084" s="7">
        <f>J1084*'Model inputs'!$B$8</f>
        <v>1109.9999999999909</v>
      </c>
      <c r="R1084" s="1" t="s">
        <v>162</v>
      </c>
      <c r="S1084" s="1">
        <v>754</v>
      </c>
      <c r="T1084" s="1">
        <v>773</v>
      </c>
    </row>
    <row r="1085" spans="1:20" ht="21" customHeight="1">
      <c r="A1085" s="8">
        <v>46265</v>
      </c>
      <c r="B1085" s="1" t="s">
        <v>34</v>
      </c>
      <c r="C1085" s="1" t="s">
        <v>87</v>
      </c>
      <c r="D1085" s="7">
        <v>6600</v>
      </c>
      <c r="E1085" s="7">
        <v>6800</v>
      </c>
      <c r="F1085" s="7">
        <v>7000</v>
      </c>
      <c r="G1085" s="7">
        <f>'Option source'!B227</f>
        <v>785.86</v>
      </c>
      <c r="H1085" s="7">
        <f>'Option source'!B246</f>
        <v>661.02</v>
      </c>
      <c r="I1085" s="7">
        <f>'Option source'!B265</f>
        <v>552.70000000000005</v>
      </c>
      <c r="J1085" s="7">
        <f t="shared" si="112"/>
        <v>16.520000000000095</v>
      </c>
      <c r="K1085" s="7">
        <f t="shared" si="113"/>
        <v>200</v>
      </c>
      <c r="L1085" s="7">
        <f t="shared" si="114"/>
        <v>183.4799999999999</v>
      </c>
      <c r="M1085" s="7">
        <f t="shared" si="115"/>
        <v>16.520000000000095</v>
      </c>
      <c r="N1085" s="7">
        <f t="shared" si="116"/>
        <v>6616.52</v>
      </c>
      <c r="O1085" s="7">
        <f t="shared" si="117"/>
        <v>6983.48</v>
      </c>
      <c r="P1085" s="15">
        <f t="shared" si="118"/>
        <v>11.106537530266273</v>
      </c>
      <c r="Q1085" s="7">
        <f>J1085*'Model inputs'!$B$8</f>
        <v>1652.0000000000095</v>
      </c>
      <c r="R1085" s="1" t="s">
        <v>162</v>
      </c>
      <c r="S1085" s="1">
        <v>222</v>
      </c>
      <c r="T1085" s="1">
        <v>241</v>
      </c>
    </row>
    <row r="1086" spans="1:20" ht="21" customHeight="1">
      <c r="A1086" s="8">
        <v>46265</v>
      </c>
      <c r="B1086" s="1" t="s">
        <v>34</v>
      </c>
      <c r="C1086" s="1" t="s">
        <v>90</v>
      </c>
      <c r="D1086" s="7">
        <v>6600</v>
      </c>
      <c r="E1086" s="7">
        <v>6800</v>
      </c>
      <c r="F1086" s="7">
        <v>7000</v>
      </c>
      <c r="G1086" s="7">
        <f>'Option source'!B721</f>
        <v>193.67</v>
      </c>
      <c r="H1086" s="7">
        <f>'Option source'!B740</f>
        <v>262.94</v>
      </c>
      <c r="I1086" s="7">
        <f>'Option source'!B759</f>
        <v>346.09</v>
      </c>
      <c r="J1086" s="7">
        <f t="shared" si="112"/>
        <v>13.879999999999939</v>
      </c>
      <c r="K1086" s="7">
        <f t="shared" si="113"/>
        <v>200</v>
      </c>
      <c r="L1086" s="7">
        <f t="shared" si="114"/>
        <v>186.12000000000006</v>
      </c>
      <c r="M1086" s="7">
        <f t="shared" si="115"/>
        <v>13.879999999999939</v>
      </c>
      <c r="N1086" s="7">
        <f t="shared" si="116"/>
        <v>6613.88</v>
      </c>
      <c r="O1086" s="7">
        <f t="shared" si="117"/>
        <v>6986.12</v>
      </c>
      <c r="P1086" s="15">
        <f t="shared" si="118"/>
        <v>13.409221902017356</v>
      </c>
      <c r="Q1086" s="7">
        <f>J1086*'Model inputs'!$B$8</f>
        <v>1387.9999999999939</v>
      </c>
      <c r="R1086" s="1" t="s">
        <v>162</v>
      </c>
      <c r="S1086" s="1">
        <v>716</v>
      </c>
      <c r="T1086" s="1">
        <v>735</v>
      </c>
    </row>
    <row r="1087" spans="1:20" ht="21" customHeight="1">
      <c r="A1087" s="8">
        <v>46265</v>
      </c>
      <c r="B1087" s="1" t="s">
        <v>34</v>
      </c>
      <c r="C1087" s="1" t="s">
        <v>87</v>
      </c>
      <c r="D1087" s="7">
        <v>7200</v>
      </c>
      <c r="E1087" s="7">
        <v>7400</v>
      </c>
      <c r="F1087" s="7">
        <v>7600</v>
      </c>
      <c r="G1087" s="7">
        <f>'Option source'!B284</f>
        <v>453.57</v>
      </c>
      <c r="H1087" s="7">
        <f>'Option source'!B303</f>
        <v>370.64</v>
      </c>
      <c r="I1087" s="7">
        <f>'Option source'!B322</f>
        <v>290.89999999999998</v>
      </c>
      <c r="J1087" s="7">
        <f t="shared" si="112"/>
        <v>3.1899999999999977</v>
      </c>
      <c r="K1087" s="7">
        <f t="shared" si="113"/>
        <v>200</v>
      </c>
      <c r="L1087" s="7">
        <f t="shared" si="114"/>
        <v>196.81</v>
      </c>
      <c r="M1087" s="7">
        <f t="shared" si="115"/>
        <v>3.1899999999999977</v>
      </c>
      <c r="N1087" s="7">
        <f t="shared" si="116"/>
        <v>7203.19</v>
      </c>
      <c r="O1087" s="7">
        <f t="shared" si="117"/>
        <v>7596.81</v>
      </c>
      <c r="P1087" s="15">
        <f t="shared" si="118"/>
        <v>61.695924764890329</v>
      </c>
      <c r="Q1087" s="7">
        <f>J1087*'Model inputs'!$B$8</f>
        <v>318.99999999999977</v>
      </c>
      <c r="R1087" s="1" t="s">
        <v>162</v>
      </c>
      <c r="S1087" s="1">
        <v>279</v>
      </c>
      <c r="T1087" s="1">
        <v>298</v>
      </c>
    </row>
    <row r="1088" spans="1:20" ht="21" customHeight="1">
      <c r="A1088" s="8">
        <v>46265</v>
      </c>
      <c r="B1088" s="1" t="s">
        <v>34</v>
      </c>
      <c r="C1088" s="1" t="s">
        <v>90</v>
      </c>
      <c r="D1088" s="7">
        <v>7200</v>
      </c>
      <c r="E1088" s="7">
        <v>7400</v>
      </c>
      <c r="F1088" s="7">
        <v>7600</v>
      </c>
      <c r="G1088" s="7">
        <f>'Option source'!B778</f>
        <v>447.89</v>
      </c>
      <c r="H1088" s="7">
        <f>'Option source'!B797</f>
        <v>560.79</v>
      </c>
      <c r="I1088" s="7">
        <f>'Option source'!B816</f>
        <v>677.61</v>
      </c>
      <c r="J1088" s="7">
        <f t="shared" si="112"/>
        <v>3.9200000000000728</v>
      </c>
      <c r="K1088" s="7">
        <f t="shared" si="113"/>
        <v>200</v>
      </c>
      <c r="L1088" s="7">
        <f t="shared" si="114"/>
        <v>196.07999999999993</v>
      </c>
      <c r="M1088" s="7">
        <f t="shared" si="115"/>
        <v>3.9200000000000728</v>
      </c>
      <c r="N1088" s="7">
        <f t="shared" si="116"/>
        <v>7203.92</v>
      </c>
      <c r="O1088" s="7">
        <f t="shared" si="117"/>
        <v>7596.08</v>
      </c>
      <c r="P1088" s="15">
        <f t="shared" si="118"/>
        <v>50.020408163264356</v>
      </c>
      <c r="Q1088" s="7">
        <f>J1088*'Model inputs'!$B$8</f>
        <v>392.00000000000728</v>
      </c>
      <c r="R1088" s="1" t="s">
        <v>162</v>
      </c>
      <c r="S1088" s="1">
        <v>773</v>
      </c>
      <c r="T1088" s="1">
        <v>792</v>
      </c>
    </row>
    <row r="1089" spans="1:20" ht="21" customHeight="1">
      <c r="A1089" s="8">
        <v>46265</v>
      </c>
      <c r="B1089" s="1" t="s">
        <v>34</v>
      </c>
      <c r="C1089" s="1" t="s">
        <v>87</v>
      </c>
      <c r="D1089" s="7">
        <v>6400</v>
      </c>
      <c r="E1089" s="7">
        <v>6600</v>
      </c>
      <c r="F1089" s="7">
        <v>6800</v>
      </c>
      <c r="G1089" s="7">
        <f>'Option source'!B208</f>
        <v>925</v>
      </c>
      <c r="H1089" s="7">
        <f>'Option source'!B227</f>
        <v>785.86</v>
      </c>
      <c r="I1089" s="7">
        <f>'Option source'!B246</f>
        <v>661.02</v>
      </c>
      <c r="J1089" s="7">
        <f t="shared" si="112"/>
        <v>14.299999999999955</v>
      </c>
      <c r="K1089" s="7">
        <f t="shared" si="113"/>
        <v>200</v>
      </c>
      <c r="L1089" s="7">
        <f t="shared" si="114"/>
        <v>185.70000000000005</v>
      </c>
      <c r="M1089" s="7">
        <f t="shared" si="115"/>
        <v>14.299999999999955</v>
      </c>
      <c r="N1089" s="7">
        <f t="shared" si="116"/>
        <v>6414.3</v>
      </c>
      <c r="O1089" s="7">
        <f t="shared" si="117"/>
        <v>6785.7</v>
      </c>
      <c r="P1089" s="15">
        <f t="shared" si="118"/>
        <v>12.986013986014031</v>
      </c>
      <c r="Q1089" s="7">
        <f>J1089*'Model inputs'!$B$8</f>
        <v>1429.9999999999955</v>
      </c>
      <c r="R1089" s="1" t="s">
        <v>162</v>
      </c>
      <c r="S1089" s="1">
        <v>203</v>
      </c>
      <c r="T1089" s="1">
        <v>222</v>
      </c>
    </row>
    <row r="1090" spans="1:20" ht="21" customHeight="1">
      <c r="A1090" s="8">
        <v>46265</v>
      </c>
      <c r="B1090" s="1" t="s">
        <v>34</v>
      </c>
      <c r="C1090" s="1" t="s">
        <v>90</v>
      </c>
      <c r="D1090" s="7">
        <v>6400</v>
      </c>
      <c r="E1090" s="7">
        <v>6600</v>
      </c>
      <c r="F1090" s="7">
        <v>6800</v>
      </c>
      <c r="G1090" s="7">
        <f>'Option source'!B702</f>
        <v>137.66999999999999</v>
      </c>
      <c r="H1090" s="7">
        <f>'Option source'!B721</f>
        <v>193.67</v>
      </c>
      <c r="I1090" s="7">
        <f>'Option source'!B740</f>
        <v>262.94</v>
      </c>
      <c r="J1090" s="7">
        <f t="shared" si="112"/>
        <v>13.27000000000001</v>
      </c>
      <c r="K1090" s="7">
        <f t="shared" si="113"/>
        <v>200</v>
      </c>
      <c r="L1090" s="7">
        <f t="shared" si="114"/>
        <v>186.73</v>
      </c>
      <c r="M1090" s="7">
        <f t="shared" si="115"/>
        <v>13.27000000000001</v>
      </c>
      <c r="N1090" s="7">
        <f t="shared" si="116"/>
        <v>6413.27</v>
      </c>
      <c r="O1090" s="7">
        <f t="shared" si="117"/>
        <v>6786.73</v>
      </c>
      <c r="P1090" s="15">
        <f t="shared" si="118"/>
        <v>14.071590052750553</v>
      </c>
      <c r="Q1090" s="7">
        <f>J1090*'Model inputs'!$B$8</f>
        <v>1327.0000000000009</v>
      </c>
      <c r="R1090" s="1" t="s">
        <v>162</v>
      </c>
      <c r="S1090" s="1">
        <v>697</v>
      </c>
      <c r="T1090" s="1">
        <v>716</v>
      </c>
    </row>
    <row r="1091" spans="1:20" ht="21" customHeight="1">
      <c r="A1091" s="8">
        <v>46265</v>
      </c>
      <c r="B1091" s="1" t="s">
        <v>34</v>
      </c>
      <c r="C1091" s="1" t="s">
        <v>87</v>
      </c>
      <c r="D1091" s="7">
        <v>7400</v>
      </c>
      <c r="E1091" s="7">
        <v>7600</v>
      </c>
      <c r="F1091" s="7">
        <v>7800</v>
      </c>
      <c r="G1091" s="7">
        <f>'Option source'!B303</f>
        <v>370.64</v>
      </c>
      <c r="H1091" s="7">
        <f>'Option source'!B322</f>
        <v>290.89999999999998</v>
      </c>
      <c r="I1091" s="7">
        <f>'Option source'!B341</f>
        <v>228.38</v>
      </c>
      <c r="J1091" s="7">
        <f t="shared" si="112"/>
        <v>17.220000000000027</v>
      </c>
      <c r="K1091" s="7">
        <f t="shared" si="113"/>
        <v>200</v>
      </c>
      <c r="L1091" s="7">
        <f t="shared" si="114"/>
        <v>182.77999999999997</v>
      </c>
      <c r="M1091" s="7">
        <f t="shared" si="115"/>
        <v>17.220000000000027</v>
      </c>
      <c r="N1091" s="7">
        <f t="shared" si="116"/>
        <v>7417.22</v>
      </c>
      <c r="O1091" s="7">
        <f t="shared" si="117"/>
        <v>7782.78</v>
      </c>
      <c r="P1091" s="15">
        <f t="shared" si="118"/>
        <v>10.614401858304278</v>
      </c>
      <c r="Q1091" s="7">
        <f>J1091*'Model inputs'!$B$8</f>
        <v>1722.0000000000027</v>
      </c>
      <c r="R1091" s="1" t="s">
        <v>162</v>
      </c>
      <c r="S1091" s="1">
        <v>298</v>
      </c>
      <c r="T1091" s="1">
        <v>317</v>
      </c>
    </row>
    <row r="1092" spans="1:20" ht="21" customHeight="1">
      <c r="A1092" s="8">
        <v>46265</v>
      </c>
      <c r="B1092" s="1" t="s">
        <v>34</v>
      </c>
      <c r="C1092" s="1" t="s">
        <v>87</v>
      </c>
      <c r="D1092" s="7">
        <v>6200</v>
      </c>
      <c r="E1092" s="7">
        <v>6400</v>
      </c>
      <c r="F1092" s="7">
        <v>6600</v>
      </c>
      <c r="G1092" s="7">
        <f>'Option source'!B189</f>
        <v>1069</v>
      </c>
      <c r="H1092" s="7">
        <f>'Option source'!B208</f>
        <v>925</v>
      </c>
      <c r="I1092" s="7">
        <f>'Option source'!B227</f>
        <v>785.86</v>
      </c>
      <c r="J1092" s="7">
        <f t="shared" si="112"/>
        <v>4.8600000000000136</v>
      </c>
      <c r="K1092" s="7">
        <f t="shared" si="113"/>
        <v>200</v>
      </c>
      <c r="L1092" s="7">
        <f t="shared" si="114"/>
        <v>195.14</v>
      </c>
      <c r="M1092" s="7">
        <f t="shared" si="115"/>
        <v>4.8600000000000136</v>
      </c>
      <c r="N1092" s="7">
        <f t="shared" si="116"/>
        <v>6204.86</v>
      </c>
      <c r="O1092" s="7">
        <f t="shared" si="117"/>
        <v>6595.14</v>
      </c>
      <c r="P1092" s="15">
        <f t="shared" si="118"/>
        <v>40.152263374485479</v>
      </c>
      <c r="Q1092" s="7">
        <f>J1092*'Model inputs'!$B$8</f>
        <v>486.00000000000136</v>
      </c>
      <c r="R1092" s="1" t="s">
        <v>162</v>
      </c>
      <c r="S1092" s="1">
        <v>184</v>
      </c>
      <c r="T1092" s="1">
        <v>203</v>
      </c>
    </row>
    <row r="1093" spans="1:20" ht="21" customHeight="1">
      <c r="A1093" s="8">
        <v>46265</v>
      </c>
      <c r="B1093" s="1" t="s">
        <v>34</v>
      </c>
      <c r="C1093" s="1" t="s">
        <v>90</v>
      </c>
      <c r="D1093" s="7">
        <v>6200</v>
      </c>
      <c r="E1093" s="7">
        <v>6400</v>
      </c>
      <c r="F1093" s="7">
        <v>6600</v>
      </c>
      <c r="G1093" s="7">
        <f>'Option source'!B683</f>
        <v>90.19</v>
      </c>
      <c r="H1093" s="7">
        <f>'Option source'!B702</f>
        <v>137.66999999999999</v>
      </c>
      <c r="I1093" s="7">
        <f>'Option source'!B721</f>
        <v>193.67</v>
      </c>
      <c r="J1093" s="7">
        <f t="shared" si="112"/>
        <v>8.5200000000000102</v>
      </c>
      <c r="K1093" s="7">
        <f t="shared" si="113"/>
        <v>200</v>
      </c>
      <c r="L1093" s="7">
        <f t="shared" si="114"/>
        <v>191.48</v>
      </c>
      <c r="M1093" s="7">
        <f t="shared" si="115"/>
        <v>8.5200000000000102</v>
      </c>
      <c r="N1093" s="7">
        <f t="shared" si="116"/>
        <v>6208.52</v>
      </c>
      <c r="O1093" s="7">
        <f t="shared" si="117"/>
        <v>6591.48</v>
      </c>
      <c r="P1093" s="15">
        <f t="shared" si="118"/>
        <v>22.47417840375584</v>
      </c>
      <c r="Q1093" s="7">
        <f>J1093*'Model inputs'!$B$8</f>
        <v>852.00000000000102</v>
      </c>
      <c r="R1093" s="1" t="s">
        <v>162</v>
      </c>
      <c r="S1093" s="1">
        <v>678</v>
      </c>
      <c r="T1093" s="1">
        <v>697</v>
      </c>
    </row>
    <row r="1094" spans="1:20" ht="21" customHeight="1">
      <c r="A1094" s="8">
        <v>46265</v>
      </c>
      <c r="B1094" s="1" t="s">
        <v>34</v>
      </c>
      <c r="C1094" s="1" t="s">
        <v>87</v>
      </c>
      <c r="D1094" s="7">
        <v>7600</v>
      </c>
      <c r="E1094" s="7">
        <v>7800</v>
      </c>
      <c r="F1094" s="7">
        <v>8000</v>
      </c>
      <c r="G1094" s="7">
        <f>'Option source'!B322</f>
        <v>290.89999999999998</v>
      </c>
      <c r="H1094" s="7">
        <f>'Option source'!B341</f>
        <v>228.38</v>
      </c>
      <c r="I1094" s="7">
        <f>'Option source'!B360</f>
        <v>178.25</v>
      </c>
      <c r="J1094" s="7">
        <f t="shared" si="112"/>
        <v>12.389999999999986</v>
      </c>
      <c r="K1094" s="7">
        <f t="shared" si="113"/>
        <v>200</v>
      </c>
      <c r="L1094" s="7">
        <f t="shared" si="114"/>
        <v>187.61</v>
      </c>
      <c r="M1094" s="7">
        <f t="shared" si="115"/>
        <v>12.389999999999986</v>
      </c>
      <c r="N1094" s="7">
        <f t="shared" si="116"/>
        <v>7612.39</v>
      </c>
      <c r="O1094" s="7">
        <f t="shared" si="117"/>
        <v>7987.61</v>
      </c>
      <c r="P1094" s="15">
        <f t="shared" si="118"/>
        <v>15.142050040355143</v>
      </c>
      <c r="Q1094" s="7">
        <f>J1094*'Model inputs'!$B$8</f>
        <v>1238.9999999999986</v>
      </c>
      <c r="R1094" s="1" t="s">
        <v>162</v>
      </c>
      <c r="S1094" s="1">
        <v>317</v>
      </c>
      <c r="T1094" s="1">
        <v>336</v>
      </c>
    </row>
    <row r="1095" spans="1:20" ht="21" customHeight="1">
      <c r="A1095" s="8">
        <v>46265</v>
      </c>
      <c r="B1095" s="1" t="s">
        <v>34</v>
      </c>
      <c r="C1095" s="1" t="s">
        <v>90</v>
      </c>
      <c r="D1095" s="7">
        <v>6000</v>
      </c>
      <c r="E1095" s="7">
        <v>6200</v>
      </c>
      <c r="F1095" s="7">
        <v>6400</v>
      </c>
      <c r="G1095" s="7">
        <f>'Option source'!B664</f>
        <v>61.12</v>
      </c>
      <c r="H1095" s="7">
        <f>'Option source'!B683</f>
        <v>90.19</v>
      </c>
      <c r="I1095" s="7">
        <f>'Option source'!B702</f>
        <v>137.66999999999999</v>
      </c>
      <c r="J1095" s="7">
        <f t="shared" ref="J1095:J1158" si="119">G1095-2*H1095+IF(B1095="Butterfly",I1095,0)</f>
        <v>18.409999999999997</v>
      </c>
      <c r="K1095" s="7">
        <f t="shared" ref="K1095:K1158" si="120">ABS(E1095-D1095)</f>
        <v>200</v>
      </c>
      <c r="L1095" s="7">
        <f t="shared" ref="L1095:L1158" si="121">K1095-J1095</f>
        <v>181.59</v>
      </c>
      <c r="M1095" s="7">
        <f t="shared" ref="M1095:M1158" si="122">IF(B1095="Butterfly",MAX(J1095,0),IF(C1095="call","Unlimited",MAX(2*E1095-D1095+J1095,J1095,0)))</f>
        <v>18.409999999999997</v>
      </c>
      <c r="N1095" s="7">
        <f t="shared" ref="N1095:N1158" si="123">IF(B1095="Butterfly",IF(AND(J1095&gt;0,J1095&lt;K1095),D1095+J1095,"n.a."),IF(C1095="call",IF(AND(J1095&gt;0,J1095&lt;K1095),D1095+J1095,"n.a."),IF(AND(K1095&gt;J1095,2*E1095-D1095+J1095&gt;=0),2*E1095-D1095+J1095,"n.a.")))</f>
        <v>6018.41</v>
      </c>
      <c r="O1095" s="7">
        <f t="shared" ref="O1095:O1158" si="124">IF(B1095="Butterfly",IF(AND(J1095&gt;0,J1095&lt;K1095),F1095-J1095,"n.a."),IF(C1095="call",IF(K1095&gt;J1095,2*E1095-D1095-J1095,"n.a."),IF(AND(J1095&gt;0,J1095&lt;K1095),D1095-J1095,"n.a.")))</f>
        <v>6381.59</v>
      </c>
      <c r="P1095" s="15">
        <f t="shared" ref="P1095:P1158" si="125">IF(AND(B1095="Butterfly",J1095&gt;0,J1095&lt;K1095),L1095/J1095,"n.a.")</f>
        <v>9.8636610537751235</v>
      </c>
      <c r="Q1095" s="7">
        <f>J1095*'Model inputs'!$B$8</f>
        <v>1840.9999999999995</v>
      </c>
      <c r="R1095" s="1" t="s">
        <v>162</v>
      </c>
      <c r="S1095" s="1">
        <v>659</v>
      </c>
      <c r="T1095" s="1">
        <v>678</v>
      </c>
    </row>
    <row r="1096" spans="1:20" ht="21" customHeight="1">
      <c r="A1096" s="8">
        <v>46265</v>
      </c>
      <c r="B1096" s="1" t="s">
        <v>34</v>
      </c>
      <c r="C1096" s="1" t="s">
        <v>90</v>
      </c>
      <c r="D1096" s="7">
        <v>5800</v>
      </c>
      <c r="E1096" s="7">
        <v>6000</v>
      </c>
      <c r="F1096" s="7">
        <v>6200</v>
      </c>
      <c r="G1096" s="7">
        <f>'Option source'!B645</f>
        <v>36.96</v>
      </c>
      <c r="H1096" s="7">
        <f>'Option source'!B664</f>
        <v>61.12</v>
      </c>
      <c r="I1096" s="7">
        <f>'Option source'!B683</f>
        <v>90.19</v>
      </c>
      <c r="J1096" s="7">
        <f t="shared" si="119"/>
        <v>4.9099999999999966</v>
      </c>
      <c r="K1096" s="7">
        <f t="shared" si="120"/>
        <v>200</v>
      </c>
      <c r="L1096" s="7">
        <f t="shared" si="121"/>
        <v>195.09</v>
      </c>
      <c r="M1096" s="7">
        <f t="shared" si="122"/>
        <v>4.9099999999999966</v>
      </c>
      <c r="N1096" s="7">
        <f t="shared" si="123"/>
        <v>5804.91</v>
      </c>
      <c r="O1096" s="7">
        <f t="shared" si="124"/>
        <v>6195.09</v>
      </c>
      <c r="P1096" s="15">
        <f t="shared" si="125"/>
        <v>39.733197556008172</v>
      </c>
      <c r="Q1096" s="7">
        <f>J1096*'Model inputs'!$B$8</f>
        <v>490.99999999999966</v>
      </c>
      <c r="R1096" s="1" t="s">
        <v>162</v>
      </c>
      <c r="S1096" s="1">
        <v>640</v>
      </c>
      <c r="T1096" s="1">
        <v>659</v>
      </c>
    </row>
    <row r="1097" spans="1:20" ht="21" customHeight="1">
      <c r="A1097" s="8">
        <v>46265</v>
      </c>
      <c r="B1097" s="1" t="s">
        <v>34</v>
      </c>
      <c r="C1097" s="1" t="s">
        <v>90</v>
      </c>
      <c r="D1097" s="7">
        <v>5600</v>
      </c>
      <c r="E1097" s="7">
        <v>5800</v>
      </c>
      <c r="F1097" s="7">
        <v>6000</v>
      </c>
      <c r="G1097" s="7">
        <f>'Option source'!B626</f>
        <v>22.98</v>
      </c>
      <c r="H1097" s="7">
        <f>'Option source'!B645</f>
        <v>36.96</v>
      </c>
      <c r="I1097" s="7">
        <f>'Option source'!B664</f>
        <v>61.12</v>
      </c>
      <c r="J1097" s="7">
        <f t="shared" si="119"/>
        <v>10.18</v>
      </c>
      <c r="K1097" s="7">
        <f t="shared" si="120"/>
        <v>200</v>
      </c>
      <c r="L1097" s="7">
        <f t="shared" si="121"/>
        <v>189.82</v>
      </c>
      <c r="M1097" s="7">
        <f t="shared" si="122"/>
        <v>10.18</v>
      </c>
      <c r="N1097" s="7">
        <f t="shared" si="123"/>
        <v>5610.18</v>
      </c>
      <c r="O1097" s="7">
        <f t="shared" si="124"/>
        <v>5989.82</v>
      </c>
      <c r="P1097" s="15">
        <f t="shared" si="125"/>
        <v>18.646365422396855</v>
      </c>
      <c r="Q1097" s="7">
        <f>J1097*'Model inputs'!$B$8</f>
        <v>1018</v>
      </c>
      <c r="R1097" s="1" t="s">
        <v>162</v>
      </c>
      <c r="S1097" s="1">
        <v>621</v>
      </c>
      <c r="T1097" s="1">
        <v>640</v>
      </c>
    </row>
    <row r="1098" spans="1:20" ht="21" customHeight="1">
      <c r="A1098" s="8">
        <v>46265</v>
      </c>
      <c r="B1098" s="1" t="s">
        <v>34</v>
      </c>
      <c r="C1098" s="1" t="s">
        <v>87</v>
      </c>
      <c r="D1098" s="7">
        <v>8000</v>
      </c>
      <c r="E1098" s="7">
        <v>8300</v>
      </c>
      <c r="F1098" s="7">
        <v>8600</v>
      </c>
      <c r="G1098" s="7">
        <f>'Option source'!B360</f>
        <v>178.25</v>
      </c>
      <c r="H1098" s="7">
        <f>'Option source'!B379</f>
        <v>114.25</v>
      </c>
      <c r="I1098" s="7">
        <f>'Option source'!B398</f>
        <v>73.69</v>
      </c>
      <c r="J1098" s="7">
        <f t="shared" si="119"/>
        <v>23.439999999999998</v>
      </c>
      <c r="K1098" s="7">
        <f t="shared" si="120"/>
        <v>300</v>
      </c>
      <c r="L1098" s="7">
        <f t="shared" si="121"/>
        <v>276.56</v>
      </c>
      <c r="M1098" s="7">
        <f t="shared" si="122"/>
        <v>23.439999999999998</v>
      </c>
      <c r="N1098" s="7">
        <f t="shared" si="123"/>
        <v>8023.44</v>
      </c>
      <c r="O1098" s="7">
        <f t="shared" si="124"/>
        <v>8576.56</v>
      </c>
      <c r="P1098" s="15">
        <f t="shared" si="125"/>
        <v>11.798634812286691</v>
      </c>
      <c r="Q1098" s="7">
        <f>J1098*'Model inputs'!$B$8</f>
        <v>2344</v>
      </c>
      <c r="R1098" s="1" t="s">
        <v>162</v>
      </c>
      <c r="S1098" s="1">
        <v>355</v>
      </c>
      <c r="T1098" s="1">
        <v>374</v>
      </c>
    </row>
    <row r="1099" spans="1:20" ht="21" customHeight="1">
      <c r="A1099" s="8">
        <v>46265</v>
      </c>
      <c r="B1099" s="1" t="s">
        <v>34</v>
      </c>
      <c r="C1099" s="1" t="s">
        <v>90</v>
      </c>
      <c r="D1099" s="7">
        <v>5400</v>
      </c>
      <c r="E1099" s="7">
        <v>5600</v>
      </c>
      <c r="F1099" s="7">
        <v>5800</v>
      </c>
      <c r="G1099" s="7">
        <f>'Option source'!B607</f>
        <v>12.73</v>
      </c>
      <c r="H1099" s="7">
        <f>'Option source'!B626</f>
        <v>22.98</v>
      </c>
      <c r="I1099" s="7">
        <f>'Option source'!B645</f>
        <v>36.96</v>
      </c>
      <c r="J1099" s="7">
        <f t="shared" si="119"/>
        <v>3.7299999999999969</v>
      </c>
      <c r="K1099" s="7">
        <f t="shared" si="120"/>
        <v>200</v>
      </c>
      <c r="L1099" s="7">
        <f t="shared" si="121"/>
        <v>196.27</v>
      </c>
      <c r="M1099" s="7">
        <f t="shared" si="122"/>
        <v>3.7299999999999969</v>
      </c>
      <c r="N1099" s="7">
        <f t="shared" si="123"/>
        <v>5403.73</v>
      </c>
      <c r="O1099" s="7">
        <f t="shared" si="124"/>
        <v>5796.27</v>
      </c>
      <c r="P1099" s="15">
        <f t="shared" si="125"/>
        <v>52.619302949061712</v>
      </c>
      <c r="Q1099" s="7">
        <f>J1099*'Model inputs'!$B$8</f>
        <v>372.99999999999966</v>
      </c>
      <c r="R1099" s="1" t="s">
        <v>162</v>
      </c>
      <c r="S1099" s="1">
        <v>602</v>
      </c>
      <c r="T1099" s="1">
        <v>621</v>
      </c>
    </row>
    <row r="1100" spans="1:20" ht="21" customHeight="1">
      <c r="A1100" s="8">
        <v>46265</v>
      </c>
      <c r="B1100" s="1" t="s">
        <v>34</v>
      </c>
      <c r="C1100" s="1" t="s">
        <v>87</v>
      </c>
      <c r="D1100" s="7">
        <v>8300</v>
      </c>
      <c r="E1100" s="7">
        <v>8600</v>
      </c>
      <c r="F1100" s="7">
        <v>8900</v>
      </c>
      <c r="G1100" s="7">
        <f>'Option source'!B379</f>
        <v>114.25</v>
      </c>
      <c r="H1100" s="7">
        <f>'Option source'!B398</f>
        <v>73.69</v>
      </c>
      <c r="I1100" s="7">
        <f>'Option source'!B417</f>
        <v>46.66</v>
      </c>
      <c r="J1100" s="7">
        <f t="shared" si="119"/>
        <v>13.530000000000001</v>
      </c>
      <c r="K1100" s="7">
        <f t="shared" si="120"/>
        <v>300</v>
      </c>
      <c r="L1100" s="7">
        <f t="shared" si="121"/>
        <v>286.47000000000003</v>
      </c>
      <c r="M1100" s="7">
        <f t="shared" si="122"/>
        <v>13.530000000000001</v>
      </c>
      <c r="N1100" s="7">
        <f t="shared" si="123"/>
        <v>8313.5300000000007</v>
      </c>
      <c r="O1100" s="7">
        <f t="shared" si="124"/>
        <v>8886.4699999999993</v>
      </c>
      <c r="P1100" s="15">
        <f t="shared" si="125"/>
        <v>21.172949002217294</v>
      </c>
      <c r="Q1100" s="7">
        <f>J1100*'Model inputs'!$B$8</f>
        <v>1353</v>
      </c>
      <c r="R1100" s="1" t="s">
        <v>162</v>
      </c>
      <c r="S1100" s="1">
        <v>374</v>
      </c>
      <c r="T1100" s="1">
        <v>393</v>
      </c>
    </row>
    <row r="1101" spans="1:20" ht="21" customHeight="1">
      <c r="A1101" s="8">
        <v>46265</v>
      </c>
      <c r="B1101" s="1" t="s">
        <v>34</v>
      </c>
      <c r="C1101" s="1" t="s">
        <v>90</v>
      </c>
      <c r="D1101" s="7">
        <v>5200</v>
      </c>
      <c r="E1101" s="7">
        <v>5400</v>
      </c>
      <c r="F1101" s="7">
        <v>5600</v>
      </c>
      <c r="G1101" s="7">
        <f>'Option source'!B588</f>
        <v>7.67</v>
      </c>
      <c r="H1101" s="7">
        <f>'Option source'!B607</f>
        <v>12.73</v>
      </c>
      <c r="I1101" s="7">
        <f>'Option source'!B626</f>
        <v>22.98</v>
      </c>
      <c r="J1101" s="7">
        <f t="shared" si="119"/>
        <v>5.1900000000000013</v>
      </c>
      <c r="K1101" s="7">
        <f t="shared" si="120"/>
        <v>200</v>
      </c>
      <c r="L1101" s="7">
        <f t="shared" si="121"/>
        <v>194.81</v>
      </c>
      <c r="M1101" s="7">
        <f t="shared" si="122"/>
        <v>5.1900000000000013</v>
      </c>
      <c r="N1101" s="7">
        <f t="shared" si="123"/>
        <v>5205.1899999999996</v>
      </c>
      <c r="O1101" s="7">
        <f t="shared" si="124"/>
        <v>5594.81</v>
      </c>
      <c r="P1101" s="15">
        <f t="shared" si="125"/>
        <v>37.535645472061645</v>
      </c>
      <c r="Q1101" s="7">
        <f>J1101*'Model inputs'!$B$8</f>
        <v>519.00000000000011</v>
      </c>
      <c r="R1101" s="1" t="s">
        <v>162</v>
      </c>
      <c r="S1101" s="1">
        <v>583</v>
      </c>
      <c r="T1101" s="1">
        <v>602</v>
      </c>
    </row>
    <row r="1102" spans="1:20" ht="21" customHeight="1">
      <c r="A1102" s="8">
        <v>46265</v>
      </c>
      <c r="B1102" s="1" t="s">
        <v>34</v>
      </c>
      <c r="C1102" s="1" t="s">
        <v>90</v>
      </c>
      <c r="D1102" s="7">
        <v>5000</v>
      </c>
      <c r="E1102" s="7">
        <v>5200</v>
      </c>
      <c r="F1102" s="7">
        <v>5400</v>
      </c>
      <c r="G1102" s="7">
        <f>'Option source'!B569</f>
        <v>4.26</v>
      </c>
      <c r="H1102" s="7">
        <f>'Option source'!B588</f>
        <v>7.67</v>
      </c>
      <c r="I1102" s="7">
        <f>'Option source'!B607</f>
        <v>12.73</v>
      </c>
      <c r="J1102" s="7">
        <f t="shared" si="119"/>
        <v>1.6500000000000004</v>
      </c>
      <c r="K1102" s="7">
        <f t="shared" si="120"/>
        <v>200</v>
      </c>
      <c r="L1102" s="7">
        <f t="shared" si="121"/>
        <v>198.35</v>
      </c>
      <c r="M1102" s="7">
        <f t="shared" si="122"/>
        <v>1.6500000000000004</v>
      </c>
      <c r="N1102" s="7">
        <f t="shared" si="123"/>
        <v>5001.6499999999996</v>
      </c>
      <c r="O1102" s="7">
        <f t="shared" si="124"/>
        <v>5398.35</v>
      </c>
      <c r="P1102" s="15">
        <f t="shared" si="125"/>
        <v>120.21212121212119</v>
      </c>
      <c r="Q1102" s="7">
        <f>J1102*'Model inputs'!$B$8</f>
        <v>165.00000000000003</v>
      </c>
      <c r="R1102" s="1" t="s">
        <v>162</v>
      </c>
      <c r="S1102" s="1">
        <v>564</v>
      </c>
      <c r="T1102" s="1">
        <v>583</v>
      </c>
    </row>
    <row r="1103" spans="1:20" ht="21" customHeight="1">
      <c r="A1103" s="8">
        <v>46265</v>
      </c>
      <c r="B1103" s="1" t="s">
        <v>34</v>
      </c>
      <c r="C1103" s="1" t="s">
        <v>87</v>
      </c>
      <c r="D1103" s="7">
        <v>8600</v>
      </c>
      <c r="E1103" s="7">
        <v>8900</v>
      </c>
      <c r="F1103" s="7">
        <v>9200</v>
      </c>
      <c r="G1103" s="7">
        <f>'Option source'!B398</f>
        <v>73.69</v>
      </c>
      <c r="H1103" s="7">
        <f>'Option source'!B417</f>
        <v>46.66</v>
      </c>
      <c r="I1103" s="7">
        <f>'Option source'!B436</f>
        <v>29.82</v>
      </c>
      <c r="J1103" s="7">
        <f t="shared" si="119"/>
        <v>10.190000000000005</v>
      </c>
      <c r="K1103" s="7">
        <f t="shared" si="120"/>
        <v>300</v>
      </c>
      <c r="L1103" s="7">
        <f t="shared" si="121"/>
        <v>289.81</v>
      </c>
      <c r="M1103" s="7">
        <f t="shared" si="122"/>
        <v>10.190000000000005</v>
      </c>
      <c r="N1103" s="7">
        <f t="shared" si="123"/>
        <v>8610.19</v>
      </c>
      <c r="O1103" s="7">
        <f t="shared" si="124"/>
        <v>9189.81</v>
      </c>
      <c r="P1103" s="15">
        <f t="shared" si="125"/>
        <v>28.440628066732078</v>
      </c>
      <c r="Q1103" s="7">
        <f>J1103*'Model inputs'!$B$8</f>
        <v>1019.0000000000005</v>
      </c>
      <c r="R1103" s="1" t="s">
        <v>162</v>
      </c>
      <c r="S1103" s="1">
        <v>393</v>
      </c>
      <c r="T1103" s="1">
        <v>412</v>
      </c>
    </row>
    <row r="1104" spans="1:20" ht="21" customHeight="1">
      <c r="A1104" s="8">
        <v>46265</v>
      </c>
      <c r="B1104" s="1" t="s">
        <v>34</v>
      </c>
      <c r="C1104" s="1" t="s">
        <v>90</v>
      </c>
      <c r="D1104" s="7">
        <v>4800</v>
      </c>
      <c r="E1104" s="7">
        <v>5000</v>
      </c>
      <c r="F1104" s="7">
        <v>5200</v>
      </c>
      <c r="G1104" s="7">
        <f>'Option source'!B550</f>
        <v>2.54</v>
      </c>
      <c r="H1104" s="7">
        <f>'Option source'!B569</f>
        <v>4.26</v>
      </c>
      <c r="I1104" s="7">
        <f>'Option source'!B588</f>
        <v>7.67</v>
      </c>
      <c r="J1104" s="7">
        <f t="shared" si="119"/>
        <v>1.6900000000000004</v>
      </c>
      <c r="K1104" s="7">
        <f t="shared" si="120"/>
        <v>200</v>
      </c>
      <c r="L1104" s="7">
        <f t="shared" si="121"/>
        <v>198.31</v>
      </c>
      <c r="M1104" s="7">
        <f t="shared" si="122"/>
        <v>1.6900000000000004</v>
      </c>
      <c r="N1104" s="7">
        <f t="shared" si="123"/>
        <v>4801.6899999999996</v>
      </c>
      <c r="O1104" s="7">
        <f t="shared" si="124"/>
        <v>5198.3100000000004</v>
      </c>
      <c r="P1104" s="15">
        <f t="shared" si="125"/>
        <v>117.34319526627216</v>
      </c>
      <c r="Q1104" s="7">
        <f>J1104*'Model inputs'!$B$8</f>
        <v>169.00000000000003</v>
      </c>
      <c r="R1104" s="1" t="s">
        <v>162</v>
      </c>
      <c r="S1104" s="1">
        <v>545</v>
      </c>
      <c r="T1104" s="1">
        <v>564</v>
      </c>
    </row>
    <row r="1105" spans="1:20" ht="21" customHeight="1">
      <c r="A1105" s="8">
        <v>46265</v>
      </c>
      <c r="B1105" s="1" t="s">
        <v>34</v>
      </c>
      <c r="C1105" s="1" t="s">
        <v>87</v>
      </c>
      <c r="D1105" s="7">
        <v>8900</v>
      </c>
      <c r="E1105" s="7">
        <v>9200</v>
      </c>
      <c r="F1105" s="7">
        <v>9500</v>
      </c>
      <c r="G1105" s="7">
        <f>'Option source'!B417</f>
        <v>46.66</v>
      </c>
      <c r="H1105" s="7">
        <f>'Option source'!B436</f>
        <v>29.82</v>
      </c>
      <c r="I1105" s="7">
        <f>'Option source'!B455</f>
        <v>18.100000000000001</v>
      </c>
      <c r="J1105" s="7">
        <f t="shared" si="119"/>
        <v>5.1199999999999974</v>
      </c>
      <c r="K1105" s="7">
        <f t="shared" si="120"/>
        <v>300</v>
      </c>
      <c r="L1105" s="7">
        <f t="shared" si="121"/>
        <v>294.88</v>
      </c>
      <c r="M1105" s="7">
        <f t="shared" si="122"/>
        <v>5.1199999999999974</v>
      </c>
      <c r="N1105" s="7">
        <f t="shared" si="123"/>
        <v>8905.1200000000008</v>
      </c>
      <c r="O1105" s="7">
        <f t="shared" si="124"/>
        <v>9494.8799999999992</v>
      </c>
      <c r="P1105" s="15">
        <f t="shared" si="125"/>
        <v>57.593750000000028</v>
      </c>
      <c r="Q1105" s="7">
        <f>J1105*'Model inputs'!$B$8</f>
        <v>511.99999999999977</v>
      </c>
      <c r="R1105" s="1" t="s">
        <v>162</v>
      </c>
      <c r="S1105" s="1">
        <v>412</v>
      </c>
      <c r="T1105" s="1">
        <v>431</v>
      </c>
    </row>
    <row r="1106" spans="1:20" ht="21" customHeight="1">
      <c r="A1106" s="8">
        <v>46265</v>
      </c>
      <c r="B1106" s="1" t="s">
        <v>34</v>
      </c>
      <c r="C1106" s="1" t="s">
        <v>90</v>
      </c>
      <c r="D1106" s="7">
        <v>4600</v>
      </c>
      <c r="E1106" s="7">
        <v>4800</v>
      </c>
      <c r="F1106" s="7">
        <v>5000</v>
      </c>
      <c r="G1106" s="7">
        <f>'Option source'!B531</f>
        <v>1.8</v>
      </c>
      <c r="H1106" s="7">
        <f>'Option source'!B550</f>
        <v>2.54</v>
      </c>
      <c r="I1106" s="7">
        <f>'Option source'!B569</f>
        <v>4.26</v>
      </c>
      <c r="J1106" s="7">
        <f t="shared" si="119"/>
        <v>0.97999999999999954</v>
      </c>
      <c r="K1106" s="7">
        <f t="shared" si="120"/>
        <v>200</v>
      </c>
      <c r="L1106" s="7">
        <f t="shared" si="121"/>
        <v>199.02</v>
      </c>
      <c r="M1106" s="7">
        <f t="shared" si="122"/>
        <v>0.97999999999999954</v>
      </c>
      <c r="N1106" s="7">
        <f t="shared" si="123"/>
        <v>4600.9799999999996</v>
      </c>
      <c r="O1106" s="7">
        <f t="shared" si="124"/>
        <v>4999.0200000000004</v>
      </c>
      <c r="P1106" s="15">
        <f t="shared" si="125"/>
        <v>203.08163265306132</v>
      </c>
      <c r="Q1106" s="7">
        <f>J1106*'Model inputs'!$B$8</f>
        <v>97.999999999999957</v>
      </c>
      <c r="R1106" s="1" t="s">
        <v>162</v>
      </c>
      <c r="S1106" s="1">
        <v>526</v>
      </c>
      <c r="T1106" s="1">
        <v>545</v>
      </c>
    </row>
    <row r="1107" spans="1:20" ht="21" customHeight="1">
      <c r="A1107" s="8">
        <v>46265</v>
      </c>
      <c r="B1107" s="1" t="s">
        <v>34</v>
      </c>
      <c r="C1107" s="1" t="s">
        <v>90</v>
      </c>
      <c r="D1107" s="7">
        <v>4400</v>
      </c>
      <c r="E1107" s="7">
        <v>4600</v>
      </c>
      <c r="F1107" s="7">
        <v>4800</v>
      </c>
      <c r="G1107" s="7">
        <f>'Option source'!B512</f>
        <v>1.18</v>
      </c>
      <c r="H1107" s="7">
        <f>'Option source'!B531</f>
        <v>1.8</v>
      </c>
      <c r="I1107" s="7">
        <f>'Option source'!B550</f>
        <v>2.54</v>
      </c>
      <c r="J1107" s="7">
        <f t="shared" si="119"/>
        <v>0.12000000000000011</v>
      </c>
      <c r="K1107" s="7">
        <f t="shared" si="120"/>
        <v>200</v>
      </c>
      <c r="L1107" s="7">
        <f t="shared" si="121"/>
        <v>199.88</v>
      </c>
      <c r="M1107" s="7">
        <f t="shared" si="122"/>
        <v>0.12000000000000011</v>
      </c>
      <c r="N1107" s="7">
        <f t="shared" si="123"/>
        <v>4400.12</v>
      </c>
      <c r="O1107" s="7">
        <f t="shared" si="124"/>
        <v>4799.88</v>
      </c>
      <c r="P1107" s="15">
        <f t="shared" si="125"/>
        <v>1665.6666666666652</v>
      </c>
      <c r="Q1107" s="7">
        <f>J1107*'Model inputs'!$B$8</f>
        <v>12.000000000000011</v>
      </c>
      <c r="R1107" s="1" t="s">
        <v>162</v>
      </c>
      <c r="S1107" s="1">
        <v>507</v>
      </c>
      <c r="T1107" s="1">
        <v>526</v>
      </c>
    </row>
    <row r="1108" spans="1:20" ht="21" customHeight="1">
      <c r="A1108" s="8">
        <v>46265</v>
      </c>
      <c r="B1108" s="1" t="s">
        <v>34</v>
      </c>
      <c r="C1108" s="1" t="s">
        <v>90</v>
      </c>
      <c r="D1108" s="7">
        <v>4200</v>
      </c>
      <c r="E1108" s="7">
        <v>4400</v>
      </c>
      <c r="F1108" s="7">
        <v>4600</v>
      </c>
      <c r="G1108" s="7">
        <f>'Option source'!B493</f>
        <v>0.9</v>
      </c>
      <c r="H1108" s="7">
        <f>'Option source'!B512</f>
        <v>1.18</v>
      </c>
      <c r="I1108" s="7">
        <f>'Option source'!B531</f>
        <v>1.8</v>
      </c>
      <c r="J1108" s="7">
        <f t="shared" si="119"/>
        <v>0.34000000000000008</v>
      </c>
      <c r="K1108" s="7">
        <f t="shared" si="120"/>
        <v>200</v>
      </c>
      <c r="L1108" s="7">
        <f t="shared" si="121"/>
        <v>199.66</v>
      </c>
      <c r="M1108" s="7">
        <f t="shared" si="122"/>
        <v>0.34000000000000008</v>
      </c>
      <c r="N1108" s="7">
        <f t="shared" si="123"/>
        <v>4200.34</v>
      </c>
      <c r="O1108" s="7">
        <f t="shared" si="124"/>
        <v>4599.66</v>
      </c>
      <c r="P1108" s="15">
        <f t="shared" si="125"/>
        <v>587.23529411764696</v>
      </c>
      <c r="Q1108" s="7">
        <f>J1108*'Model inputs'!$B$8</f>
        <v>34.000000000000007</v>
      </c>
      <c r="R1108" s="1" t="s">
        <v>162</v>
      </c>
      <c r="S1108" s="1">
        <v>488</v>
      </c>
      <c r="T1108" s="1">
        <v>507</v>
      </c>
    </row>
    <row r="1109" spans="1:20" ht="21" customHeight="1">
      <c r="A1109" s="8">
        <v>46265</v>
      </c>
      <c r="B1109" s="1" t="s">
        <v>34</v>
      </c>
      <c r="C1109" s="1" t="s">
        <v>90</v>
      </c>
      <c r="D1109" s="7">
        <v>7400</v>
      </c>
      <c r="E1109" s="7">
        <v>7600</v>
      </c>
      <c r="F1109" s="7">
        <v>7800</v>
      </c>
      <c r="G1109" s="7">
        <f>'Option source'!B797</f>
        <v>560.79</v>
      </c>
      <c r="H1109" s="7">
        <f>'Option source'!B816</f>
        <v>677.61</v>
      </c>
      <c r="I1109" s="7">
        <f>'Option source'!B835</f>
        <v>790.81</v>
      </c>
      <c r="J1109" s="7">
        <f t="shared" si="119"/>
        <v>-3.6200000000001182</v>
      </c>
      <c r="K1109" s="7">
        <f t="shared" si="120"/>
        <v>200</v>
      </c>
      <c r="L1109" s="7">
        <f t="shared" si="121"/>
        <v>203.62000000000012</v>
      </c>
      <c r="M1109" s="7">
        <f t="shared" si="122"/>
        <v>0</v>
      </c>
      <c r="N1109" s="7" t="str">
        <f t="shared" si="123"/>
        <v>n.a.</v>
      </c>
      <c r="O1109" s="7" t="str">
        <f t="shared" si="124"/>
        <v>n.a.</v>
      </c>
      <c r="P1109" s="15" t="str">
        <f t="shared" si="125"/>
        <v>n.a.</v>
      </c>
      <c r="Q1109" s="7">
        <f>J1109*'Model inputs'!$B$8</f>
        <v>-362.00000000001182</v>
      </c>
      <c r="R1109" s="1" t="s">
        <v>163</v>
      </c>
      <c r="S1109" s="1">
        <v>792</v>
      </c>
      <c r="T1109" s="1">
        <v>811</v>
      </c>
    </row>
    <row r="1110" spans="1:20" ht="21" customHeight="1">
      <c r="A1110" s="8">
        <v>46265</v>
      </c>
      <c r="B1110" s="1" t="s">
        <v>34</v>
      </c>
      <c r="C1110" s="1" t="s">
        <v>90</v>
      </c>
      <c r="D1110" s="7">
        <v>7600</v>
      </c>
      <c r="E1110" s="7">
        <v>7800</v>
      </c>
      <c r="F1110" s="7">
        <v>8000</v>
      </c>
      <c r="G1110" s="7">
        <f>'Option source'!B816</f>
        <v>677.61</v>
      </c>
      <c r="H1110" s="7">
        <f>'Option source'!B835</f>
        <v>790.81</v>
      </c>
      <c r="I1110" s="7">
        <f>'Option source'!B854</f>
        <v>950</v>
      </c>
      <c r="J1110" s="7">
        <f t="shared" si="119"/>
        <v>45.990000000000123</v>
      </c>
      <c r="K1110" s="7">
        <f t="shared" si="120"/>
        <v>200</v>
      </c>
      <c r="L1110" s="7">
        <f t="shared" si="121"/>
        <v>154.00999999999988</v>
      </c>
      <c r="M1110" s="7">
        <f t="shared" si="122"/>
        <v>45.990000000000123</v>
      </c>
      <c r="N1110" s="7">
        <f t="shared" si="123"/>
        <v>7645.99</v>
      </c>
      <c r="O1110" s="7">
        <f t="shared" si="124"/>
        <v>7954.01</v>
      </c>
      <c r="P1110" s="15">
        <f t="shared" si="125"/>
        <v>3.3487714720591315</v>
      </c>
      <c r="Q1110" s="7">
        <f>J1110*'Model inputs'!$B$8</f>
        <v>4599.0000000000127</v>
      </c>
      <c r="R1110" s="1" t="s">
        <v>164</v>
      </c>
      <c r="S1110" s="1">
        <v>811</v>
      </c>
      <c r="T1110" s="1">
        <v>830</v>
      </c>
    </row>
    <row r="1111" spans="1:20" ht="21" customHeight="1">
      <c r="A1111" s="8">
        <v>46265</v>
      </c>
      <c r="B1111" s="1" t="s">
        <v>34</v>
      </c>
      <c r="C1111" s="1" t="s">
        <v>87</v>
      </c>
      <c r="D1111" s="7">
        <v>6000</v>
      </c>
      <c r="E1111" s="7">
        <v>6200</v>
      </c>
      <c r="F1111" s="7">
        <v>6400</v>
      </c>
      <c r="G1111" s="7">
        <f>'Option source'!B170</f>
        <v>1200</v>
      </c>
      <c r="H1111" s="7">
        <f>'Option source'!B189</f>
        <v>1069</v>
      </c>
      <c r="I1111" s="7">
        <f>'Option source'!B208</f>
        <v>925</v>
      </c>
      <c r="J1111" s="7">
        <f t="shared" si="119"/>
        <v>-13</v>
      </c>
      <c r="K1111" s="7">
        <f t="shared" si="120"/>
        <v>200</v>
      </c>
      <c r="L1111" s="7">
        <f t="shared" si="121"/>
        <v>213</v>
      </c>
      <c r="M1111" s="7">
        <f t="shared" si="122"/>
        <v>0</v>
      </c>
      <c r="N1111" s="7" t="str">
        <f t="shared" si="123"/>
        <v>n.a.</v>
      </c>
      <c r="O1111" s="7" t="str">
        <f t="shared" si="124"/>
        <v>n.a.</v>
      </c>
      <c r="P1111" s="15" t="str">
        <f t="shared" si="125"/>
        <v>n.a.</v>
      </c>
      <c r="Q1111" s="7">
        <f>J1111*'Model inputs'!$B$8</f>
        <v>-1300</v>
      </c>
      <c r="R1111" s="1" t="s">
        <v>163</v>
      </c>
      <c r="S1111" s="1">
        <v>165</v>
      </c>
      <c r="T1111" s="1">
        <v>184</v>
      </c>
    </row>
    <row r="1112" spans="1:20" ht="21" customHeight="1">
      <c r="A1112" s="8">
        <v>46265</v>
      </c>
      <c r="B1112" s="1" t="s">
        <v>34</v>
      </c>
      <c r="C1112" s="1" t="s">
        <v>90</v>
      </c>
      <c r="D1112" s="7">
        <v>8000</v>
      </c>
      <c r="E1112" s="7">
        <v>8300</v>
      </c>
      <c r="F1112" s="7">
        <v>8600</v>
      </c>
      <c r="G1112" s="7">
        <f>'Option source'!B854</f>
        <v>950</v>
      </c>
      <c r="H1112" s="7">
        <f>'Option source'!B873</f>
        <v>1260</v>
      </c>
      <c r="I1112" s="7">
        <f>'Option source'!B892</f>
        <v>1650</v>
      </c>
      <c r="J1112" s="7">
        <f t="shared" si="119"/>
        <v>80</v>
      </c>
      <c r="K1112" s="7">
        <f t="shared" si="120"/>
        <v>300</v>
      </c>
      <c r="L1112" s="7">
        <f t="shared" si="121"/>
        <v>220</v>
      </c>
      <c r="M1112" s="7">
        <f t="shared" si="122"/>
        <v>80</v>
      </c>
      <c r="N1112" s="7">
        <f t="shared" si="123"/>
        <v>8080</v>
      </c>
      <c r="O1112" s="7">
        <f t="shared" si="124"/>
        <v>8520</v>
      </c>
      <c r="P1112" s="15">
        <f t="shared" si="125"/>
        <v>2.75</v>
      </c>
      <c r="Q1112" s="7">
        <f>J1112*'Model inputs'!$B$8</f>
        <v>8000</v>
      </c>
      <c r="R1112" s="1" t="s">
        <v>164</v>
      </c>
      <c r="S1112" s="1">
        <v>849</v>
      </c>
      <c r="T1112" s="1">
        <v>868</v>
      </c>
    </row>
    <row r="1113" spans="1:20" ht="21" customHeight="1">
      <c r="A1113" s="8">
        <v>46265</v>
      </c>
      <c r="B1113" s="1" t="s">
        <v>34</v>
      </c>
      <c r="C1113" s="1" t="s">
        <v>90</v>
      </c>
      <c r="D1113" s="7">
        <v>8300</v>
      </c>
      <c r="E1113" s="7">
        <v>8600</v>
      </c>
      <c r="F1113" s="7">
        <v>8900</v>
      </c>
      <c r="G1113" s="7">
        <f>'Option source'!B873</f>
        <v>1260</v>
      </c>
      <c r="H1113" s="7">
        <f>'Option source'!B892</f>
        <v>1650</v>
      </c>
      <c r="I1113" s="7">
        <f>'Option source'!B907</f>
        <v>2022.5</v>
      </c>
      <c r="J1113" s="7">
        <f t="shared" si="119"/>
        <v>-17.5</v>
      </c>
      <c r="K1113" s="7">
        <f t="shared" si="120"/>
        <v>300</v>
      </c>
      <c r="L1113" s="7">
        <f t="shared" si="121"/>
        <v>317.5</v>
      </c>
      <c r="M1113" s="7">
        <f t="shared" si="122"/>
        <v>0</v>
      </c>
      <c r="N1113" s="7" t="str">
        <f t="shared" si="123"/>
        <v>n.a.</v>
      </c>
      <c r="O1113" s="7" t="str">
        <f t="shared" si="124"/>
        <v>n.a.</v>
      </c>
      <c r="P1113" s="15" t="str">
        <f t="shared" si="125"/>
        <v>n.a.</v>
      </c>
      <c r="Q1113" s="7">
        <f>J1113*'Model inputs'!$B$8</f>
        <v>-1750</v>
      </c>
      <c r="R1113" s="1" t="s">
        <v>163</v>
      </c>
      <c r="S1113" s="1">
        <v>868</v>
      </c>
      <c r="T1113" s="1">
        <v>887</v>
      </c>
    </row>
    <row r="1114" spans="1:20" ht="21" customHeight="1">
      <c r="A1114" s="8">
        <v>46265</v>
      </c>
      <c r="B1114" s="1" t="s">
        <v>34</v>
      </c>
      <c r="C1114" s="1" t="s">
        <v>87</v>
      </c>
      <c r="D1114" s="7">
        <v>5200</v>
      </c>
      <c r="E1114" s="7">
        <v>5400</v>
      </c>
      <c r="F1114" s="7">
        <v>5600</v>
      </c>
      <c r="G1114" s="7">
        <f>'Option source'!B104</f>
        <v>1677.12</v>
      </c>
      <c r="H1114" s="7">
        <f>'Option source'!B123</f>
        <v>1812</v>
      </c>
      <c r="I1114" s="7">
        <f>'Option source'!B141</f>
        <v>1311.48</v>
      </c>
      <c r="J1114" s="7">
        <f t="shared" si="119"/>
        <v>-635.40000000000009</v>
      </c>
      <c r="K1114" s="7">
        <f t="shared" si="120"/>
        <v>200</v>
      </c>
      <c r="L1114" s="7">
        <f t="shared" si="121"/>
        <v>835.40000000000009</v>
      </c>
      <c r="M1114" s="7">
        <f t="shared" si="122"/>
        <v>0</v>
      </c>
      <c r="N1114" s="7" t="str">
        <f t="shared" si="123"/>
        <v>n.a.</v>
      </c>
      <c r="O1114" s="7" t="str">
        <f t="shared" si="124"/>
        <v>n.a.</v>
      </c>
      <c r="P1114" s="15" t="str">
        <f t="shared" si="125"/>
        <v>n.a.</v>
      </c>
      <c r="Q1114" s="7">
        <f>J1114*'Model inputs'!$B$8</f>
        <v>-63540.000000000007</v>
      </c>
      <c r="R1114" s="1" t="s">
        <v>163</v>
      </c>
      <c r="S1114" s="1">
        <v>99</v>
      </c>
      <c r="T1114" s="1">
        <v>118</v>
      </c>
    </row>
    <row r="1115" spans="1:20" ht="21" customHeight="1">
      <c r="A1115" s="8">
        <v>46265</v>
      </c>
      <c r="B1115" s="1" t="s">
        <v>34</v>
      </c>
      <c r="C1115" s="1" t="s">
        <v>87</v>
      </c>
      <c r="D1115" s="7">
        <v>5000</v>
      </c>
      <c r="E1115" s="7">
        <v>5200</v>
      </c>
      <c r="F1115" s="7">
        <v>5400</v>
      </c>
      <c r="G1115" s="7">
        <f>'Option source'!B85</f>
        <v>1997.87</v>
      </c>
      <c r="H1115" s="7">
        <f>'Option source'!B104</f>
        <v>1677.12</v>
      </c>
      <c r="I1115" s="7">
        <f>'Option source'!B123</f>
        <v>1812</v>
      </c>
      <c r="J1115" s="7">
        <f t="shared" si="119"/>
        <v>455.63000000000011</v>
      </c>
      <c r="K1115" s="7">
        <f t="shared" si="120"/>
        <v>200</v>
      </c>
      <c r="L1115" s="7">
        <f t="shared" si="121"/>
        <v>-255.63000000000011</v>
      </c>
      <c r="M1115" s="7">
        <f t="shared" si="122"/>
        <v>455.63000000000011</v>
      </c>
      <c r="N1115" s="7" t="str">
        <f t="shared" si="123"/>
        <v>n.a.</v>
      </c>
      <c r="O1115" s="7" t="str">
        <f t="shared" si="124"/>
        <v>n.a.</v>
      </c>
      <c r="P1115" s="15" t="str">
        <f t="shared" si="125"/>
        <v>n.a.</v>
      </c>
      <c r="Q1115" s="7">
        <f>J1115*'Model inputs'!$B$8</f>
        <v>45563.000000000015</v>
      </c>
      <c r="R1115" s="1" t="s">
        <v>163</v>
      </c>
      <c r="S1115" s="1">
        <v>80</v>
      </c>
      <c r="T1115" s="1">
        <v>99</v>
      </c>
    </row>
    <row r="1116" spans="1:20" ht="21" customHeight="1">
      <c r="A1116" s="8">
        <v>46265</v>
      </c>
      <c r="B1116" s="1" t="s">
        <v>34</v>
      </c>
      <c r="C1116" s="1" t="s">
        <v>87</v>
      </c>
      <c r="D1116" s="7">
        <v>4800</v>
      </c>
      <c r="E1116" s="7">
        <v>5000</v>
      </c>
      <c r="F1116" s="7">
        <v>5200</v>
      </c>
      <c r="G1116" s="7">
        <f>'Option source'!B68</f>
        <v>2050</v>
      </c>
      <c r="H1116" s="7">
        <f>'Option source'!B85</f>
        <v>1997.87</v>
      </c>
      <c r="I1116" s="7">
        <f>'Option source'!B104</f>
        <v>1677.12</v>
      </c>
      <c r="J1116" s="7">
        <f t="shared" si="119"/>
        <v>-268.61999999999989</v>
      </c>
      <c r="K1116" s="7">
        <f t="shared" si="120"/>
        <v>200</v>
      </c>
      <c r="L1116" s="7">
        <f t="shared" si="121"/>
        <v>468.61999999999989</v>
      </c>
      <c r="M1116" s="7">
        <f t="shared" si="122"/>
        <v>0</v>
      </c>
      <c r="N1116" s="7" t="str">
        <f t="shared" si="123"/>
        <v>n.a.</v>
      </c>
      <c r="O1116" s="7" t="str">
        <f t="shared" si="124"/>
        <v>n.a.</v>
      </c>
      <c r="P1116" s="15" t="str">
        <f t="shared" si="125"/>
        <v>n.a.</v>
      </c>
      <c r="Q1116" s="7">
        <f>J1116*'Model inputs'!$B$8</f>
        <v>-26861.999999999989</v>
      </c>
      <c r="R1116" s="1" t="s">
        <v>163</v>
      </c>
      <c r="S1116" s="1">
        <v>63</v>
      </c>
      <c r="T1116" s="1">
        <v>80</v>
      </c>
    </row>
    <row r="1117" spans="1:20" ht="21" customHeight="1">
      <c r="A1117" s="8">
        <v>46265</v>
      </c>
      <c r="B1117" s="1" t="s">
        <v>34</v>
      </c>
      <c r="C1117" s="1" t="s">
        <v>87</v>
      </c>
      <c r="D1117" s="7">
        <v>4600</v>
      </c>
      <c r="E1117" s="7">
        <v>4800</v>
      </c>
      <c r="F1117" s="7">
        <v>5000</v>
      </c>
      <c r="G1117" s="7">
        <f>'Option source'!B51</f>
        <v>2384.7199999999998</v>
      </c>
      <c r="H1117" s="7">
        <f>'Option source'!B68</f>
        <v>2050</v>
      </c>
      <c r="I1117" s="7">
        <f>'Option source'!B85</f>
        <v>1997.87</v>
      </c>
      <c r="J1117" s="7">
        <f t="shared" si="119"/>
        <v>282.58999999999969</v>
      </c>
      <c r="K1117" s="7">
        <f t="shared" si="120"/>
        <v>200</v>
      </c>
      <c r="L1117" s="7">
        <f t="shared" si="121"/>
        <v>-82.589999999999691</v>
      </c>
      <c r="M1117" s="7">
        <f t="shared" si="122"/>
        <v>282.58999999999969</v>
      </c>
      <c r="N1117" s="7" t="str">
        <f t="shared" si="123"/>
        <v>n.a.</v>
      </c>
      <c r="O1117" s="7" t="str">
        <f t="shared" si="124"/>
        <v>n.a.</v>
      </c>
      <c r="P1117" s="15" t="str">
        <f t="shared" si="125"/>
        <v>n.a.</v>
      </c>
      <c r="Q1117" s="7">
        <f>J1117*'Model inputs'!$B$8</f>
        <v>28258.999999999971</v>
      </c>
      <c r="R1117" s="1" t="s">
        <v>163</v>
      </c>
      <c r="S1117" s="1">
        <v>46</v>
      </c>
      <c r="T1117" s="1">
        <v>63</v>
      </c>
    </row>
    <row r="1118" spans="1:20" ht="21" customHeight="1">
      <c r="A1118" s="8">
        <v>46265</v>
      </c>
      <c r="B1118" s="1" t="s">
        <v>34</v>
      </c>
      <c r="C1118" s="1" t="s">
        <v>87</v>
      </c>
      <c r="D1118" s="7">
        <v>4400</v>
      </c>
      <c r="E1118" s="7">
        <v>4600</v>
      </c>
      <c r="F1118" s="7">
        <v>4800</v>
      </c>
      <c r="G1118" s="7">
        <f>'Option source'!B32</f>
        <v>2429.9699999999998</v>
      </c>
      <c r="H1118" s="7">
        <f>'Option source'!B51</f>
        <v>2384.7199999999998</v>
      </c>
      <c r="I1118" s="7">
        <f>'Option source'!B68</f>
        <v>2050</v>
      </c>
      <c r="J1118" s="7">
        <f t="shared" si="119"/>
        <v>-289.4699999999998</v>
      </c>
      <c r="K1118" s="7">
        <f t="shared" si="120"/>
        <v>200</v>
      </c>
      <c r="L1118" s="7">
        <f t="shared" si="121"/>
        <v>489.4699999999998</v>
      </c>
      <c r="M1118" s="7">
        <f t="shared" si="122"/>
        <v>0</v>
      </c>
      <c r="N1118" s="7" t="str">
        <f t="shared" si="123"/>
        <v>n.a.</v>
      </c>
      <c r="O1118" s="7" t="str">
        <f t="shared" si="124"/>
        <v>n.a.</v>
      </c>
      <c r="P1118" s="15" t="str">
        <f t="shared" si="125"/>
        <v>n.a.</v>
      </c>
      <c r="Q1118" s="7">
        <f>J1118*'Model inputs'!$B$8</f>
        <v>-28946.999999999978</v>
      </c>
      <c r="R1118" s="1" t="s">
        <v>163</v>
      </c>
      <c r="S1118" s="1">
        <v>27</v>
      </c>
      <c r="T1118" s="1">
        <v>46</v>
      </c>
    </row>
    <row r="1119" spans="1:20" ht="21" customHeight="1">
      <c r="A1119" s="8">
        <v>46265</v>
      </c>
      <c r="B1119" s="1" t="s">
        <v>34</v>
      </c>
      <c r="C1119" s="1" t="s">
        <v>87</v>
      </c>
      <c r="D1119" s="7">
        <v>4200</v>
      </c>
      <c r="E1119" s="7">
        <v>4400</v>
      </c>
      <c r="F1119" s="7">
        <v>4600</v>
      </c>
      <c r="G1119" s="7">
        <f>'Option source'!B13</f>
        <v>2933.39</v>
      </c>
      <c r="H1119" s="7">
        <f>'Option source'!B32</f>
        <v>2429.9699999999998</v>
      </c>
      <c r="I1119" s="7">
        <f>'Option source'!B51</f>
        <v>2384.7199999999998</v>
      </c>
      <c r="J1119" s="7">
        <f t="shared" si="119"/>
        <v>458.17000000000007</v>
      </c>
      <c r="K1119" s="7">
        <f t="shared" si="120"/>
        <v>200</v>
      </c>
      <c r="L1119" s="7">
        <f t="shared" si="121"/>
        <v>-258.17000000000007</v>
      </c>
      <c r="M1119" s="7">
        <f t="shared" si="122"/>
        <v>458.17000000000007</v>
      </c>
      <c r="N1119" s="7" t="str">
        <f t="shared" si="123"/>
        <v>n.a.</v>
      </c>
      <c r="O1119" s="7" t="str">
        <f t="shared" si="124"/>
        <v>n.a.</v>
      </c>
      <c r="P1119" s="15" t="str">
        <f t="shared" si="125"/>
        <v>n.a.</v>
      </c>
      <c r="Q1119" s="7">
        <f>J1119*'Model inputs'!$B$8</f>
        <v>45817.000000000007</v>
      </c>
      <c r="R1119" s="1" t="s">
        <v>163</v>
      </c>
      <c r="S1119" s="1">
        <v>8</v>
      </c>
      <c r="T1119" s="1">
        <v>27</v>
      </c>
    </row>
    <row r="1120" spans="1:20" ht="21" customHeight="1">
      <c r="A1120" s="8">
        <v>46265</v>
      </c>
      <c r="B1120" s="1" t="s">
        <v>36</v>
      </c>
      <c r="C1120" s="1" t="s">
        <v>87</v>
      </c>
      <c r="D1120" s="7">
        <v>6800</v>
      </c>
      <c r="E1120" s="7">
        <v>7000</v>
      </c>
      <c r="F1120" s="7"/>
      <c r="G1120" s="7">
        <f>'Option source'!B246</f>
        <v>661.02</v>
      </c>
      <c r="H1120" s="7">
        <f>'Option source'!B265</f>
        <v>552.70000000000005</v>
      </c>
      <c r="I1120" s="7"/>
      <c r="J1120" s="7">
        <f t="shared" si="119"/>
        <v>-444.38000000000011</v>
      </c>
      <c r="K1120" s="7">
        <f t="shared" si="120"/>
        <v>200</v>
      </c>
      <c r="L1120" s="7">
        <f t="shared" si="121"/>
        <v>644.38000000000011</v>
      </c>
      <c r="M1120" s="7" t="str">
        <f t="shared" si="122"/>
        <v>Unlimited</v>
      </c>
      <c r="N1120" s="7" t="str">
        <f t="shared" si="123"/>
        <v>n.a.</v>
      </c>
      <c r="O1120" s="7">
        <f t="shared" si="124"/>
        <v>7644.38</v>
      </c>
      <c r="P1120" s="15" t="str">
        <f t="shared" si="125"/>
        <v>n.a.</v>
      </c>
      <c r="Q1120" s="7">
        <f>J1120*'Model inputs'!$B$8</f>
        <v>-44438.000000000015</v>
      </c>
      <c r="R1120" s="1" t="s">
        <v>162</v>
      </c>
      <c r="S1120" s="1">
        <v>241</v>
      </c>
      <c r="T1120" s="1">
        <v>260</v>
      </c>
    </row>
    <row r="1121" spans="1:20" ht="21" customHeight="1">
      <c r="A1121" s="8">
        <v>46265</v>
      </c>
      <c r="B1121" s="1" t="s">
        <v>36</v>
      </c>
      <c r="C1121" s="1" t="s">
        <v>90</v>
      </c>
      <c r="D1121" s="7">
        <v>7200</v>
      </c>
      <c r="E1121" s="7">
        <v>7000</v>
      </c>
      <c r="F1121" s="7"/>
      <c r="G1121" s="7">
        <f>'Option source'!B778</f>
        <v>447.89</v>
      </c>
      <c r="H1121" s="7">
        <f>'Option source'!B759</f>
        <v>346.09</v>
      </c>
      <c r="I1121" s="7"/>
      <c r="J1121" s="7">
        <f t="shared" si="119"/>
        <v>-244.28999999999996</v>
      </c>
      <c r="K1121" s="7">
        <f t="shared" si="120"/>
        <v>200</v>
      </c>
      <c r="L1121" s="7">
        <f t="shared" si="121"/>
        <v>444.28999999999996</v>
      </c>
      <c r="M1121" s="7">
        <f t="shared" si="122"/>
        <v>6555.71</v>
      </c>
      <c r="N1121" s="7">
        <f t="shared" si="123"/>
        <v>6555.71</v>
      </c>
      <c r="O1121" s="7" t="str">
        <f t="shared" si="124"/>
        <v>n.a.</v>
      </c>
      <c r="P1121" s="15" t="str">
        <f t="shared" si="125"/>
        <v>n.a.</v>
      </c>
      <c r="Q1121" s="7">
        <f>J1121*'Model inputs'!$B$8</f>
        <v>-24428.999999999996</v>
      </c>
      <c r="R1121" s="1" t="s">
        <v>162</v>
      </c>
      <c r="S1121" s="1">
        <v>773</v>
      </c>
      <c r="T1121" s="1">
        <v>754</v>
      </c>
    </row>
    <row r="1122" spans="1:20" ht="21" customHeight="1">
      <c r="A1122" s="8">
        <v>46265</v>
      </c>
      <c r="B1122" s="1" t="s">
        <v>36</v>
      </c>
      <c r="C1122" s="1" t="s">
        <v>87</v>
      </c>
      <c r="D1122" s="7">
        <v>7000</v>
      </c>
      <c r="E1122" s="7">
        <v>7200</v>
      </c>
      <c r="F1122" s="7"/>
      <c r="G1122" s="7">
        <f>'Option source'!B265</f>
        <v>552.70000000000005</v>
      </c>
      <c r="H1122" s="7">
        <f>'Option source'!B284</f>
        <v>453.57</v>
      </c>
      <c r="I1122" s="7"/>
      <c r="J1122" s="7">
        <f t="shared" si="119"/>
        <v>-354.43999999999994</v>
      </c>
      <c r="K1122" s="7">
        <f t="shared" si="120"/>
        <v>200</v>
      </c>
      <c r="L1122" s="7">
        <f t="shared" si="121"/>
        <v>554.43999999999994</v>
      </c>
      <c r="M1122" s="7" t="str">
        <f t="shared" si="122"/>
        <v>Unlimited</v>
      </c>
      <c r="N1122" s="7" t="str">
        <f t="shared" si="123"/>
        <v>n.a.</v>
      </c>
      <c r="O1122" s="7">
        <f t="shared" si="124"/>
        <v>7754.44</v>
      </c>
      <c r="P1122" s="15" t="str">
        <f t="shared" si="125"/>
        <v>n.a.</v>
      </c>
      <c r="Q1122" s="7">
        <f>J1122*'Model inputs'!$B$8</f>
        <v>-35443.999999999993</v>
      </c>
      <c r="R1122" s="1" t="s">
        <v>162</v>
      </c>
      <c r="S1122" s="1">
        <v>260</v>
      </c>
      <c r="T1122" s="1">
        <v>279</v>
      </c>
    </row>
    <row r="1123" spans="1:20" ht="21" customHeight="1">
      <c r="A1123" s="8">
        <v>46265</v>
      </c>
      <c r="B1123" s="1" t="s">
        <v>36</v>
      </c>
      <c r="C1123" s="1" t="s">
        <v>90</v>
      </c>
      <c r="D1123" s="7">
        <v>7400</v>
      </c>
      <c r="E1123" s="7">
        <v>7200</v>
      </c>
      <c r="F1123" s="7"/>
      <c r="G1123" s="7">
        <f>'Option source'!B797</f>
        <v>560.79</v>
      </c>
      <c r="H1123" s="7">
        <f>'Option source'!B778</f>
        <v>447.89</v>
      </c>
      <c r="I1123" s="7"/>
      <c r="J1123" s="7">
        <f t="shared" si="119"/>
        <v>-334.99</v>
      </c>
      <c r="K1123" s="7">
        <f t="shared" si="120"/>
        <v>200</v>
      </c>
      <c r="L1123" s="7">
        <f t="shared" si="121"/>
        <v>534.99</v>
      </c>
      <c r="M1123" s="7">
        <f t="shared" si="122"/>
        <v>6665.01</v>
      </c>
      <c r="N1123" s="7">
        <f t="shared" si="123"/>
        <v>6665.01</v>
      </c>
      <c r="O1123" s="7" t="str">
        <f t="shared" si="124"/>
        <v>n.a.</v>
      </c>
      <c r="P1123" s="15" t="str">
        <f t="shared" si="125"/>
        <v>n.a.</v>
      </c>
      <c r="Q1123" s="7">
        <f>J1123*'Model inputs'!$B$8</f>
        <v>-33499</v>
      </c>
      <c r="R1123" s="1" t="s">
        <v>162</v>
      </c>
      <c r="S1123" s="1">
        <v>792</v>
      </c>
      <c r="T1123" s="1">
        <v>773</v>
      </c>
    </row>
    <row r="1124" spans="1:20" ht="21" customHeight="1">
      <c r="A1124" s="8">
        <v>46265</v>
      </c>
      <c r="B1124" s="1" t="s">
        <v>36</v>
      </c>
      <c r="C1124" s="1" t="s">
        <v>87</v>
      </c>
      <c r="D1124" s="7">
        <v>6600</v>
      </c>
      <c r="E1124" s="7">
        <v>6800</v>
      </c>
      <c r="F1124" s="7"/>
      <c r="G1124" s="7">
        <f>'Option source'!B227</f>
        <v>785.86</v>
      </c>
      <c r="H1124" s="7">
        <f>'Option source'!B246</f>
        <v>661.02</v>
      </c>
      <c r="I1124" s="7"/>
      <c r="J1124" s="7">
        <f t="shared" si="119"/>
        <v>-536.17999999999995</v>
      </c>
      <c r="K1124" s="7">
        <f t="shared" si="120"/>
        <v>200</v>
      </c>
      <c r="L1124" s="7">
        <f t="shared" si="121"/>
        <v>736.18</v>
      </c>
      <c r="M1124" s="7" t="str">
        <f t="shared" si="122"/>
        <v>Unlimited</v>
      </c>
      <c r="N1124" s="7" t="str">
        <f t="shared" si="123"/>
        <v>n.a.</v>
      </c>
      <c r="O1124" s="7">
        <f t="shared" si="124"/>
        <v>7536.18</v>
      </c>
      <c r="P1124" s="15" t="str">
        <f t="shared" si="125"/>
        <v>n.a.</v>
      </c>
      <c r="Q1124" s="7">
        <f>J1124*'Model inputs'!$B$8</f>
        <v>-53617.999999999993</v>
      </c>
      <c r="R1124" s="1" t="s">
        <v>162</v>
      </c>
      <c r="S1124" s="1">
        <v>222</v>
      </c>
      <c r="T1124" s="1">
        <v>241</v>
      </c>
    </row>
    <row r="1125" spans="1:20" ht="21" customHeight="1">
      <c r="A1125" s="8">
        <v>46265</v>
      </c>
      <c r="B1125" s="1" t="s">
        <v>36</v>
      </c>
      <c r="C1125" s="1" t="s">
        <v>90</v>
      </c>
      <c r="D1125" s="7">
        <v>7000</v>
      </c>
      <c r="E1125" s="7">
        <v>6800</v>
      </c>
      <c r="F1125" s="7"/>
      <c r="G1125" s="7">
        <f>'Option source'!B759</f>
        <v>346.09</v>
      </c>
      <c r="H1125" s="7">
        <f>'Option source'!B740</f>
        <v>262.94</v>
      </c>
      <c r="I1125" s="7"/>
      <c r="J1125" s="7">
        <f t="shared" si="119"/>
        <v>-179.79000000000002</v>
      </c>
      <c r="K1125" s="7">
        <f t="shared" si="120"/>
        <v>200</v>
      </c>
      <c r="L1125" s="7">
        <f t="shared" si="121"/>
        <v>379.79</v>
      </c>
      <c r="M1125" s="7">
        <f t="shared" si="122"/>
        <v>6420.21</v>
      </c>
      <c r="N1125" s="7">
        <f t="shared" si="123"/>
        <v>6420.21</v>
      </c>
      <c r="O1125" s="7" t="str">
        <f t="shared" si="124"/>
        <v>n.a.</v>
      </c>
      <c r="P1125" s="15" t="str">
        <f t="shared" si="125"/>
        <v>n.a.</v>
      </c>
      <c r="Q1125" s="7">
        <f>J1125*'Model inputs'!$B$8</f>
        <v>-17979.000000000004</v>
      </c>
      <c r="R1125" s="1" t="s">
        <v>162</v>
      </c>
      <c r="S1125" s="1">
        <v>754</v>
      </c>
      <c r="T1125" s="1">
        <v>735</v>
      </c>
    </row>
    <row r="1126" spans="1:20" ht="21" customHeight="1">
      <c r="A1126" s="8">
        <v>46265</v>
      </c>
      <c r="B1126" s="1" t="s">
        <v>36</v>
      </c>
      <c r="C1126" s="1" t="s">
        <v>87</v>
      </c>
      <c r="D1126" s="7">
        <v>7200</v>
      </c>
      <c r="E1126" s="7">
        <v>7400</v>
      </c>
      <c r="F1126" s="7"/>
      <c r="G1126" s="7">
        <f>'Option source'!B284</f>
        <v>453.57</v>
      </c>
      <c r="H1126" s="7">
        <f>'Option source'!B303</f>
        <v>370.64</v>
      </c>
      <c r="I1126" s="7"/>
      <c r="J1126" s="7">
        <f t="shared" si="119"/>
        <v>-287.70999999999998</v>
      </c>
      <c r="K1126" s="7">
        <f t="shared" si="120"/>
        <v>200</v>
      </c>
      <c r="L1126" s="7">
        <f t="shared" si="121"/>
        <v>487.71</v>
      </c>
      <c r="M1126" s="7" t="str">
        <f t="shared" si="122"/>
        <v>Unlimited</v>
      </c>
      <c r="N1126" s="7" t="str">
        <f t="shared" si="123"/>
        <v>n.a.</v>
      </c>
      <c r="O1126" s="7">
        <f t="shared" si="124"/>
        <v>7887.71</v>
      </c>
      <c r="P1126" s="15" t="str">
        <f t="shared" si="125"/>
        <v>n.a.</v>
      </c>
      <c r="Q1126" s="7">
        <f>J1126*'Model inputs'!$B$8</f>
        <v>-28770.999999999996</v>
      </c>
      <c r="R1126" s="1" t="s">
        <v>162</v>
      </c>
      <c r="S1126" s="1">
        <v>279</v>
      </c>
      <c r="T1126" s="1">
        <v>298</v>
      </c>
    </row>
    <row r="1127" spans="1:20" ht="21" customHeight="1">
      <c r="A1127" s="8">
        <v>46265</v>
      </c>
      <c r="B1127" s="1" t="s">
        <v>36</v>
      </c>
      <c r="C1127" s="1" t="s">
        <v>90</v>
      </c>
      <c r="D1127" s="7">
        <v>7600</v>
      </c>
      <c r="E1127" s="7">
        <v>7400</v>
      </c>
      <c r="F1127" s="7"/>
      <c r="G1127" s="7">
        <f>'Option source'!B816</f>
        <v>677.61</v>
      </c>
      <c r="H1127" s="7">
        <f>'Option source'!B797</f>
        <v>560.79</v>
      </c>
      <c r="I1127" s="7"/>
      <c r="J1127" s="7">
        <f t="shared" si="119"/>
        <v>-443.96999999999991</v>
      </c>
      <c r="K1127" s="7">
        <f t="shared" si="120"/>
        <v>200</v>
      </c>
      <c r="L1127" s="7">
        <f t="shared" si="121"/>
        <v>643.96999999999991</v>
      </c>
      <c r="M1127" s="7">
        <f t="shared" si="122"/>
        <v>6756.03</v>
      </c>
      <c r="N1127" s="7">
        <f t="shared" si="123"/>
        <v>6756.03</v>
      </c>
      <c r="O1127" s="7" t="str">
        <f t="shared" si="124"/>
        <v>n.a.</v>
      </c>
      <c r="P1127" s="15" t="str">
        <f t="shared" si="125"/>
        <v>n.a.</v>
      </c>
      <c r="Q1127" s="7">
        <f>J1127*'Model inputs'!$B$8</f>
        <v>-44396.999999999993</v>
      </c>
      <c r="R1127" s="1" t="s">
        <v>162</v>
      </c>
      <c r="S1127" s="1">
        <v>811</v>
      </c>
      <c r="T1127" s="1">
        <v>792</v>
      </c>
    </row>
    <row r="1128" spans="1:20" ht="21" customHeight="1">
      <c r="A1128" s="8">
        <v>46265</v>
      </c>
      <c r="B1128" s="1" t="s">
        <v>36</v>
      </c>
      <c r="C1128" s="1" t="s">
        <v>87</v>
      </c>
      <c r="D1128" s="7">
        <v>6400</v>
      </c>
      <c r="E1128" s="7">
        <v>6600</v>
      </c>
      <c r="F1128" s="7"/>
      <c r="G1128" s="7">
        <f>'Option source'!B208</f>
        <v>925</v>
      </c>
      <c r="H1128" s="7">
        <f>'Option source'!B227</f>
        <v>785.86</v>
      </c>
      <c r="I1128" s="7"/>
      <c r="J1128" s="7">
        <f t="shared" si="119"/>
        <v>-646.72</v>
      </c>
      <c r="K1128" s="7">
        <f t="shared" si="120"/>
        <v>200</v>
      </c>
      <c r="L1128" s="7">
        <f t="shared" si="121"/>
        <v>846.72</v>
      </c>
      <c r="M1128" s="7" t="str">
        <f t="shared" si="122"/>
        <v>Unlimited</v>
      </c>
      <c r="N1128" s="7" t="str">
        <f t="shared" si="123"/>
        <v>n.a.</v>
      </c>
      <c r="O1128" s="7">
        <f t="shared" si="124"/>
        <v>7446.72</v>
      </c>
      <c r="P1128" s="15" t="str">
        <f t="shared" si="125"/>
        <v>n.a.</v>
      </c>
      <c r="Q1128" s="7">
        <f>J1128*'Model inputs'!$B$8</f>
        <v>-64672</v>
      </c>
      <c r="R1128" s="1" t="s">
        <v>162</v>
      </c>
      <c r="S1128" s="1">
        <v>203</v>
      </c>
      <c r="T1128" s="1">
        <v>222</v>
      </c>
    </row>
    <row r="1129" spans="1:20" ht="21" customHeight="1">
      <c r="A1129" s="8">
        <v>46265</v>
      </c>
      <c r="B1129" s="1" t="s">
        <v>36</v>
      </c>
      <c r="C1129" s="1" t="s">
        <v>90</v>
      </c>
      <c r="D1129" s="7">
        <v>6800</v>
      </c>
      <c r="E1129" s="7">
        <v>6600</v>
      </c>
      <c r="F1129" s="7"/>
      <c r="G1129" s="7">
        <f>'Option source'!B740</f>
        <v>262.94</v>
      </c>
      <c r="H1129" s="7">
        <f>'Option source'!B721</f>
        <v>193.67</v>
      </c>
      <c r="I1129" s="7"/>
      <c r="J1129" s="7">
        <f t="shared" si="119"/>
        <v>-124.39999999999998</v>
      </c>
      <c r="K1129" s="7">
        <f t="shared" si="120"/>
        <v>200</v>
      </c>
      <c r="L1129" s="7">
        <f t="shared" si="121"/>
        <v>324.39999999999998</v>
      </c>
      <c r="M1129" s="7">
        <f t="shared" si="122"/>
        <v>6275.6</v>
      </c>
      <c r="N1129" s="7">
        <f t="shared" si="123"/>
        <v>6275.6</v>
      </c>
      <c r="O1129" s="7" t="str">
        <f t="shared" si="124"/>
        <v>n.a.</v>
      </c>
      <c r="P1129" s="15" t="str">
        <f t="shared" si="125"/>
        <v>n.a.</v>
      </c>
      <c r="Q1129" s="7">
        <f>J1129*'Model inputs'!$B$8</f>
        <v>-12439.999999999998</v>
      </c>
      <c r="R1129" s="1" t="s">
        <v>162</v>
      </c>
      <c r="S1129" s="1">
        <v>735</v>
      </c>
      <c r="T1129" s="1">
        <v>716</v>
      </c>
    </row>
    <row r="1130" spans="1:20" ht="21" customHeight="1">
      <c r="A1130" s="8">
        <v>46265</v>
      </c>
      <c r="B1130" s="1" t="s">
        <v>36</v>
      </c>
      <c r="C1130" s="1" t="s">
        <v>87</v>
      </c>
      <c r="D1130" s="7">
        <v>7400</v>
      </c>
      <c r="E1130" s="7">
        <v>7600</v>
      </c>
      <c r="F1130" s="7"/>
      <c r="G1130" s="7">
        <f>'Option source'!B303</f>
        <v>370.64</v>
      </c>
      <c r="H1130" s="7">
        <f>'Option source'!B322</f>
        <v>290.89999999999998</v>
      </c>
      <c r="I1130" s="7"/>
      <c r="J1130" s="7">
        <f t="shared" si="119"/>
        <v>-211.15999999999997</v>
      </c>
      <c r="K1130" s="7">
        <f t="shared" si="120"/>
        <v>200</v>
      </c>
      <c r="L1130" s="7">
        <f t="shared" si="121"/>
        <v>411.15999999999997</v>
      </c>
      <c r="M1130" s="7" t="str">
        <f t="shared" si="122"/>
        <v>Unlimited</v>
      </c>
      <c r="N1130" s="7" t="str">
        <f t="shared" si="123"/>
        <v>n.a.</v>
      </c>
      <c r="O1130" s="7">
        <f t="shared" si="124"/>
        <v>8011.16</v>
      </c>
      <c r="P1130" s="15" t="str">
        <f t="shared" si="125"/>
        <v>n.a.</v>
      </c>
      <c r="Q1130" s="7">
        <f>J1130*'Model inputs'!$B$8</f>
        <v>-21115.999999999996</v>
      </c>
      <c r="R1130" s="1" t="s">
        <v>162</v>
      </c>
      <c r="S1130" s="1">
        <v>298</v>
      </c>
      <c r="T1130" s="1">
        <v>317</v>
      </c>
    </row>
    <row r="1131" spans="1:20" ht="21" customHeight="1">
      <c r="A1131" s="8">
        <v>46265</v>
      </c>
      <c r="B1131" s="1" t="s">
        <v>36</v>
      </c>
      <c r="C1131" s="1" t="s">
        <v>90</v>
      </c>
      <c r="D1131" s="7">
        <v>7800</v>
      </c>
      <c r="E1131" s="7">
        <v>7600</v>
      </c>
      <c r="F1131" s="7"/>
      <c r="G1131" s="7">
        <f>'Option source'!B835</f>
        <v>790.81</v>
      </c>
      <c r="H1131" s="7">
        <f>'Option source'!B816</f>
        <v>677.61</v>
      </c>
      <c r="I1131" s="7"/>
      <c r="J1131" s="7">
        <f t="shared" si="119"/>
        <v>-564.41000000000008</v>
      </c>
      <c r="K1131" s="7">
        <f t="shared" si="120"/>
        <v>200</v>
      </c>
      <c r="L1131" s="7">
        <f t="shared" si="121"/>
        <v>764.41000000000008</v>
      </c>
      <c r="M1131" s="7">
        <f t="shared" si="122"/>
        <v>6835.59</v>
      </c>
      <c r="N1131" s="7">
        <f t="shared" si="123"/>
        <v>6835.59</v>
      </c>
      <c r="O1131" s="7" t="str">
        <f t="shared" si="124"/>
        <v>n.a.</v>
      </c>
      <c r="P1131" s="15" t="str">
        <f t="shared" si="125"/>
        <v>n.a.</v>
      </c>
      <c r="Q1131" s="7">
        <f>J1131*'Model inputs'!$B$8</f>
        <v>-56441.000000000007</v>
      </c>
      <c r="R1131" s="1" t="s">
        <v>162</v>
      </c>
      <c r="S1131" s="1">
        <v>830</v>
      </c>
      <c r="T1131" s="1">
        <v>811</v>
      </c>
    </row>
    <row r="1132" spans="1:20" ht="21" customHeight="1">
      <c r="A1132" s="8">
        <v>46265</v>
      </c>
      <c r="B1132" s="1" t="s">
        <v>36</v>
      </c>
      <c r="C1132" s="1" t="s">
        <v>87</v>
      </c>
      <c r="D1132" s="7">
        <v>6200</v>
      </c>
      <c r="E1132" s="7">
        <v>6400</v>
      </c>
      <c r="F1132" s="7"/>
      <c r="G1132" s="7">
        <f>'Option source'!B189</f>
        <v>1069</v>
      </c>
      <c r="H1132" s="7">
        <f>'Option source'!B208</f>
        <v>925</v>
      </c>
      <c r="I1132" s="7"/>
      <c r="J1132" s="7">
        <f t="shared" si="119"/>
        <v>-781</v>
      </c>
      <c r="K1132" s="7">
        <f t="shared" si="120"/>
        <v>200</v>
      </c>
      <c r="L1132" s="7">
        <f t="shared" si="121"/>
        <v>981</v>
      </c>
      <c r="M1132" s="7" t="str">
        <f t="shared" si="122"/>
        <v>Unlimited</v>
      </c>
      <c r="N1132" s="7" t="str">
        <f t="shared" si="123"/>
        <v>n.a.</v>
      </c>
      <c r="O1132" s="7">
        <f t="shared" si="124"/>
        <v>7381</v>
      </c>
      <c r="P1132" s="15" t="str">
        <f t="shared" si="125"/>
        <v>n.a.</v>
      </c>
      <c r="Q1132" s="7">
        <f>J1132*'Model inputs'!$B$8</f>
        <v>-78100</v>
      </c>
      <c r="R1132" s="1" t="s">
        <v>162</v>
      </c>
      <c r="S1132" s="1">
        <v>184</v>
      </c>
      <c r="T1132" s="1">
        <v>203</v>
      </c>
    </row>
    <row r="1133" spans="1:20" ht="21" customHeight="1">
      <c r="A1133" s="8">
        <v>46265</v>
      </c>
      <c r="B1133" s="1" t="s">
        <v>36</v>
      </c>
      <c r="C1133" s="1" t="s">
        <v>90</v>
      </c>
      <c r="D1133" s="7">
        <v>6600</v>
      </c>
      <c r="E1133" s="7">
        <v>6400</v>
      </c>
      <c r="F1133" s="7"/>
      <c r="G1133" s="7">
        <f>'Option source'!B721</f>
        <v>193.67</v>
      </c>
      <c r="H1133" s="7">
        <f>'Option source'!B702</f>
        <v>137.66999999999999</v>
      </c>
      <c r="I1133" s="7"/>
      <c r="J1133" s="7">
        <f t="shared" si="119"/>
        <v>-81.669999999999987</v>
      </c>
      <c r="K1133" s="7">
        <f t="shared" si="120"/>
        <v>200</v>
      </c>
      <c r="L1133" s="7">
        <f t="shared" si="121"/>
        <v>281.66999999999996</v>
      </c>
      <c r="M1133" s="7">
        <f t="shared" si="122"/>
        <v>6118.33</v>
      </c>
      <c r="N1133" s="7">
        <f t="shared" si="123"/>
        <v>6118.33</v>
      </c>
      <c r="O1133" s="7" t="str">
        <f t="shared" si="124"/>
        <v>n.a.</v>
      </c>
      <c r="P1133" s="15" t="str">
        <f t="shared" si="125"/>
        <v>n.a.</v>
      </c>
      <c r="Q1133" s="7">
        <f>J1133*'Model inputs'!$B$8</f>
        <v>-8166.9999999999991</v>
      </c>
      <c r="R1133" s="1" t="s">
        <v>162</v>
      </c>
      <c r="S1133" s="1">
        <v>716</v>
      </c>
      <c r="T1133" s="1">
        <v>697</v>
      </c>
    </row>
    <row r="1134" spans="1:20" ht="21" customHeight="1">
      <c r="A1134" s="8">
        <v>46265</v>
      </c>
      <c r="B1134" s="1" t="s">
        <v>36</v>
      </c>
      <c r="C1134" s="1" t="s">
        <v>87</v>
      </c>
      <c r="D1134" s="7">
        <v>7600</v>
      </c>
      <c r="E1134" s="7">
        <v>7800</v>
      </c>
      <c r="F1134" s="7"/>
      <c r="G1134" s="7">
        <f>'Option source'!B322</f>
        <v>290.89999999999998</v>
      </c>
      <c r="H1134" s="7">
        <f>'Option source'!B341</f>
        <v>228.38</v>
      </c>
      <c r="I1134" s="7"/>
      <c r="J1134" s="7">
        <f t="shared" si="119"/>
        <v>-165.86</v>
      </c>
      <c r="K1134" s="7">
        <f t="shared" si="120"/>
        <v>200</v>
      </c>
      <c r="L1134" s="7">
        <f t="shared" si="121"/>
        <v>365.86</v>
      </c>
      <c r="M1134" s="7" t="str">
        <f t="shared" si="122"/>
        <v>Unlimited</v>
      </c>
      <c r="N1134" s="7" t="str">
        <f t="shared" si="123"/>
        <v>n.a.</v>
      </c>
      <c r="O1134" s="7">
        <f t="shared" si="124"/>
        <v>8165.86</v>
      </c>
      <c r="P1134" s="15" t="str">
        <f t="shared" si="125"/>
        <v>n.a.</v>
      </c>
      <c r="Q1134" s="7">
        <f>J1134*'Model inputs'!$B$8</f>
        <v>-16586</v>
      </c>
      <c r="R1134" s="1" t="s">
        <v>162</v>
      </c>
      <c r="S1134" s="1">
        <v>317</v>
      </c>
      <c r="T1134" s="1">
        <v>336</v>
      </c>
    </row>
    <row r="1135" spans="1:20" ht="21" customHeight="1">
      <c r="A1135" s="8">
        <v>46265</v>
      </c>
      <c r="B1135" s="1" t="s">
        <v>36</v>
      </c>
      <c r="C1135" s="1" t="s">
        <v>90</v>
      </c>
      <c r="D1135" s="7">
        <v>6400</v>
      </c>
      <c r="E1135" s="7">
        <v>6200</v>
      </c>
      <c r="F1135" s="7"/>
      <c r="G1135" s="7">
        <f>'Option source'!B702</f>
        <v>137.66999999999999</v>
      </c>
      <c r="H1135" s="7">
        <f>'Option source'!B683</f>
        <v>90.19</v>
      </c>
      <c r="I1135" s="7"/>
      <c r="J1135" s="7">
        <f t="shared" si="119"/>
        <v>-42.710000000000008</v>
      </c>
      <c r="K1135" s="7">
        <f t="shared" si="120"/>
        <v>200</v>
      </c>
      <c r="L1135" s="7">
        <f t="shared" si="121"/>
        <v>242.71</v>
      </c>
      <c r="M1135" s="7">
        <f t="shared" si="122"/>
        <v>5957.29</v>
      </c>
      <c r="N1135" s="7">
        <f t="shared" si="123"/>
        <v>5957.29</v>
      </c>
      <c r="O1135" s="7" t="str">
        <f t="shared" si="124"/>
        <v>n.a.</v>
      </c>
      <c r="P1135" s="15" t="str">
        <f t="shared" si="125"/>
        <v>n.a.</v>
      </c>
      <c r="Q1135" s="7">
        <f>J1135*'Model inputs'!$B$8</f>
        <v>-4271.0000000000009</v>
      </c>
      <c r="R1135" s="1" t="s">
        <v>162</v>
      </c>
      <c r="S1135" s="1">
        <v>697</v>
      </c>
      <c r="T1135" s="1">
        <v>678</v>
      </c>
    </row>
    <row r="1136" spans="1:20" ht="21" customHeight="1">
      <c r="A1136" s="8">
        <v>46265</v>
      </c>
      <c r="B1136" s="1" t="s">
        <v>36</v>
      </c>
      <c r="C1136" s="1" t="s">
        <v>87</v>
      </c>
      <c r="D1136" s="7">
        <v>7800</v>
      </c>
      <c r="E1136" s="7">
        <v>8000</v>
      </c>
      <c r="F1136" s="7"/>
      <c r="G1136" s="7">
        <f>'Option source'!B341</f>
        <v>228.38</v>
      </c>
      <c r="H1136" s="7">
        <f>'Option source'!B360</f>
        <v>178.25</v>
      </c>
      <c r="I1136" s="7"/>
      <c r="J1136" s="7">
        <f t="shared" si="119"/>
        <v>-128.12</v>
      </c>
      <c r="K1136" s="7">
        <f t="shared" si="120"/>
        <v>200</v>
      </c>
      <c r="L1136" s="7">
        <f t="shared" si="121"/>
        <v>328.12</v>
      </c>
      <c r="M1136" s="7" t="str">
        <f t="shared" si="122"/>
        <v>Unlimited</v>
      </c>
      <c r="N1136" s="7" t="str">
        <f t="shared" si="123"/>
        <v>n.a.</v>
      </c>
      <c r="O1136" s="7">
        <f t="shared" si="124"/>
        <v>8328.1200000000008</v>
      </c>
      <c r="P1136" s="15" t="str">
        <f t="shared" si="125"/>
        <v>n.a.</v>
      </c>
      <c r="Q1136" s="7">
        <f>J1136*'Model inputs'!$B$8</f>
        <v>-12812</v>
      </c>
      <c r="R1136" s="1" t="s">
        <v>162</v>
      </c>
      <c r="S1136" s="1">
        <v>336</v>
      </c>
      <c r="T1136" s="1">
        <v>355</v>
      </c>
    </row>
    <row r="1137" spans="1:20" ht="21" customHeight="1">
      <c r="A1137" s="8">
        <v>46265</v>
      </c>
      <c r="B1137" s="1" t="s">
        <v>36</v>
      </c>
      <c r="C1137" s="1" t="s">
        <v>90</v>
      </c>
      <c r="D1137" s="7">
        <v>6200</v>
      </c>
      <c r="E1137" s="7">
        <v>6000</v>
      </c>
      <c r="F1137" s="7"/>
      <c r="G1137" s="7">
        <f>'Option source'!B683</f>
        <v>90.19</v>
      </c>
      <c r="H1137" s="7">
        <f>'Option source'!B664</f>
        <v>61.12</v>
      </c>
      <c r="I1137" s="7"/>
      <c r="J1137" s="7">
        <f t="shared" si="119"/>
        <v>-32.049999999999997</v>
      </c>
      <c r="K1137" s="7">
        <f t="shared" si="120"/>
        <v>200</v>
      </c>
      <c r="L1137" s="7">
        <f t="shared" si="121"/>
        <v>232.05</v>
      </c>
      <c r="M1137" s="7">
        <f t="shared" si="122"/>
        <v>5767.95</v>
      </c>
      <c r="N1137" s="7">
        <f t="shared" si="123"/>
        <v>5767.95</v>
      </c>
      <c r="O1137" s="7" t="str">
        <f t="shared" si="124"/>
        <v>n.a.</v>
      </c>
      <c r="P1137" s="15" t="str">
        <f t="shared" si="125"/>
        <v>n.a.</v>
      </c>
      <c r="Q1137" s="7">
        <f>J1137*'Model inputs'!$B$8</f>
        <v>-3204.9999999999995</v>
      </c>
      <c r="R1137" s="1" t="s">
        <v>162</v>
      </c>
      <c r="S1137" s="1">
        <v>678</v>
      </c>
      <c r="T1137" s="1">
        <v>659</v>
      </c>
    </row>
    <row r="1138" spans="1:20" ht="21" customHeight="1">
      <c r="A1138" s="8">
        <v>46265</v>
      </c>
      <c r="B1138" s="1" t="s">
        <v>36</v>
      </c>
      <c r="C1138" s="1" t="s">
        <v>90</v>
      </c>
      <c r="D1138" s="7">
        <v>6000</v>
      </c>
      <c r="E1138" s="7">
        <v>5800</v>
      </c>
      <c r="F1138" s="7"/>
      <c r="G1138" s="7">
        <f>'Option source'!B664</f>
        <v>61.12</v>
      </c>
      <c r="H1138" s="7">
        <f>'Option source'!B645</f>
        <v>36.96</v>
      </c>
      <c r="I1138" s="7"/>
      <c r="J1138" s="7">
        <f t="shared" si="119"/>
        <v>-12.800000000000004</v>
      </c>
      <c r="K1138" s="7">
        <f t="shared" si="120"/>
        <v>200</v>
      </c>
      <c r="L1138" s="7">
        <f t="shared" si="121"/>
        <v>212.8</v>
      </c>
      <c r="M1138" s="7">
        <f t="shared" si="122"/>
        <v>5587.2</v>
      </c>
      <c r="N1138" s="7">
        <f t="shared" si="123"/>
        <v>5587.2</v>
      </c>
      <c r="O1138" s="7" t="str">
        <f t="shared" si="124"/>
        <v>n.a.</v>
      </c>
      <c r="P1138" s="15" t="str">
        <f t="shared" si="125"/>
        <v>n.a.</v>
      </c>
      <c r="Q1138" s="7">
        <f>J1138*'Model inputs'!$B$8</f>
        <v>-1280.0000000000005</v>
      </c>
      <c r="R1138" s="1" t="s">
        <v>162</v>
      </c>
      <c r="S1138" s="1">
        <v>659</v>
      </c>
      <c r="T1138" s="1">
        <v>640</v>
      </c>
    </row>
    <row r="1139" spans="1:20" ht="21" customHeight="1">
      <c r="A1139" s="8">
        <v>46265</v>
      </c>
      <c r="B1139" s="1" t="s">
        <v>36</v>
      </c>
      <c r="C1139" s="1" t="s">
        <v>87</v>
      </c>
      <c r="D1139" s="7">
        <v>8000</v>
      </c>
      <c r="E1139" s="7">
        <v>8300</v>
      </c>
      <c r="F1139" s="7"/>
      <c r="G1139" s="7">
        <f>'Option source'!B360</f>
        <v>178.25</v>
      </c>
      <c r="H1139" s="7">
        <f>'Option source'!B379</f>
        <v>114.25</v>
      </c>
      <c r="I1139" s="7"/>
      <c r="J1139" s="7">
        <f t="shared" si="119"/>
        <v>-50.25</v>
      </c>
      <c r="K1139" s="7">
        <f t="shared" si="120"/>
        <v>300</v>
      </c>
      <c r="L1139" s="7">
        <f t="shared" si="121"/>
        <v>350.25</v>
      </c>
      <c r="M1139" s="7" t="str">
        <f t="shared" si="122"/>
        <v>Unlimited</v>
      </c>
      <c r="N1139" s="7" t="str">
        <f t="shared" si="123"/>
        <v>n.a.</v>
      </c>
      <c r="O1139" s="7">
        <f t="shared" si="124"/>
        <v>8650.25</v>
      </c>
      <c r="P1139" s="15" t="str">
        <f t="shared" si="125"/>
        <v>n.a.</v>
      </c>
      <c r="Q1139" s="7">
        <f>J1139*'Model inputs'!$B$8</f>
        <v>-5025</v>
      </c>
      <c r="R1139" s="1" t="s">
        <v>162</v>
      </c>
      <c r="S1139" s="1">
        <v>355</v>
      </c>
      <c r="T1139" s="1">
        <v>374</v>
      </c>
    </row>
    <row r="1140" spans="1:20" ht="21" customHeight="1">
      <c r="A1140" s="8">
        <v>46265</v>
      </c>
      <c r="B1140" s="1" t="s">
        <v>36</v>
      </c>
      <c r="C1140" s="1" t="s">
        <v>90</v>
      </c>
      <c r="D1140" s="7">
        <v>5800</v>
      </c>
      <c r="E1140" s="7">
        <v>5600</v>
      </c>
      <c r="F1140" s="7"/>
      <c r="G1140" s="7">
        <f>'Option source'!B645</f>
        <v>36.96</v>
      </c>
      <c r="H1140" s="7">
        <f>'Option source'!B626</f>
        <v>22.98</v>
      </c>
      <c r="I1140" s="7"/>
      <c r="J1140" s="7">
        <f t="shared" si="119"/>
        <v>-9</v>
      </c>
      <c r="K1140" s="7">
        <f t="shared" si="120"/>
        <v>200</v>
      </c>
      <c r="L1140" s="7">
        <f t="shared" si="121"/>
        <v>209</v>
      </c>
      <c r="M1140" s="7">
        <f t="shared" si="122"/>
        <v>5391</v>
      </c>
      <c r="N1140" s="7">
        <f t="shared" si="123"/>
        <v>5391</v>
      </c>
      <c r="O1140" s="7" t="str">
        <f t="shared" si="124"/>
        <v>n.a.</v>
      </c>
      <c r="P1140" s="15" t="str">
        <f t="shared" si="125"/>
        <v>n.a.</v>
      </c>
      <c r="Q1140" s="7">
        <f>J1140*'Model inputs'!$B$8</f>
        <v>-900</v>
      </c>
      <c r="R1140" s="1" t="s">
        <v>162</v>
      </c>
      <c r="S1140" s="1">
        <v>640</v>
      </c>
      <c r="T1140" s="1">
        <v>621</v>
      </c>
    </row>
    <row r="1141" spans="1:20" ht="21" customHeight="1">
      <c r="A1141" s="8">
        <v>46265</v>
      </c>
      <c r="B1141" s="1" t="s">
        <v>36</v>
      </c>
      <c r="C1141" s="1" t="s">
        <v>87</v>
      </c>
      <c r="D1141" s="7">
        <v>8300</v>
      </c>
      <c r="E1141" s="7">
        <v>8600</v>
      </c>
      <c r="F1141" s="7"/>
      <c r="G1141" s="7">
        <f>'Option source'!B379</f>
        <v>114.25</v>
      </c>
      <c r="H1141" s="7">
        <f>'Option source'!B398</f>
        <v>73.69</v>
      </c>
      <c r="I1141" s="7"/>
      <c r="J1141" s="7">
        <f t="shared" si="119"/>
        <v>-33.129999999999995</v>
      </c>
      <c r="K1141" s="7">
        <f t="shared" si="120"/>
        <v>300</v>
      </c>
      <c r="L1141" s="7">
        <f t="shared" si="121"/>
        <v>333.13</v>
      </c>
      <c r="M1141" s="7" t="str">
        <f t="shared" si="122"/>
        <v>Unlimited</v>
      </c>
      <c r="N1141" s="7" t="str">
        <f t="shared" si="123"/>
        <v>n.a.</v>
      </c>
      <c r="O1141" s="7">
        <f t="shared" si="124"/>
        <v>8933.1299999999992</v>
      </c>
      <c r="P1141" s="15" t="str">
        <f t="shared" si="125"/>
        <v>n.a.</v>
      </c>
      <c r="Q1141" s="7">
        <f>J1141*'Model inputs'!$B$8</f>
        <v>-3312.9999999999995</v>
      </c>
      <c r="R1141" s="1" t="s">
        <v>162</v>
      </c>
      <c r="S1141" s="1">
        <v>374</v>
      </c>
      <c r="T1141" s="1">
        <v>393</v>
      </c>
    </row>
    <row r="1142" spans="1:20" ht="21" customHeight="1">
      <c r="A1142" s="8">
        <v>46265</v>
      </c>
      <c r="B1142" s="1" t="s">
        <v>36</v>
      </c>
      <c r="C1142" s="1" t="s">
        <v>90</v>
      </c>
      <c r="D1142" s="7">
        <v>5600</v>
      </c>
      <c r="E1142" s="7">
        <v>5400</v>
      </c>
      <c r="F1142" s="7"/>
      <c r="G1142" s="7">
        <f>'Option source'!B626</f>
        <v>22.98</v>
      </c>
      <c r="H1142" s="7">
        <f>'Option source'!B607</f>
        <v>12.73</v>
      </c>
      <c r="I1142" s="7"/>
      <c r="J1142" s="7">
        <f t="shared" si="119"/>
        <v>-2.4800000000000004</v>
      </c>
      <c r="K1142" s="7">
        <f t="shared" si="120"/>
        <v>200</v>
      </c>
      <c r="L1142" s="7">
        <f t="shared" si="121"/>
        <v>202.48</v>
      </c>
      <c r="M1142" s="7">
        <f t="shared" si="122"/>
        <v>5197.5200000000004</v>
      </c>
      <c r="N1142" s="7">
        <f t="shared" si="123"/>
        <v>5197.5200000000004</v>
      </c>
      <c r="O1142" s="7" t="str">
        <f t="shared" si="124"/>
        <v>n.a.</v>
      </c>
      <c r="P1142" s="15" t="str">
        <f t="shared" si="125"/>
        <v>n.a.</v>
      </c>
      <c r="Q1142" s="7">
        <f>J1142*'Model inputs'!$B$8</f>
        <v>-248.00000000000006</v>
      </c>
      <c r="R1142" s="1" t="s">
        <v>162</v>
      </c>
      <c r="S1142" s="1">
        <v>621</v>
      </c>
      <c r="T1142" s="1">
        <v>602</v>
      </c>
    </row>
    <row r="1143" spans="1:20" ht="21" customHeight="1">
      <c r="A1143" s="8">
        <v>46265</v>
      </c>
      <c r="B1143" s="1" t="s">
        <v>36</v>
      </c>
      <c r="C1143" s="1" t="s">
        <v>90</v>
      </c>
      <c r="D1143" s="7">
        <v>5400</v>
      </c>
      <c r="E1143" s="7">
        <v>5200</v>
      </c>
      <c r="F1143" s="7"/>
      <c r="G1143" s="7">
        <f>'Option source'!B607</f>
        <v>12.73</v>
      </c>
      <c r="H1143" s="7">
        <f>'Option source'!B588</f>
        <v>7.67</v>
      </c>
      <c r="I1143" s="7"/>
      <c r="J1143" s="7">
        <f t="shared" si="119"/>
        <v>-2.6099999999999994</v>
      </c>
      <c r="K1143" s="7">
        <f t="shared" si="120"/>
        <v>200</v>
      </c>
      <c r="L1143" s="7">
        <f t="shared" si="121"/>
        <v>202.61</v>
      </c>
      <c r="M1143" s="7">
        <f t="shared" si="122"/>
        <v>4997.3900000000003</v>
      </c>
      <c r="N1143" s="7">
        <f t="shared" si="123"/>
        <v>4997.3900000000003</v>
      </c>
      <c r="O1143" s="7" t="str">
        <f t="shared" si="124"/>
        <v>n.a.</v>
      </c>
      <c r="P1143" s="15" t="str">
        <f t="shared" si="125"/>
        <v>n.a.</v>
      </c>
      <c r="Q1143" s="7">
        <f>J1143*'Model inputs'!$B$8</f>
        <v>-260.99999999999994</v>
      </c>
      <c r="R1143" s="1" t="s">
        <v>162</v>
      </c>
      <c r="S1143" s="1">
        <v>602</v>
      </c>
      <c r="T1143" s="1">
        <v>583</v>
      </c>
    </row>
    <row r="1144" spans="1:20" ht="21" customHeight="1">
      <c r="A1144" s="8">
        <v>46265</v>
      </c>
      <c r="B1144" s="1" t="s">
        <v>36</v>
      </c>
      <c r="C1144" s="1" t="s">
        <v>87</v>
      </c>
      <c r="D1144" s="7">
        <v>8600</v>
      </c>
      <c r="E1144" s="7">
        <v>8900</v>
      </c>
      <c r="F1144" s="7"/>
      <c r="G1144" s="7">
        <f>'Option source'!B398</f>
        <v>73.69</v>
      </c>
      <c r="H1144" s="7">
        <f>'Option source'!B417</f>
        <v>46.66</v>
      </c>
      <c r="I1144" s="7"/>
      <c r="J1144" s="7">
        <f t="shared" si="119"/>
        <v>-19.629999999999995</v>
      </c>
      <c r="K1144" s="7">
        <f t="shared" si="120"/>
        <v>300</v>
      </c>
      <c r="L1144" s="7">
        <f t="shared" si="121"/>
        <v>319.63</v>
      </c>
      <c r="M1144" s="7" t="str">
        <f t="shared" si="122"/>
        <v>Unlimited</v>
      </c>
      <c r="N1144" s="7" t="str">
        <f t="shared" si="123"/>
        <v>n.a.</v>
      </c>
      <c r="O1144" s="7">
        <f t="shared" si="124"/>
        <v>9219.6299999999992</v>
      </c>
      <c r="P1144" s="15" t="str">
        <f t="shared" si="125"/>
        <v>n.a.</v>
      </c>
      <c r="Q1144" s="7">
        <f>J1144*'Model inputs'!$B$8</f>
        <v>-1962.9999999999995</v>
      </c>
      <c r="R1144" s="1" t="s">
        <v>162</v>
      </c>
      <c r="S1144" s="1">
        <v>393</v>
      </c>
      <c r="T1144" s="1">
        <v>412</v>
      </c>
    </row>
    <row r="1145" spans="1:20" ht="21" customHeight="1">
      <c r="A1145" s="8">
        <v>46265</v>
      </c>
      <c r="B1145" s="1" t="s">
        <v>36</v>
      </c>
      <c r="C1145" s="1" t="s">
        <v>90</v>
      </c>
      <c r="D1145" s="7">
        <v>5200</v>
      </c>
      <c r="E1145" s="7">
        <v>5000</v>
      </c>
      <c r="F1145" s="7"/>
      <c r="G1145" s="7">
        <f>'Option source'!B588</f>
        <v>7.67</v>
      </c>
      <c r="H1145" s="7">
        <f>'Option source'!B569</f>
        <v>4.26</v>
      </c>
      <c r="I1145" s="7"/>
      <c r="J1145" s="7">
        <f t="shared" si="119"/>
        <v>-0.84999999999999964</v>
      </c>
      <c r="K1145" s="7">
        <f t="shared" si="120"/>
        <v>200</v>
      </c>
      <c r="L1145" s="7">
        <f t="shared" si="121"/>
        <v>200.85</v>
      </c>
      <c r="M1145" s="7">
        <f t="shared" si="122"/>
        <v>4799.1499999999996</v>
      </c>
      <c r="N1145" s="7">
        <f t="shared" si="123"/>
        <v>4799.1499999999996</v>
      </c>
      <c r="O1145" s="7" t="str">
        <f t="shared" si="124"/>
        <v>n.a.</v>
      </c>
      <c r="P1145" s="15" t="str">
        <f t="shared" si="125"/>
        <v>n.a.</v>
      </c>
      <c r="Q1145" s="7">
        <f>J1145*'Model inputs'!$B$8</f>
        <v>-84.999999999999972</v>
      </c>
      <c r="R1145" s="1" t="s">
        <v>162</v>
      </c>
      <c r="S1145" s="1">
        <v>583</v>
      </c>
      <c r="T1145" s="1">
        <v>564</v>
      </c>
    </row>
    <row r="1146" spans="1:20" ht="21" customHeight="1">
      <c r="A1146" s="8">
        <v>46265</v>
      </c>
      <c r="B1146" s="1" t="s">
        <v>36</v>
      </c>
      <c r="C1146" s="1" t="s">
        <v>87</v>
      </c>
      <c r="D1146" s="7">
        <v>8900</v>
      </c>
      <c r="E1146" s="7">
        <v>9200</v>
      </c>
      <c r="F1146" s="7"/>
      <c r="G1146" s="7">
        <f>'Option source'!B417</f>
        <v>46.66</v>
      </c>
      <c r="H1146" s="7">
        <f>'Option source'!B436</f>
        <v>29.82</v>
      </c>
      <c r="I1146" s="7"/>
      <c r="J1146" s="7">
        <f t="shared" si="119"/>
        <v>-12.980000000000004</v>
      </c>
      <c r="K1146" s="7">
        <f t="shared" si="120"/>
        <v>300</v>
      </c>
      <c r="L1146" s="7">
        <f t="shared" si="121"/>
        <v>312.98</v>
      </c>
      <c r="M1146" s="7" t="str">
        <f t="shared" si="122"/>
        <v>Unlimited</v>
      </c>
      <c r="N1146" s="7" t="str">
        <f t="shared" si="123"/>
        <v>n.a.</v>
      </c>
      <c r="O1146" s="7">
        <f t="shared" si="124"/>
        <v>9512.98</v>
      </c>
      <c r="P1146" s="15" t="str">
        <f t="shared" si="125"/>
        <v>n.a.</v>
      </c>
      <c r="Q1146" s="7">
        <f>J1146*'Model inputs'!$B$8</f>
        <v>-1298.0000000000005</v>
      </c>
      <c r="R1146" s="1" t="s">
        <v>162</v>
      </c>
      <c r="S1146" s="1">
        <v>412</v>
      </c>
      <c r="T1146" s="1">
        <v>431</v>
      </c>
    </row>
    <row r="1147" spans="1:20" ht="21" customHeight="1">
      <c r="A1147" s="8">
        <v>46265</v>
      </c>
      <c r="B1147" s="1" t="s">
        <v>36</v>
      </c>
      <c r="C1147" s="1" t="s">
        <v>90</v>
      </c>
      <c r="D1147" s="7">
        <v>5000</v>
      </c>
      <c r="E1147" s="7">
        <v>4800</v>
      </c>
      <c r="F1147" s="7"/>
      <c r="G1147" s="7">
        <f>'Option source'!B569</f>
        <v>4.26</v>
      </c>
      <c r="H1147" s="7">
        <f>'Option source'!B550</f>
        <v>2.54</v>
      </c>
      <c r="I1147" s="7"/>
      <c r="J1147" s="7">
        <f t="shared" si="119"/>
        <v>-0.82000000000000028</v>
      </c>
      <c r="K1147" s="7">
        <f t="shared" si="120"/>
        <v>200</v>
      </c>
      <c r="L1147" s="7">
        <f t="shared" si="121"/>
        <v>200.82</v>
      </c>
      <c r="M1147" s="7">
        <f t="shared" si="122"/>
        <v>4599.18</v>
      </c>
      <c r="N1147" s="7">
        <f t="shared" si="123"/>
        <v>4599.18</v>
      </c>
      <c r="O1147" s="7" t="str">
        <f t="shared" si="124"/>
        <v>n.a.</v>
      </c>
      <c r="P1147" s="15" t="str">
        <f t="shared" si="125"/>
        <v>n.a.</v>
      </c>
      <c r="Q1147" s="7">
        <f>J1147*'Model inputs'!$B$8</f>
        <v>-82.000000000000028</v>
      </c>
      <c r="R1147" s="1" t="s">
        <v>162</v>
      </c>
      <c r="S1147" s="1">
        <v>564</v>
      </c>
      <c r="T1147" s="1">
        <v>545</v>
      </c>
    </row>
    <row r="1148" spans="1:20" ht="21" customHeight="1">
      <c r="A1148" s="8">
        <v>46265</v>
      </c>
      <c r="B1148" s="1" t="s">
        <v>36</v>
      </c>
      <c r="C1148" s="1" t="s">
        <v>90</v>
      </c>
      <c r="D1148" s="7">
        <v>4800</v>
      </c>
      <c r="E1148" s="7">
        <v>4600</v>
      </c>
      <c r="F1148" s="7"/>
      <c r="G1148" s="7">
        <f>'Option source'!B550</f>
        <v>2.54</v>
      </c>
      <c r="H1148" s="7">
        <f>'Option source'!B531</f>
        <v>1.8</v>
      </c>
      <c r="I1148" s="7"/>
      <c r="J1148" s="7">
        <f t="shared" si="119"/>
        <v>-1.06</v>
      </c>
      <c r="K1148" s="7">
        <f t="shared" si="120"/>
        <v>200</v>
      </c>
      <c r="L1148" s="7">
        <f t="shared" si="121"/>
        <v>201.06</v>
      </c>
      <c r="M1148" s="7">
        <f t="shared" si="122"/>
        <v>4398.9399999999996</v>
      </c>
      <c r="N1148" s="7">
        <f t="shared" si="123"/>
        <v>4398.9399999999996</v>
      </c>
      <c r="O1148" s="7" t="str">
        <f t="shared" si="124"/>
        <v>n.a.</v>
      </c>
      <c r="P1148" s="15" t="str">
        <f t="shared" si="125"/>
        <v>n.a.</v>
      </c>
      <c r="Q1148" s="7">
        <f>J1148*'Model inputs'!$B$8</f>
        <v>-106</v>
      </c>
      <c r="R1148" s="1" t="s">
        <v>162</v>
      </c>
      <c r="S1148" s="1">
        <v>545</v>
      </c>
      <c r="T1148" s="1">
        <v>526</v>
      </c>
    </row>
    <row r="1149" spans="1:20" ht="21" customHeight="1">
      <c r="A1149" s="8">
        <v>46265</v>
      </c>
      <c r="B1149" s="1" t="s">
        <v>36</v>
      </c>
      <c r="C1149" s="1" t="s">
        <v>87</v>
      </c>
      <c r="D1149" s="7">
        <v>9200</v>
      </c>
      <c r="E1149" s="7">
        <v>9500</v>
      </c>
      <c r="F1149" s="7"/>
      <c r="G1149" s="7">
        <f>'Option source'!B436</f>
        <v>29.82</v>
      </c>
      <c r="H1149" s="7">
        <f>'Option source'!B455</f>
        <v>18.100000000000001</v>
      </c>
      <c r="I1149" s="7"/>
      <c r="J1149" s="7">
        <f t="shared" si="119"/>
        <v>-6.3800000000000026</v>
      </c>
      <c r="K1149" s="7">
        <f t="shared" si="120"/>
        <v>300</v>
      </c>
      <c r="L1149" s="7">
        <f t="shared" si="121"/>
        <v>306.38</v>
      </c>
      <c r="M1149" s="7" t="str">
        <f t="shared" si="122"/>
        <v>Unlimited</v>
      </c>
      <c r="N1149" s="7" t="str">
        <f t="shared" si="123"/>
        <v>n.a.</v>
      </c>
      <c r="O1149" s="7">
        <f t="shared" si="124"/>
        <v>9806.3799999999992</v>
      </c>
      <c r="P1149" s="15" t="str">
        <f t="shared" si="125"/>
        <v>n.a.</v>
      </c>
      <c r="Q1149" s="7">
        <f>J1149*'Model inputs'!$B$8</f>
        <v>-638.00000000000023</v>
      </c>
      <c r="R1149" s="1" t="s">
        <v>162</v>
      </c>
      <c r="S1149" s="1">
        <v>431</v>
      </c>
      <c r="T1149" s="1">
        <v>450</v>
      </c>
    </row>
    <row r="1150" spans="1:20" ht="21" customHeight="1">
      <c r="A1150" s="8">
        <v>46265</v>
      </c>
      <c r="B1150" s="1" t="s">
        <v>36</v>
      </c>
      <c r="C1150" s="1" t="s">
        <v>90</v>
      </c>
      <c r="D1150" s="7">
        <v>4600</v>
      </c>
      <c r="E1150" s="7">
        <v>4400</v>
      </c>
      <c r="F1150" s="7"/>
      <c r="G1150" s="7">
        <f>'Option source'!B531</f>
        <v>1.8</v>
      </c>
      <c r="H1150" s="7">
        <f>'Option source'!B512</f>
        <v>1.18</v>
      </c>
      <c r="I1150" s="7"/>
      <c r="J1150" s="7">
        <f t="shared" si="119"/>
        <v>-0.55999999999999983</v>
      </c>
      <c r="K1150" s="7">
        <f t="shared" si="120"/>
        <v>200</v>
      </c>
      <c r="L1150" s="7">
        <f t="shared" si="121"/>
        <v>200.56</v>
      </c>
      <c r="M1150" s="7">
        <f t="shared" si="122"/>
        <v>4199.4399999999996</v>
      </c>
      <c r="N1150" s="7">
        <f t="shared" si="123"/>
        <v>4199.4399999999996</v>
      </c>
      <c r="O1150" s="7" t="str">
        <f t="shared" si="124"/>
        <v>n.a.</v>
      </c>
      <c r="P1150" s="15" t="str">
        <f t="shared" si="125"/>
        <v>n.a.</v>
      </c>
      <c r="Q1150" s="7">
        <f>J1150*'Model inputs'!$B$8</f>
        <v>-55.999999999999986</v>
      </c>
      <c r="R1150" s="1" t="s">
        <v>162</v>
      </c>
      <c r="S1150" s="1">
        <v>526</v>
      </c>
      <c r="T1150" s="1">
        <v>507</v>
      </c>
    </row>
    <row r="1151" spans="1:20" ht="21" customHeight="1">
      <c r="A1151" s="8">
        <v>46265</v>
      </c>
      <c r="B1151" s="1" t="s">
        <v>36</v>
      </c>
      <c r="C1151" s="1" t="s">
        <v>90</v>
      </c>
      <c r="D1151" s="7">
        <v>4400</v>
      </c>
      <c r="E1151" s="7">
        <v>4200</v>
      </c>
      <c r="F1151" s="7"/>
      <c r="G1151" s="7">
        <f>'Option source'!B512</f>
        <v>1.18</v>
      </c>
      <c r="H1151" s="7">
        <f>'Option source'!B493</f>
        <v>0.9</v>
      </c>
      <c r="I1151" s="7"/>
      <c r="J1151" s="7">
        <f t="shared" si="119"/>
        <v>-0.62000000000000011</v>
      </c>
      <c r="K1151" s="7">
        <f t="shared" si="120"/>
        <v>200</v>
      </c>
      <c r="L1151" s="7">
        <f t="shared" si="121"/>
        <v>200.62</v>
      </c>
      <c r="M1151" s="7">
        <f t="shared" si="122"/>
        <v>3999.38</v>
      </c>
      <c r="N1151" s="7">
        <f t="shared" si="123"/>
        <v>3999.38</v>
      </c>
      <c r="O1151" s="7" t="str">
        <f t="shared" si="124"/>
        <v>n.a.</v>
      </c>
      <c r="P1151" s="15" t="str">
        <f t="shared" si="125"/>
        <v>n.a.</v>
      </c>
      <c r="Q1151" s="7">
        <f>J1151*'Model inputs'!$B$8</f>
        <v>-62.000000000000014</v>
      </c>
      <c r="R1151" s="1" t="s">
        <v>162</v>
      </c>
      <c r="S1151" s="1">
        <v>507</v>
      </c>
      <c r="T1151" s="1">
        <v>488</v>
      </c>
    </row>
    <row r="1152" spans="1:20" ht="21" customHeight="1">
      <c r="A1152" s="8">
        <v>46265</v>
      </c>
      <c r="B1152" s="1" t="s">
        <v>36</v>
      </c>
      <c r="C1152" s="1" t="s">
        <v>87</v>
      </c>
      <c r="D1152" s="7">
        <v>9500</v>
      </c>
      <c r="E1152" s="7">
        <v>9900</v>
      </c>
      <c r="F1152" s="7"/>
      <c r="G1152" s="7">
        <f>'Option source'!B455</f>
        <v>18.100000000000001</v>
      </c>
      <c r="H1152" s="7">
        <f>'Option source'!B474</f>
        <v>12.79</v>
      </c>
      <c r="I1152" s="7"/>
      <c r="J1152" s="7">
        <f t="shared" si="119"/>
        <v>-7.4799999999999969</v>
      </c>
      <c r="K1152" s="7">
        <f t="shared" si="120"/>
        <v>400</v>
      </c>
      <c r="L1152" s="7">
        <f t="shared" si="121"/>
        <v>407.48</v>
      </c>
      <c r="M1152" s="7" t="str">
        <f t="shared" si="122"/>
        <v>Unlimited</v>
      </c>
      <c r="N1152" s="7" t="str">
        <f t="shared" si="123"/>
        <v>n.a.</v>
      </c>
      <c r="O1152" s="7">
        <f t="shared" si="124"/>
        <v>10307.48</v>
      </c>
      <c r="P1152" s="15" t="str">
        <f t="shared" si="125"/>
        <v>n.a.</v>
      </c>
      <c r="Q1152" s="7">
        <f>J1152*'Model inputs'!$B$8</f>
        <v>-747.99999999999966</v>
      </c>
      <c r="R1152" s="1" t="s">
        <v>162</v>
      </c>
      <c r="S1152" s="1">
        <v>450</v>
      </c>
      <c r="T1152" s="1">
        <v>469</v>
      </c>
    </row>
    <row r="1153" spans="1:20" ht="21" customHeight="1">
      <c r="A1153" s="8">
        <v>46265</v>
      </c>
      <c r="B1153" s="1" t="s">
        <v>36</v>
      </c>
      <c r="C1153" s="1" t="s">
        <v>90</v>
      </c>
      <c r="D1153" s="7">
        <v>8000</v>
      </c>
      <c r="E1153" s="7">
        <v>7800</v>
      </c>
      <c r="F1153" s="7"/>
      <c r="G1153" s="7">
        <f>'Option source'!B854</f>
        <v>950</v>
      </c>
      <c r="H1153" s="7">
        <f>'Option source'!B835</f>
        <v>790.81</v>
      </c>
      <c r="I1153" s="7"/>
      <c r="J1153" s="7">
        <f t="shared" si="119"/>
        <v>-631.61999999999989</v>
      </c>
      <c r="K1153" s="7">
        <f t="shared" si="120"/>
        <v>200</v>
      </c>
      <c r="L1153" s="7">
        <f t="shared" si="121"/>
        <v>831.61999999999989</v>
      </c>
      <c r="M1153" s="7">
        <f t="shared" si="122"/>
        <v>6968.38</v>
      </c>
      <c r="N1153" s="7">
        <f t="shared" si="123"/>
        <v>6968.38</v>
      </c>
      <c r="O1153" s="7" t="str">
        <f t="shared" si="124"/>
        <v>n.a.</v>
      </c>
      <c r="P1153" s="15" t="str">
        <f t="shared" si="125"/>
        <v>n.a.</v>
      </c>
      <c r="Q1153" s="7">
        <f>J1153*'Model inputs'!$B$8</f>
        <v>-63161.999999999985</v>
      </c>
      <c r="R1153" s="1" t="s">
        <v>164</v>
      </c>
      <c r="S1153" s="1">
        <v>849</v>
      </c>
      <c r="T1153" s="1">
        <v>830</v>
      </c>
    </row>
    <row r="1154" spans="1:20" ht="21" customHeight="1">
      <c r="A1154" s="8">
        <v>46265</v>
      </c>
      <c r="B1154" s="1" t="s">
        <v>36</v>
      </c>
      <c r="C1154" s="1" t="s">
        <v>87</v>
      </c>
      <c r="D1154" s="7">
        <v>6000</v>
      </c>
      <c r="E1154" s="7">
        <v>6200</v>
      </c>
      <c r="F1154" s="7"/>
      <c r="G1154" s="7">
        <f>'Option source'!B170</f>
        <v>1200</v>
      </c>
      <c r="H1154" s="7">
        <f>'Option source'!B189</f>
        <v>1069</v>
      </c>
      <c r="I1154" s="7"/>
      <c r="J1154" s="7">
        <f t="shared" si="119"/>
        <v>-938</v>
      </c>
      <c r="K1154" s="7">
        <f t="shared" si="120"/>
        <v>200</v>
      </c>
      <c r="L1154" s="7">
        <f t="shared" si="121"/>
        <v>1138</v>
      </c>
      <c r="M1154" s="7" t="str">
        <f t="shared" si="122"/>
        <v>Unlimited</v>
      </c>
      <c r="N1154" s="7" t="str">
        <f t="shared" si="123"/>
        <v>n.a.</v>
      </c>
      <c r="O1154" s="7">
        <f t="shared" si="124"/>
        <v>7338</v>
      </c>
      <c r="P1154" s="15" t="str">
        <f t="shared" si="125"/>
        <v>n.a.</v>
      </c>
      <c r="Q1154" s="7">
        <f>J1154*'Model inputs'!$B$8</f>
        <v>-93800</v>
      </c>
      <c r="R1154" s="1" t="s">
        <v>164</v>
      </c>
      <c r="S1154" s="1">
        <v>165</v>
      </c>
      <c r="T1154" s="1">
        <v>184</v>
      </c>
    </row>
    <row r="1155" spans="1:20" ht="21" customHeight="1">
      <c r="A1155" s="8">
        <v>46265</v>
      </c>
      <c r="B1155" s="1" t="s">
        <v>36</v>
      </c>
      <c r="C1155" s="1" t="s">
        <v>90</v>
      </c>
      <c r="D1155" s="7">
        <v>8300</v>
      </c>
      <c r="E1155" s="7">
        <v>8000</v>
      </c>
      <c r="F1155" s="7"/>
      <c r="G1155" s="7">
        <f>'Option source'!B873</f>
        <v>1260</v>
      </c>
      <c r="H1155" s="7">
        <f>'Option source'!B854</f>
        <v>950</v>
      </c>
      <c r="I1155" s="7"/>
      <c r="J1155" s="7">
        <f t="shared" si="119"/>
        <v>-640</v>
      </c>
      <c r="K1155" s="7">
        <f t="shared" si="120"/>
        <v>300</v>
      </c>
      <c r="L1155" s="7">
        <f t="shared" si="121"/>
        <v>940</v>
      </c>
      <c r="M1155" s="7">
        <f t="shared" si="122"/>
        <v>7060</v>
      </c>
      <c r="N1155" s="7">
        <f t="shared" si="123"/>
        <v>7060</v>
      </c>
      <c r="O1155" s="7" t="str">
        <f t="shared" si="124"/>
        <v>n.a.</v>
      </c>
      <c r="P1155" s="15" t="str">
        <f t="shared" si="125"/>
        <v>n.a.</v>
      </c>
      <c r="Q1155" s="7">
        <f>J1155*'Model inputs'!$B$8</f>
        <v>-64000</v>
      </c>
      <c r="R1155" s="1" t="s">
        <v>164</v>
      </c>
      <c r="S1155" s="1">
        <v>868</v>
      </c>
      <c r="T1155" s="1">
        <v>849</v>
      </c>
    </row>
    <row r="1156" spans="1:20" ht="21" customHeight="1">
      <c r="A1156" s="8">
        <v>46265</v>
      </c>
      <c r="B1156" s="1" t="s">
        <v>36</v>
      </c>
      <c r="C1156" s="1" t="s">
        <v>87</v>
      </c>
      <c r="D1156" s="7">
        <v>5600</v>
      </c>
      <c r="E1156" s="7">
        <v>6000</v>
      </c>
      <c r="F1156" s="7"/>
      <c r="G1156" s="7">
        <f>'Option source'!B141</f>
        <v>1311.48</v>
      </c>
      <c r="H1156" s="7">
        <f>'Option source'!B170</f>
        <v>1200</v>
      </c>
      <c r="I1156" s="7"/>
      <c r="J1156" s="7">
        <f t="shared" si="119"/>
        <v>-1088.52</v>
      </c>
      <c r="K1156" s="7">
        <f t="shared" si="120"/>
        <v>400</v>
      </c>
      <c r="L1156" s="7">
        <f t="shared" si="121"/>
        <v>1488.52</v>
      </c>
      <c r="M1156" s="7" t="str">
        <f t="shared" si="122"/>
        <v>Unlimited</v>
      </c>
      <c r="N1156" s="7" t="str">
        <f t="shared" si="123"/>
        <v>n.a.</v>
      </c>
      <c r="O1156" s="7">
        <f t="shared" si="124"/>
        <v>7488.52</v>
      </c>
      <c r="P1156" s="15" t="str">
        <f t="shared" si="125"/>
        <v>n.a.</v>
      </c>
      <c r="Q1156" s="7">
        <f>J1156*'Model inputs'!$B$8</f>
        <v>-108852</v>
      </c>
      <c r="R1156" s="1" t="s">
        <v>164</v>
      </c>
      <c r="S1156" s="1">
        <v>136</v>
      </c>
      <c r="T1156" s="1">
        <v>165</v>
      </c>
    </row>
    <row r="1157" spans="1:20" ht="21" customHeight="1">
      <c r="A1157" s="8">
        <v>46265</v>
      </c>
      <c r="B1157" s="1" t="s">
        <v>36</v>
      </c>
      <c r="C1157" s="1" t="s">
        <v>90</v>
      </c>
      <c r="D1157" s="7">
        <v>8600</v>
      </c>
      <c r="E1157" s="7">
        <v>8300</v>
      </c>
      <c r="F1157" s="7"/>
      <c r="G1157" s="7">
        <f>'Option source'!B892</f>
        <v>1650</v>
      </c>
      <c r="H1157" s="7">
        <f>'Option source'!B873</f>
        <v>1260</v>
      </c>
      <c r="I1157" s="7"/>
      <c r="J1157" s="7">
        <f t="shared" si="119"/>
        <v>-870</v>
      </c>
      <c r="K1157" s="7">
        <f t="shared" si="120"/>
        <v>300</v>
      </c>
      <c r="L1157" s="7">
        <f t="shared" si="121"/>
        <v>1170</v>
      </c>
      <c r="M1157" s="7">
        <f t="shared" si="122"/>
        <v>7130</v>
      </c>
      <c r="N1157" s="7">
        <f t="shared" si="123"/>
        <v>7130</v>
      </c>
      <c r="O1157" s="7" t="str">
        <f t="shared" si="124"/>
        <v>n.a.</v>
      </c>
      <c r="P1157" s="15" t="str">
        <f t="shared" si="125"/>
        <v>n.a.</v>
      </c>
      <c r="Q1157" s="7">
        <f>J1157*'Model inputs'!$B$8</f>
        <v>-87000</v>
      </c>
      <c r="R1157" s="1" t="s">
        <v>164</v>
      </c>
      <c r="S1157" s="1">
        <v>887</v>
      </c>
      <c r="T1157" s="1">
        <v>868</v>
      </c>
    </row>
    <row r="1158" spans="1:20" ht="21" customHeight="1">
      <c r="A1158" s="8">
        <v>46265</v>
      </c>
      <c r="B1158" s="1" t="s">
        <v>36</v>
      </c>
      <c r="C1158" s="1" t="s">
        <v>87</v>
      </c>
      <c r="D1158" s="7">
        <v>5400</v>
      </c>
      <c r="E1158" s="7">
        <v>5600</v>
      </c>
      <c r="F1158" s="7"/>
      <c r="G1158" s="7">
        <f>'Option source'!B123</f>
        <v>1812</v>
      </c>
      <c r="H1158" s="7">
        <f>'Option source'!B141</f>
        <v>1311.48</v>
      </c>
      <c r="I1158" s="7"/>
      <c r="J1158" s="7">
        <f t="shared" si="119"/>
        <v>-810.96</v>
      </c>
      <c r="K1158" s="7">
        <f t="shared" si="120"/>
        <v>200</v>
      </c>
      <c r="L1158" s="7">
        <f t="shared" si="121"/>
        <v>1010.96</v>
      </c>
      <c r="M1158" s="7" t="str">
        <f t="shared" si="122"/>
        <v>Unlimited</v>
      </c>
      <c r="N1158" s="7" t="str">
        <f t="shared" si="123"/>
        <v>n.a.</v>
      </c>
      <c r="O1158" s="7">
        <f t="shared" si="124"/>
        <v>6610.96</v>
      </c>
      <c r="P1158" s="15" t="str">
        <f t="shared" si="125"/>
        <v>n.a.</v>
      </c>
      <c r="Q1158" s="7">
        <f>J1158*'Model inputs'!$B$8</f>
        <v>-81096</v>
      </c>
      <c r="R1158" s="1" t="s">
        <v>164</v>
      </c>
      <c r="S1158" s="1">
        <v>118</v>
      </c>
      <c r="T1158" s="1">
        <v>136</v>
      </c>
    </row>
    <row r="1159" spans="1:20" ht="21" customHeight="1">
      <c r="A1159" s="8">
        <v>46265</v>
      </c>
      <c r="B1159" s="1" t="s">
        <v>36</v>
      </c>
      <c r="C1159" s="1" t="s">
        <v>90</v>
      </c>
      <c r="D1159" s="7">
        <v>8900</v>
      </c>
      <c r="E1159" s="7">
        <v>8600</v>
      </c>
      <c r="F1159" s="7"/>
      <c r="G1159" s="7">
        <f>'Option source'!B907</f>
        <v>2022.5</v>
      </c>
      <c r="H1159" s="7">
        <f>'Option source'!B892</f>
        <v>1650</v>
      </c>
      <c r="I1159" s="7"/>
      <c r="J1159" s="7">
        <f t="shared" ref="J1159:J1222" si="126">G1159-2*H1159+IF(B1159="Butterfly",I1159,0)</f>
        <v>-1277.5</v>
      </c>
      <c r="K1159" s="7">
        <f t="shared" ref="K1159:K1222" si="127">ABS(E1159-D1159)</f>
        <v>300</v>
      </c>
      <c r="L1159" s="7">
        <f t="shared" ref="L1159:L1222" si="128">K1159-J1159</f>
        <v>1577.5</v>
      </c>
      <c r="M1159" s="7">
        <f t="shared" ref="M1159:M1222" si="129">IF(B1159="Butterfly",MAX(J1159,0),IF(C1159="call","Unlimited",MAX(2*E1159-D1159+J1159,J1159,0)))</f>
        <v>7022.5</v>
      </c>
      <c r="N1159" s="7">
        <f t="shared" ref="N1159:N1222" si="130">IF(B1159="Butterfly",IF(AND(J1159&gt;0,J1159&lt;K1159),D1159+J1159,"n.a."),IF(C1159="call",IF(AND(J1159&gt;0,J1159&lt;K1159),D1159+J1159,"n.a."),IF(AND(K1159&gt;J1159,2*E1159-D1159+J1159&gt;=0),2*E1159-D1159+J1159,"n.a.")))</f>
        <v>7022.5</v>
      </c>
      <c r="O1159" s="7" t="str">
        <f t="shared" ref="O1159:O1222" si="131">IF(B1159="Butterfly",IF(AND(J1159&gt;0,J1159&lt;K1159),F1159-J1159,"n.a."),IF(C1159="call",IF(K1159&gt;J1159,2*E1159-D1159-J1159,"n.a."),IF(AND(J1159&gt;0,J1159&lt;K1159),D1159-J1159,"n.a.")))</f>
        <v>n.a.</v>
      </c>
      <c r="P1159" s="15" t="str">
        <f t="shared" ref="P1159:P1222" si="132">IF(AND(B1159="Butterfly",J1159&gt;0,J1159&lt;K1159),L1159/J1159,"n.a.")</f>
        <v>n.a.</v>
      </c>
      <c r="Q1159" s="7">
        <f>J1159*'Model inputs'!$B$8</f>
        <v>-127750</v>
      </c>
      <c r="R1159" s="1" t="s">
        <v>164</v>
      </c>
      <c r="S1159" s="1">
        <v>902</v>
      </c>
      <c r="T1159" s="1">
        <v>887</v>
      </c>
    </row>
    <row r="1160" spans="1:20" ht="21" customHeight="1">
      <c r="A1160" s="8">
        <v>46265</v>
      </c>
      <c r="B1160" s="1" t="s">
        <v>36</v>
      </c>
      <c r="C1160" s="1" t="s">
        <v>87</v>
      </c>
      <c r="D1160" s="7">
        <v>5200</v>
      </c>
      <c r="E1160" s="7">
        <v>5400</v>
      </c>
      <c r="F1160" s="7"/>
      <c r="G1160" s="7">
        <f>'Option source'!B104</f>
        <v>1677.12</v>
      </c>
      <c r="H1160" s="7">
        <f>'Option source'!B123</f>
        <v>1812</v>
      </c>
      <c r="I1160" s="7"/>
      <c r="J1160" s="7">
        <f t="shared" si="126"/>
        <v>-1946.88</v>
      </c>
      <c r="K1160" s="7">
        <f t="shared" si="127"/>
        <v>200</v>
      </c>
      <c r="L1160" s="7">
        <f t="shared" si="128"/>
        <v>2146.88</v>
      </c>
      <c r="M1160" s="7" t="str">
        <f t="shared" si="129"/>
        <v>Unlimited</v>
      </c>
      <c r="N1160" s="7" t="str">
        <f t="shared" si="130"/>
        <v>n.a.</v>
      </c>
      <c r="O1160" s="7">
        <f t="shared" si="131"/>
        <v>7546.88</v>
      </c>
      <c r="P1160" s="15" t="str">
        <f t="shared" si="132"/>
        <v>n.a.</v>
      </c>
      <c r="Q1160" s="7">
        <f>J1160*'Model inputs'!$B$8</f>
        <v>-194688</v>
      </c>
      <c r="R1160" s="1" t="s">
        <v>164</v>
      </c>
      <c r="S1160" s="1">
        <v>99</v>
      </c>
      <c r="T1160" s="1">
        <v>118</v>
      </c>
    </row>
    <row r="1161" spans="1:20" ht="21" customHeight="1">
      <c r="A1161" s="8">
        <v>46265</v>
      </c>
      <c r="B1161" s="1" t="s">
        <v>36</v>
      </c>
      <c r="C1161" s="1" t="s">
        <v>87</v>
      </c>
      <c r="D1161" s="7">
        <v>5000</v>
      </c>
      <c r="E1161" s="7">
        <v>5200</v>
      </c>
      <c r="F1161" s="7"/>
      <c r="G1161" s="7">
        <f>'Option source'!B85</f>
        <v>1997.87</v>
      </c>
      <c r="H1161" s="7">
        <f>'Option source'!B104</f>
        <v>1677.12</v>
      </c>
      <c r="I1161" s="7"/>
      <c r="J1161" s="7">
        <f t="shared" si="126"/>
        <v>-1356.37</v>
      </c>
      <c r="K1161" s="7">
        <f t="shared" si="127"/>
        <v>200</v>
      </c>
      <c r="L1161" s="7">
        <f t="shared" si="128"/>
        <v>1556.37</v>
      </c>
      <c r="M1161" s="7" t="str">
        <f t="shared" si="129"/>
        <v>Unlimited</v>
      </c>
      <c r="N1161" s="7" t="str">
        <f t="shared" si="130"/>
        <v>n.a.</v>
      </c>
      <c r="O1161" s="7">
        <f t="shared" si="131"/>
        <v>6756.37</v>
      </c>
      <c r="P1161" s="15" t="str">
        <f t="shared" si="132"/>
        <v>n.a.</v>
      </c>
      <c r="Q1161" s="7">
        <f>J1161*'Model inputs'!$B$8</f>
        <v>-135637</v>
      </c>
      <c r="R1161" s="1" t="s">
        <v>164</v>
      </c>
      <c r="S1161" s="1">
        <v>80</v>
      </c>
      <c r="T1161" s="1">
        <v>99</v>
      </c>
    </row>
    <row r="1162" spans="1:20" ht="21" customHeight="1">
      <c r="A1162" s="8">
        <v>46265</v>
      </c>
      <c r="B1162" s="1" t="s">
        <v>36</v>
      </c>
      <c r="C1162" s="1" t="s">
        <v>87</v>
      </c>
      <c r="D1162" s="7">
        <v>4800</v>
      </c>
      <c r="E1162" s="7">
        <v>5000</v>
      </c>
      <c r="F1162" s="7"/>
      <c r="G1162" s="7">
        <f>'Option source'!B68</f>
        <v>2050</v>
      </c>
      <c r="H1162" s="7">
        <f>'Option source'!B85</f>
        <v>1997.87</v>
      </c>
      <c r="I1162" s="7"/>
      <c r="J1162" s="7">
        <f t="shared" si="126"/>
        <v>-1945.7399999999998</v>
      </c>
      <c r="K1162" s="7">
        <f t="shared" si="127"/>
        <v>200</v>
      </c>
      <c r="L1162" s="7">
        <f t="shared" si="128"/>
        <v>2145.7399999999998</v>
      </c>
      <c r="M1162" s="7" t="str">
        <f t="shared" si="129"/>
        <v>Unlimited</v>
      </c>
      <c r="N1162" s="7" t="str">
        <f t="shared" si="130"/>
        <v>n.a.</v>
      </c>
      <c r="O1162" s="7">
        <f t="shared" si="131"/>
        <v>7145.74</v>
      </c>
      <c r="P1162" s="15" t="str">
        <f t="shared" si="132"/>
        <v>n.a.</v>
      </c>
      <c r="Q1162" s="7">
        <f>J1162*'Model inputs'!$B$8</f>
        <v>-194573.99999999997</v>
      </c>
      <c r="R1162" s="1" t="s">
        <v>164</v>
      </c>
      <c r="S1162" s="1">
        <v>63</v>
      </c>
      <c r="T1162" s="1">
        <v>80</v>
      </c>
    </row>
    <row r="1163" spans="1:20" ht="21" customHeight="1">
      <c r="A1163" s="8">
        <v>46265</v>
      </c>
      <c r="B1163" s="1" t="s">
        <v>36</v>
      </c>
      <c r="C1163" s="1" t="s">
        <v>87</v>
      </c>
      <c r="D1163" s="7">
        <v>4600</v>
      </c>
      <c r="E1163" s="7">
        <v>4800</v>
      </c>
      <c r="F1163" s="7"/>
      <c r="G1163" s="7">
        <f>'Option source'!B51</f>
        <v>2384.7199999999998</v>
      </c>
      <c r="H1163" s="7">
        <f>'Option source'!B68</f>
        <v>2050</v>
      </c>
      <c r="I1163" s="7"/>
      <c r="J1163" s="7">
        <f t="shared" si="126"/>
        <v>-1715.2800000000002</v>
      </c>
      <c r="K1163" s="7">
        <f t="shared" si="127"/>
        <v>200</v>
      </c>
      <c r="L1163" s="7">
        <f t="shared" si="128"/>
        <v>1915.2800000000002</v>
      </c>
      <c r="M1163" s="7" t="str">
        <f t="shared" si="129"/>
        <v>Unlimited</v>
      </c>
      <c r="N1163" s="7" t="str">
        <f t="shared" si="130"/>
        <v>n.a.</v>
      </c>
      <c r="O1163" s="7">
        <f t="shared" si="131"/>
        <v>6715.2800000000007</v>
      </c>
      <c r="P1163" s="15" t="str">
        <f t="shared" si="132"/>
        <v>n.a.</v>
      </c>
      <c r="Q1163" s="7">
        <f>J1163*'Model inputs'!$B$8</f>
        <v>-171528.00000000003</v>
      </c>
      <c r="R1163" s="1" t="s">
        <v>164</v>
      </c>
      <c r="S1163" s="1">
        <v>46</v>
      </c>
      <c r="T1163" s="1">
        <v>63</v>
      </c>
    </row>
    <row r="1164" spans="1:20" ht="21" customHeight="1">
      <c r="A1164" s="8">
        <v>46265</v>
      </c>
      <c r="B1164" s="1" t="s">
        <v>36</v>
      </c>
      <c r="C1164" s="1" t="s">
        <v>87</v>
      </c>
      <c r="D1164" s="7">
        <v>4400</v>
      </c>
      <c r="E1164" s="7">
        <v>4600</v>
      </c>
      <c r="F1164" s="7"/>
      <c r="G1164" s="7">
        <f>'Option source'!B32</f>
        <v>2429.9699999999998</v>
      </c>
      <c r="H1164" s="7">
        <f>'Option source'!B51</f>
        <v>2384.7199999999998</v>
      </c>
      <c r="I1164" s="7"/>
      <c r="J1164" s="7">
        <f t="shared" si="126"/>
        <v>-2339.4699999999998</v>
      </c>
      <c r="K1164" s="7">
        <f t="shared" si="127"/>
        <v>200</v>
      </c>
      <c r="L1164" s="7">
        <f t="shared" si="128"/>
        <v>2539.4699999999998</v>
      </c>
      <c r="M1164" s="7" t="str">
        <f t="shared" si="129"/>
        <v>Unlimited</v>
      </c>
      <c r="N1164" s="7" t="str">
        <f t="shared" si="130"/>
        <v>n.a.</v>
      </c>
      <c r="O1164" s="7">
        <f t="shared" si="131"/>
        <v>7139.4699999999993</v>
      </c>
      <c r="P1164" s="15" t="str">
        <f t="shared" si="132"/>
        <v>n.a.</v>
      </c>
      <c r="Q1164" s="7">
        <f>J1164*'Model inputs'!$B$8</f>
        <v>-233946.99999999997</v>
      </c>
      <c r="R1164" s="1" t="s">
        <v>164</v>
      </c>
      <c r="S1164" s="1">
        <v>27</v>
      </c>
      <c r="T1164" s="1">
        <v>46</v>
      </c>
    </row>
    <row r="1165" spans="1:20" ht="21" customHeight="1">
      <c r="A1165" s="8">
        <v>46265</v>
      </c>
      <c r="B1165" s="1" t="s">
        <v>36</v>
      </c>
      <c r="C1165" s="1" t="s">
        <v>87</v>
      </c>
      <c r="D1165" s="7">
        <v>4200</v>
      </c>
      <c r="E1165" s="7">
        <v>4400</v>
      </c>
      <c r="F1165" s="7"/>
      <c r="G1165" s="7">
        <f>'Option source'!B13</f>
        <v>2933.39</v>
      </c>
      <c r="H1165" s="7">
        <f>'Option source'!B32</f>
        <v>2429.9699999999998</v>
      </c>
      <c r="I1165" s="7"/>
      <c r="J1165" s="7">
        <f t="shared" si="126"/>
        <v>-1926.5499999999997</v>
      </c>
      <c r="K1165" s="7">
        <f t="shared" si="127"/>
        <v>200</v>
      </c>
      <c r="L1165" s="7">
        <f t="shared" si="128"/>
        <v>2126.5499999999997</v>
      </c>
      <c r="M1165" s="7" t="str">
        <f t="shared" si="129"/>
        <v>Unlimited</v>
      </c>
      <c r="N1165" s="7" t="str">
        <f t="shared" si="130"/>
        <v>n.a.</v>
      </c>
      <c r="O1165" s="7">
        <f t="shared" si="131"/>
        <v>6526.5499999999993</v>
      </c>
      <c r="P1165" s="15" t="str">
        <f t="shared" si="132"/>
        <v>n.a.</v>
      </c>
      <c r="Q1165" s="7">
        <f>J1165*'Model inputs'!$B$8</f>
        <v>-192654.99999999997</v>
      </c>
      <c r="R1165" s="1" t="s">
        <v>164</v>
      </c>
      <c r="S1165" s="1">
        <v>8</v>
      </c>
      <c r="T1165" s="1">
        <v>27</v>
      </c>
    </row>
    <row r="1166" spans="1:20" ht="21" customHeight="1">
      <c r="A1166" s="8">
        <v>46262</v>
      </c>
      <c r="B1166" s="1" t="s">
        <v>34</v>
      </c>
      <c r="C1166" s="1" t="s">
        <v>87</v>
      </c>
      <c r="D1166" s="7">
        <v>6600</v>
      </c>
      <c r="E1166" s="7">
        <v>6800</v>
      </c>
      <c r="F1166" s="7">
        <v>7000</v>
      </c>
      <c r="G1166" s="7">
        <f>'Option source'!B226</f>
        <v>651.80999999999995</v>
      </c>
      <c r="H1166" s="7">
        <f>'Option source'!B245</f>
        <v>532.71</v>
      </c>
      <c r="I1166" s="7">
        <f>'Option source'!B264</f>
        <v>438.78</v>
      </c>
      <c r="J1166" s="7">
        <f t="shared" si="126"/>
        <v>25.169999999999845</v>
      </c>
      <c r="K1166" s="7">
        <f t="shared" si="127"/>
        <v>200</v>
      </c>
      <c r="L1166" s="7">
        <f t="shared" si="128"/>
        <v>174.83000000000015</v>
      </c>
      <c r="M1166" s="7">
        <f t="shared" si="129"/>
        <v>25.169999999999845</v>
      </c>
      <c r="N1166" s="7">
        <f t="shared" si="130"/>
        <v>6625.17</v>
      </c>
      <c r="O1166" s="7">
        <f t="shared" si="131"/>
        <v>6974.83</v>
      </c>
      <c r="P1166" s="15">
        <f t="shared" si="132"/>
        <v>6.9459674215336209</v>
      </c>
      <c r="Q1166" s="7">
        <f>J1166*'Model inputs'!$B$8</f>
        <v>2516.9999999999845</v>
      </c>
      <c r="R1166" s="1" t="s">
        <v>162</v>
      </c>
      <c r="S1166" s="1">
        <v>221</v>
      </c>
      <c r="T1166" s="1">
        <v>240</v>
      </c>
    </row>
    <row r="1167" spans="1:20" ht="21" customHeight="1">
      <c r="A1167" s="8">
        <v>46262</v>
      </c>
      <c r="B1167" s="1" t="s">
        <v>34</v>
      </c>
      <c r="C1167" s="1" t="s">
        <v>90</v>
      </c>
      <c r="D1167" s="7">
        <v>6600</v>
      </c>
      <c r="E1167" s="7">
        <v>6800</v>
      </c>
      <c r="F1167" s="7">
        <v>7000</v>
      </c>
      <c r="G1167" s="7">
        <f>'Option source'!B720</f>
        <v>249.3</v>
      </c>
      <c r="H1167" s="7">
        <f>'Option source'!B739</f>
        <v>332.14</v>
      </c>
      <c r="I1167" s="7">
        <f>'Option source'!B758</f>
        <v>436.88</v>
      </c>
      <c r="J1167" s="7">
        <f t="shared" si="126"/>
        <v>21.900000000000034</v>
      </c>
      <c r="K1167" s="7">
        <f t="shared" si="127"/>
        <v>200</v>
      </c>
      <c r="L1167" s="7">
        <f t="shared" si="128"/>
        <v>178.09999999999997</v>
      </c>
      <c r="M1167" s="7">
        <f t="shared" si="129"/>
        <v>21.900000000000034</v>
      </c>
      <c r="N1167" s="7">
        <f t="shared" si="130"/>
        <v>6621.9</v>
      </c>
      <c r="O1167" s="7">
        <f t="shared" si="131"/>
        <v>6978.1</v>
      </c>
      <c r="P1167" s="15">
        <f t="shared" si="132"/>
        <v>8.1324200913241871</v>
      </c>
      <c r="Q1167" s="7">
        <f>J1167*'Model inputs'!$B$8</f>
        <v>2190.0000000000036</v>
      </c>
      <c r="R1167" s="1" t="s">
        <v>162</v>
      </c>
      <c r="S1167" s="1">
        <v>715</v>
      </c>
      <c r="T1167" s="1">
        <v>734</v>
      </c>
    </row>
    <row r="1168" spans="1:20" ht="21" customHeight="1">
      <c r="A1168" s="8">
        <v>46262</v>
      </c>
      <c r="B1168" s="1" t="s">
        <v>34</v>
      </c>
      <c r="C1168" s="1" t="s">
        <v>87</v>
      </c>
      <c r="D1168" s="7">
        <v>6800</v>
      </c>
      <c r="E1168" s="7">
        <v>7000</v>
      </c>
      <c r="F1168" s="7">
        <v>7200</v>
      </c>
      <c r="G1168" s="7">
        <f>'Option source'!B245</f>
        <v>532.71</v>
      </c>
      <c r="H1168" s="7">
        <f>'Option source'!B264</f>
        <v>438.78</v>
      </c>
      <c r="I1168" s="7">
        <f>'Option source'!B283</f>
        <v>358.14</v>
      </c>
      <c r="J1168" s="7">
        <f t="shared" si="126"/>
        <v>13.290000000000077</v>
      </c>
      <c r="K1168" s="7">
        <f t="shared" si="127"/>
        <v>200</v>
      </c>
      <c r="L1168" s="7">
        <f t="shared" si="128"/>
        <v>186.70999999999992</v>
      </c>
      <c r="M1168" s="7">
        <f t="shared" si="129"/>
        <v>13.290000000000077</v>
      </c>
      <c r="N1168" s="7">
        <f t="shared" si="130"/>
        <v>6813.29</v>
      </c>
      <c r="O1168" s="7">
        <f t="shared" si="131"/>
        <v>7186.71</v>
      </c>
      <c r="P1168" s="15">
        <f t="shared" si="132"/>
        <v>14.048908954100741</v>
      </c>
      <c r="Q1168" s="7">
        <f>J1168*'Model inputs'!$B$8</f>
        <v>1329.0000000000077</v>
      </c>
      <c r="R1168" s="1" t="s">
        <v>162</v>
      </c>
      <c r="S1168" s="1">
        <v>240</v>
      </c>
      <c r="T1168" s="1">
        <v>259</v>
      </c>
    </row>
    <row r="1169" spans="1:20" ht="21" customHeight="1">
      <c r="A1169" s="8">
        <v>46262</v>
      </c>
      <c r="B1169" s="1" t="s">
        <v>34</v>
      </c>
      <c r="C1169" s="1" t="s">
        <v>90</v>
      </c>
      <c r="D1169" s="7">
        <v>6800</v>
      </c>
      <c r="E1169" s="7">
        <v>7000</v>
      </c>
      <c r="F1169" s="7">
        <v>7200</v>
      </c>
      <c r="G1169" s="7">
        <f>'Option source'!B739</f>
        <v>332.14</v>
      </c>
      <c r="H1169" s="7">
        <f>'Option source'!B758</f>
        <v>436.88</v>
      </c>
      <c r="I1169" s="7">
        <f>'Option source'!B777</f>
        <v>544.22</v>
      </c>
      <c r="J1169" s="7">
        <f t="shared" si="126"/>
        <v>2.6000000000000227</v>
      </c>
      <c r="K1169" s="7">
        <f t="shared" si="127"/>
        <v>200</v>
      </c>
      <c r="L1169" s="7">
        <f t="shared" si="128"/>
        <v>197.39999999999998</v>
      </c>
      <c r="M1169" s="7">
        <f t="shared" si="129"/>
        <v>2.6000000000000227</v>
      </c>
      <c r="N1169" s="7">
        <f t="shared" si="130"/>
        <v>6802.6</v>
      </c>
      <c r="O1169" s="7">
        <f t="shared" si="131"/>
        <v>7197.4</v>
      </c>
      <c r="P1169" s="15">
        <f t="shared" si="132"/>
        <v>75.923076923076252</v>
      </c>
      <c r="Q1169" s="7">
        <f>J1169*'Model inputs'!$B$8</f>
        <v>260.00000000000227</v>
      </c>
      <c r="R1169" s="1" t="s">
        <v>162</v>
      </c>
      <c r="S1169" s="1">
        <v>734</v>
      </c>
      <c r="T1169" s="1">
        <v>753</v>
      </c>
    </row>
    <row r="1170" spans="1:20" ht="21" customHeight="1">
      <c r="A1170" s="8">
        <v>46262</v>
      </c>
      <c r="B1170" s="1" t="s">
        <v>34</v>
      </c>
      <c r="C1170" s="1" t="s">
        <v>87</v>
      </c>
      <c r="D1170" s="7">
        <v>6400</v>
      </c>
      <c r="E1170" s="7">
        <v>6600</v>
      </c>
      <c r="F1170" s="7">
        <v>6800</v>
      </c>
      <c r="G1170" s="7">
        <f>'Option source'!B207</f>
        <v>775</v>
      </c>
      <c r="H1170" s="7">
        <f>'Option source'!B226</f>
        <v>651.80999999999995</v>
      </c>
      <c r="I1170" s="7">
        <f>'Option source'!B245</f>
        <v>532.71</v>
      </c>
      <c r="J1170" s="7">
        <f t="shared" si="126"/>
        <v>4.0900000000001455</v>
      </c>
      <c r="K1170" s="7">
        <f t="shared" si="127"/>
        <v>200</v>
      </c>
      <c r="L1170" s="7">
        <f t="shared" si="128"/>
        <v>195.90999999999985</v>
      </c>
      <c r="M1170" s="7">
        <f t="shared" si="129"/>
        <v>4.0900000000001455</v>
      </c>
      <c r="N1170" s="7">
        <f t="shared" si="130"/>
        <v>6404.09</v>
      </c>
      <c r="O1170" s="7">
        <f t="shared" si="131"/>
        <v>6795.91</v>
      </c>
      <c r="P1170" s="15">
        <f t="shared" si="132"/>
        <v>47.899755501220753</v>
      </c>
      <c r="Q1170" s="7">
        <f>J1170*'Model inputs'!$B$8</f>
        <v>409.00000000001455</v>
      </c>
      <c r="R1170" s="1" t="s">
        <v>162</v>
      </c>
      <c r="S1170" s="1">
        <v>202</v>
      </c>
      <c r="T1170" s="1">
        <v>221</v>
      </c>
    </row>
    <row r="1171" spans="1:20" ht="21" customHeight="1">
      <c r="A1171" s="8">
        <v>46262</v>
      </c>
      <c r="B1171" s="1" t="s">
        <v>34</v>
      </c>
      <c r="C1171" s="1" t="s">
        <v>90</v>
      </c>
      <c r="D1171" s="7">
        <v>6400</v>
      </c>
      <c r="E1171" s="7">
        <v>6600</v>
      </c>
      <c r="F1171" s="7">
        <v>6800</v>
      </c>
      <c r="G1171" s="7">
        <f>'Option source'!B701</f>
        <v>179.89</v>
      </c>
      <c r="H1171" s="7">
        <f>'Option source'!B720</f>
        <v>249.3</v>
      </c>
      <c r="I1171" s="7">
        <f>'Option source'!B739</f>
        <v>332.14</v>
      </c>
      <c r="J1171" s="7">
        <f t="shared" si="126"/>
        <v>13.42999999999995</v>
      </c>
      <c r="K1171" s="7">
        <f t="shared" si="127"/>
        <v>200</v>
      </c>
      <c r="L1171" s="7">
        <f t="shared" si="128"/>
        <v>186.57000000000005</v>
      </c>
      <c r="M1171" s="7">
        <f t="shared" si="129"/>
        <v>13.42999999999995</v>
      </c>
      <c r="N1171" s="7">
        <f t="shared" si="130"/>
        <v>6413.43</v>
      </c>
      <c r="O1171" s="7">
        <f t="shared" si="131"/>
        <v>6786.57</v>
      </c>
      <c r="P1171" s="15">
        <f t="shared" si="132"/>
        <v>13.892032762472132</v>
      </c>
      <c r="Q1171" s="7">
        <f>J1171*'Model inputs'!$B$8</f>
        <v>1342.999999999995</v>
      </c>
      <c r="R1171" s="1" t="s">
        <v>162</v>
      </c>
      <c r="S1171" s="1">
        <v>696</v>
      </c>
      <c r="T1171" s="1">
        <v>715</v>
      </c>
    </row>
    <row r="1172" spans="1:20" ht="21" customHeight="1">
      <c r="A1172" s="8">
        <v>46262</v>
      </c>
      <c r="B1172" s="1" t="s">
        <v>34</v>
      </c>
      <c r="C1172" s="1" t="s">
        <v>87</v>
      </c>
      <c r="D1172" s="7">
        <v>7000</v>
      </c>
      <c r="E1172" s="7">
        <v>7200</v>
      </c>
      <c r="F1172" s="7">
        <v>7400</v>
      </c>
      <c r="G1172" s="7">
        <f>'Option source'!B264</f>
        <v>438.78</v>
      </c>
      <c r="H1172" s="7">
        <f>'Option source'!B283</f>
        <v>358.14</v>
      </c>
      <c r="I1172" s="7">
        <f>'Option source'!B302</f>
        <v>280.61</v>
      </c>
      <c r="J1172" s="7">
        <f t="shared" si="126"/>
        <v>3.1100000000000136</v>
      </c>
      <c r="K1172" s="7">
        <f t="shared" si="127"/>
        <v>200</v>
      </c>
      <c r="L1172" s="7">
        <f t="shared" si="128"/>
        <v>196.89</v>
      </c>
      <c r="M1172" s="7">
        <f t="shared" si="129"/>
        <v>3.1100000000000136</v>
      </c>
      <c r="N1172" s="7">
        <f t="shared" si="130"/>
        <v>7003.11</v>
      </c>
      <c r="O1172" s="7">
        <f t="shared" si="131"/>
        <v>7396.89</v>
      </c>
      <c r="P1172" s="15">
        <f t="shared" si="132"/>
        <v>63.308681672025443</v>
      </c>
      <c r="Q1172" s="7">
        <f>J1172*'Model inputs'!$B$8</f>
        <v>311.00000000000136</v>
      </c>
      <c r="R1172" s="1" t="s">
        <v>162</v>
      </c>
      <c r="S1172" s="1">
        <v>259</v>
      </c>
      <c r="T1172" s="1">
        <v>278</v>
      </c>
    </row>
    <row r="1173" spans="1:20" ht="21" customHeight="1">
      <c r="A1173" s="8">
        <v>46262</v>
      </c>
      <c r="B1173" s="1" t="s">
        <v>34</v>
      </c>
      <c r="C1173" s="1" t="s">
        <v>90</v>
      </c>
      <c r="D1173" s="7">
        <v>6200</v>
      </c>
      <c r="E1173" s="7">
        <v>6400</v>
      </c>
      <c r="F1173" s="7">
        <v>6600</v>
      </c>
      <c r="G1173" s="7">
        <f>'Option source'!B682</f>
        <v>125.54</v>
      </c>
      <c r="H1173" s="7">
        <f>'Option source'!B701</f>
        <v>179.89</v>
      </c>
      <c r="I1173" s="7">
        <f>'Option source'!B720</f>
        <v>249.3</v>
      </c>
      <c r="J1173" s="7">
        <f t="shared" si="126"/>
        <v>15.060000000000059</v>
      </c>
      <c r="K1173" s="7">
        <f t="shared" si="127"/>
        <v>200</v>
      </c>
      <c r="L1173" s="7">
        <f t="shared" si="128"/>
        <v>184.93999999999994</v>
      </c>
      <c r="M1173" s="7">
        <f t="shared" si="129"/>
        <v>15.060000000000059</v>
      </c>
      <c r="N1173" s="7">
        <f t="shared" si="130"/>
        <v>6215.06</v>
      </c>
      <c r="O1173" s="7">
        <f t="shared" si="131"/>
        <v>6584.94</v>
      </c>
      <c r="P1173" s="15">
        <f t="shared" si="132"/>
        <v>12.280212483399682</v>
      </c>
      <c r="Q1173" s="7">
        <f>J1173*'Model inputs'!$B$8</f>
        <v>1506.0000000000059</v>
      </c>
      <c r="R1173" s="1" t="s">
        <v>162</v>
      </c>
      <c r="S1173" s="1">
        <v>677</v>
      </c>
      <c r="T1173" s="1">
        <v>696</v>
      </c>
    </row>
    <row r="1174" spans="1:20" ht="21" customHeight="1">
      <c r="A1174" s="8">
        <v>46262</v>
      </c>
      <c r="B1174" s="1" t="s">
        <v>34</v>
      </c>
      <c r="C1174" s="1" t="s">
        <v>87</v>
      </c>
      <c r="D1174" s="7">
        <v>7200</v>
      </c>
      <c r="E1174" s="7">
        <v>7400</v>
      </c>
      <c r="F1174" s="7">
        <v>7600</v>
      </c>
      <c r="G1174" s="7">
        <f>'Option source'!B283</f>
        <v>358.14</v>
      </c>
      <c r="H1174" s="7">
        <f>'Option source'!B302</f>
        <v>280.61</v>
      </c>
      <c r="I1174" s="7">
        <f>'Option source'!B321</f>
        <v>220.2</v>
      </c>
      <c r="J1174" s="7">
        <f t="shared" si="126"/>
        <v>17.119999999999948</v>
      </c>
      <c r="K1174" s="7">
        <f t="shared" si="127"/>
        <v>200</v>
      </c>
      <c r="L1174" s="7">
        <f t="shared" si="128"/>
        <v>182.88000000000005</v>
      </c>
      <c r="M1174" s="7">
        <f t="shared" si="129"/>
        <v>17.119999999999948</v>
      </c>
      <c r="N1174" s="7">
        <f t="shared" si="130"/>
        <v>7217.12</v>
      </c>
      <c r="O1174" s="7">
        <f t="shared" si="131"/>
        <v>7582.88</v>
      </c>
      <c r="P1174" s="15">
        <f t="shared" si="132"/>
        <v>10.682242990654242</v>
      </c>
      <c r="Q1174" s="7">
        <f>J1174*'Model inputs'!$B$8</f>
        <v>1711.9999999999948</v>
      </c>
      <c r="R1174" s="1" t="s">
        <v>162</v>
      </c>
      <c r="S1174" s="1">
        <v>278</v>
      </c>
      <c r="T1174" s="1">
        <v>297</v>
      </c>
    </row>
    <row r="1175" spans="1:20" ht="21" customHeight="1">
      <c r="A1175" s="8">
        <v>46262</v>
      </c>
      <c r="B1175" s="1" t="s">
        <v>34</v>
      </c>
      <c r="C1175" s="1" t="s">
        <v>90</v>
      </c>
      <c r="D1175" s="7">
        <v>6000</v>
      </c>
      <c r="E1175" s="7">
        <v>6200</v>
      </c>
      <c r="F1175" s="7">
        <v>6400</v>
      </c>
      <c r="G1175" s="7">
        <f>'Option source'!B663</f>
        <v>83.64</v>
      </c>
      <c r="H1175" s="7">
        <f>'Option source'!B682</f>
        <v>125.54</v>
      </c>
      <c r="I1175" s="7">
        <f>'Option source'!B701</f>
        <v>179.89</v>
      </c>
      <c r="J1175" s="7">
        <f t="shared" si="126"/>
        <v>12.449999999999989</v>
      </c>
      <c r="K1175" s="7">
        <f t="shared" si="127"/>
        <v>200</v>
      </c>
      <c r="L1175" s="7">
        <f t="shared" si="128"/>
        <v>187.55</v>
      </c>
      <c r="M1175" s="7">
        <f t="shared" si="129"/>
        <v>12.449999999999989</v>
      </c>
      <c r="N1175" s="7">
        <f t="shared" si="130"/>
        <v>6012.45</v>
      </c>
      <c r="O1175" s="7">
        <f t="shared" si="131"/>
        <v>6387.55</v>
      </c>
      <c r="P1175" s="15">
        <f t="shared" si="132"/>
        <v>15.064257028112465</v>
      </c>
      <c r="Q1175" s="7">
        <f>J1175*'Model inputs'!$B$8</f>
        <v>1244.9999999999989</v>
      </c>
      <c r="R1175" s="1" t="s">
        <v>162</v>
      </c>
      <c r="S1175" s="1">
        <v>658</v>
      </c>
      <c r="T1175" s="1">
        <v>677</v>
      </c>
    </row>
    <row r="1176" spans="1:20" ht="21" customHeight="1">
      <c r="A1176" s="8">
        <v>46262</v>
      </c>
      <c r="B1176" s="1" t="s">
        <v>34</v>
      </c>
      <c r="C1176" s="1" t="s">
        <v>87</v>
      </c>
      <c r="D1176" s="7">
        <v>7400</v>
      </c>
      <c r="E1176" s="7">
        <v>7600</v>
      </c>
      <c r="F1176" s="7">
        <v>7800</v>
      </c>
      <c r="G1176" s="7">
        <f>'Option source'!B302</f>
        <v>280.61</v>
      </c>
      <c r="H1176" s="7">
        <f>'Option source'!B321</f>
        <v>220.2</v>
      </c>
      <c r="I1176" s="7">
        <f>'Option source'!B340</f>
        <v>169.15</v>
      </c>
      <c r="J1176" s="7">
        <f t="shared" si="126"/>
        <v>9.3600000000000421</v>
      </c>
      <c r="K1176" s="7">
        <f t="shared" si="127"/>
        <v>200</v>
      </c>
      <c r="L1176" s="7">
        <f t="shared" si="128"/>
        <v>190.63999999999996</v>
      </c>
      <c r="M1176" s="7">
        <f t="shared" si="129"/>
        <v>9.3600000000000421</v>
      </c>
      <c r="N1176" s="7">
        <f t="shared" si="130"/>
        <v>7409.36</v>
      </c>
      <c r="O1176" s="7">
        <f t="shared" si="131"/>
        <v>7790.64</v>
      </c>
      <c r="P1176" s="15">
        <f t="shared" si="132"/>
        <v>20.36752136752127</v>
      </c>
      <c r="Q1176" s="7">
        <f>J1176*'Model inputs'!$B$8</f>
        <v>936.00000000000421</v>
      </c>
      <c r="R1176" s="1" t="s">
        <v>162</v>
      </c>
      <c r="S1176" s="1">
        <v>297</v>
      </c>
      <c r="T1176" s="1">
        <v>316</v>
      </c>
    </row>
    <row r="1177" spans="1:20" ht="21" customHeight="1">
      <c r="A1177" s="8">
        <v>46262</v>
      </c>
      <c r="B1177" s="1" t="s">
        <v>34</v>
      </c>
      <c r="C1177" s="1" t="s">
        <v>90</v>
      </c>
      <c r="D1177" s="7">
        <v>5800</v>
      </c>
      <c r="E1177" s="7">
        <v>6000</v>
      </c>
      <c r="F1177" s="7">
        <v>6200</v>
      </c>
      <c r="G1177" s="7">
        <f>'Option source'!B644</f>
        <v>52.04</v>
      </c>
      <c r="H1177" s="7">
        <f>'Option source'!B663</f>
        <v>83.64</v>
      </c>
      <c r="I1177" s="7">
        <f>'Option source'!B682</f>
        <v>125.54</v>
      </c>
      <c r="J1177" s="7">
        <f t="shared" si="126"/>
        <v>10.299999999999997</v>
      </c>
      <c r="K1177" s="7">
        <f t="shared" si="127"/>
        <v>200</v>
      </c>
      <c r="L1177" s="7">
        <f t="shared" si="128"/>
        <v>189.7</v>
      </c>
      <c r="M1177" s="7">
        <f t="shared" si="129"/>
        <v>10.299999999999997</v>
      </c>
      <c r="N1177" s="7">
        <f t="shared" si="130"/>
        <v>5810.3</v>
      </c>
      <c r="O1177" s="7">
        <f t="shared" si="131"/>
        <v>6189.7</v>
      </c>
      <c r="P1177" s="15">
        <f t="shared" si="132"/>
        <v>18.417475728155345</v>
      </c>
      <c r="Q1177" s="7">
        <f>J1177*'Model inputs'!$B$8</f>
        <v>1029.9999999999998</v>
      </c>
      <c r="R1177" s="1" t="s">
        <v>162</v>
      </c>
      <c r="S1177" s="1">
        <v>639</v>
      </c>
      <c r="T1177" s="1">
        <v>658</v>
      </c>
    </row>
    <row r="1178" spans="1:20" ht="21" customHeight="1">
      <c r="A1178" s="8">
        <v>46262</v>
      </c>
      <c r="B1178" s="1" t="s">
        <v>34</v>
      </c>
      <c r="C1178" s="1" t="s">
        <v>87</v>
      </c>
      <c r="D1178" s="7">
        <v>7600</v>
      </c>
      <c r="E1178" s="7">
        <v>7800</v>
      </c>
      <c r="F1178" s="7">
        <v>8000</v>
      </c>
      <c r="G1178" s="7">
        <f>'Option source'!B321</f>
        <v>220.2</v>
      </c>
      <c r="H1178" s="7">
        <f>'Option source'!B340</f>
        <v>169.15</v>
      </c>
      <c r="I1178" s="7">
        <f>'Option source'!B359</f>
        <v>129.19</v>
      </c>
      <c r="J1178" s="7">
        <f t="shared" si="126"/>
        <v>11.089999999999975</v>
      </c>
      <c r="K1178" s="7">
        <f t="shared" si="127"/>
        <v>200</v>
      </c>
      <c r="L1178" s="7">
        <f t="shared" si="128"/>
        <v>188.91000000000003</v>
      </c>
      <c r="M1178" s="7">
        <f t="shared" si="129"/>
        <v>11.089999999999975</v>
      </c>
      <c r="N1178" s="7">
        <f t="shared" si="130"/>
        <v>7611.09</v>
      </c>
      <c r="O1178" s="7">
        <f t="shared" si="131"/>
        <v>7988.91</v>
      </c>
      <c r="P1178" s="15">
        <f t="shared" si="132"/>
        <v>17.034265103697066</v>
      </c>
      <c r="Q1178" s="7">
        <f>J1178*'Model inputs'!$B$8</f>
        <v>1108.9999999999975</v>
      </c>
      <c r="R1178" s="1" t="s">
        <v>162</v>
      </c>
      <c r="S1178" s="1">
        <v>316</v>
      </c>
      <c r="T1178" s="1">
        <v>335</v>
      </c>
    </row>
    <row r="1179" spans="1:20" ht="21" customHeight="1">
      <c r="A1179" s="8">
        <v>46262</v>
      </c>
      <c r="B1179" s="1" t="s">
        <v>34</v>
      </c>
      <c r="C1179" s="1" t="s">
        <v>90</v>
      </c>
      <c r="D1179" s="7">
        <v>5600</v>
      </c>
      <c r="E1179" s="7">
        <v>5800</v>
      </c>
      <c r="F1179" s="7">
        <v>6000</v>
      </c>
      <c r="G1179" s="7">
        <f>'Option source'!B625</f>
        <v>32.76</v>
      </c>
      <c r="H1179" s="7">
        <f>'Option source'!B644</f>
        <v>52.04</v>
      </c>
      <c r="I1179" s="7">
        <f>'Option source'!B663</f>
        <v>83.64</v>
      </c>
      <c r="J1179" s="7">
        <f t="shared" si="126"/>
        <v>12.320000000000007</v>
      </c>
      <c r="K1179" s="7">
        <f t="shared" si="127"/>
        <v>200</v>
      </c>
      <c r="L1179" s="7">
        <f t="shared" si="128"/>
        <v>187.68</v>
      </c>
      <c r="M1179" s="7">
        <f t="shared" si="129"/>
        <v>12.320000000000007</v>
      </c>
      <c r="N1179" s="7">
        <f t="shared" si="130"/>
        <v>5612.32</v>
      </c>
      <c r="O1179" s="7">
        <f t="shared" si="131"/>
        <v>5987.68</v>
      </c>
      <c r="P1179" s="15">
        <f t="shared" si="132"/>
        <v>15.233766233766225</v>
      </c>
      <c r="Q1179" s="7">
        <f>J1179*'Model inputs'!$B$8</f>
        <v>1232.0000000000007</v>
      </c>
      <c r="R1179" s="1" t="s">
        <v>162</v>
      </c>
      <c r="S1179" s="1">
        <v>620</v>
      </c>
      <c r="T1179" s="1">
        <v>639</v>
      </c>
    </row>
    <row r="1180" spans="1:20" ht="21" customHeight="1">
      <c r="A1180" s="8">
        <v>46262</v>
      </c>
      <c r="B1180" s="1" t="s">
        <v>34</v>
      </c>
      <c r="C1180" s="1" t="s">
        <v>90</v>
      </c>
      <c r="D1180" s="7">
        <v>5400</v>
      </c>
      <c r="E1180" s="7">
        <v>5600</v>
      </c>
      <c r="F1180" s="7">
        <v>5800</v>
      </c>
      <c r="G1180" s="7">
        <f>'Option source'!B606</f>
        <v>18.399999999999999</v>
      </c>
      <c r="H1180" s="7">
        <f>'Option source'!B625</f>
        <v>32.76</v>
      </c>
      <c r="I1180" s="7">
        <f>'Option source'!B644</f>
        <v>52.04</v>
      </c>
      <c r="J1180" s="7">
        <f t="shared" si="126"/>
        <v>4.9200000000000017</v>
      </c>
      <c r="K1180" s="7">
        <f t="shared" si="127"/>
        <v>200</v>
      </c>
      <c r="L1180" s="7">
        <f t="shared" si="128"/>
        <v>195.07999999999998</v>
      </c>
      <c r="M1180" s="7">
        <f t="shared" si="129"/>
        <v>4.9200000000000017</v>
      </c>
      <c r="N1180" s="7">
        <f t="shared" si="130"/>
        <v>5404.92</v>
      </c>
      <c r="O1180" s="7">
        <f t="shared" si="131"/>
        <v>5795.08</v>
      </c>
      <c r="P1180" s="15">
        <f t="shared" si="132"/>
        <v>39.650406504065025</v>
      </c>
      <c r="Q1180" s="7">
        <f>J1180*'Model inputs'!$B$8</f>
        <v>492.00000000000017</v>
      </c>
      <c r="R1180" s="1" t="s">
        <v>162</v>
      </c>
      <c r="S1180" s="1">
        <v>601</v>
      </c>
      <c r="T1180" s="1">
        <v>620</v>
      </c>
    </row>
    <row r="1181" spans="1:20" ht="21" customHeight="1">
      <c r="A1181" s="8">
        <v>46262</v>
      </c>
      <c r="B1181" s="1" t="s">
        <v>34</v>
      </c>
      <c r="C1181" s="1" t="s">
        <v>90</v>
      </c>
      <c r="D1181" s="7">
        <v>5200</v>
      </c>
      <c r="E1181" s="7">
        <v>5400</v>
      </c>
      <c r="F1181" s="7">
        <v>5600</v>
      </c>
      <c r="G1181" s="7">
        <f>'Option source'!B587</f>
        <v>11.53</v>
      </c>
      <c r="H1181" s="7">
        <f>'Option source'!B606</f>
        <v>18.399999999999999</v>
      </c>
      <c r="I1181" s="7">
        <f>'Option source'!B625</f>
        <v>32.76</v>
      </c>
      <c r="J1181" s="7">
        <f t="shared" si="126"/>
        <v>7.490000000000002</v>
      </c>
      <c r="K1181" s="7">
        <f t="shared" si="127"/>
        <v>200</v>
      </c>
      <c r="L1181" s="7">
        <f t="shared" si="128"/>
        <v>192.51</v>
      </c>
      <c r="M1181" s="7">
        <f t="shared" si="129"/>
        <v>7.490000000000002</v>
      </c>
      <c r="N1181" s="7">
        <f t="shared" si="130"/>
        <v>5207.49</v>
      </c>
      <c r="O1181" s="7">
        <f t="shared" si="131"/>
        <v>5592.51</v>
      </c>
      <c r="P1181" s="15">
        <f t="shared" si="132"/>
        <v>25.702269692923892</v>
      </c>
      <c r="Q1181" s="7">
        <f>J1181*'Model inputs'!$B$8</f>
        <v>749.00000000000023</v>
      </c>
      <c r="R1181" s="1" t="s">
        <v>162</v>
      </c>
      <c r="S1181" s="1">
        <v>582</v>
      </c>
      <c r="T1181" s="1">
        <v>601</v>
      </c>
    </row>
    <row r="1182" spans="1:20" ht="21" customHeight="1">
      <c r="A1182" s="8">
        <v>46262</v>
      </c>
      <c r="B1182" s="1" t="s">
        <v>34</v>
      </c>
      <c r="C1182" s="1" t="s">
        <v>87</v>
      </c>
      <c r="D1182" s="7">
        <v>8000</v>
      </c>
      <c r="E1182" s="7">
        <v>8300</v>
      </c>
      <c r="F1182" s="7">
        <v>8600</v>
      </c>
      <c r="G1182" s="7">
        <f>'Option source'!B359</f>
        <v>129.19</v>
      </c>
      <c r="H1182" s="7">
        <f>'Option source'!B378</f>
        <v>86.22</v>
      </c>
      <c r="I1182" s="7">
        <f>'Option source'!B397</f>
        <v>55.3</v>
      </c>
      <c r="J1182" s="7">
        <f t="shared" si="126"/>
        <v>12.049999999999997</v>
      </c>
      <c r="K1182" s="7">
        <f t="shared" si="127"/>
        <v>300</v>
      </c>
      <c r="L1182" s="7">
        <f t="shared" si="128"/>
        <v>287.95</v>
      </c>
      <c r="M1182" s="7">
        <f t="shared" si="129"/>
        <v>12.049999999999997</v>
      </c>
      <c r="N1182" s="7">
        <f t="shared" si="130"/>
        <v>8012.05</v>
      </c>
      <c r="O1182" s="7">
        <f t="shared" si="131"/>
        <v>8587.9500000000007</v>
      </c>
      <c r="P1182" s="15">
        <f t="shared" si="132"/>
        <v>23.896265560165979</v>
      </c>
      <c r="Q1182" s="7">
        <f>J1182*'Model inputs'!$B$8</f>
        <v>1204.9999999999998</v>
      </c>
      <c r="R1182" s="1" t="s">
        <v>162</v>
      </c>
      <c r="S1182" s="1">
        <v>354</v>
      </c>
      <c r="T1182" s="1">
        <v>373</v>
      </c>
    </row>
    <row r="1183" spans="1:20" ht="21" customHeight="1">
      <c r="A1183" s="8">
        <v>46262</v>
      </c>
      <c r="B1183" s="1" t="s">
        <v>34</v>
      </c>
      <c r="C1183" s="1" t="s">
        <v>90</v>
      </c>
      <c r="D1183" s="7">
        <v>5000</v>
      </c>
      <c r="E1183" s="7">
        <v>5200</v>
      </c>
      <c r="F1183" s="7">
        <v>5400</v>
      </c>
      <c r="G1183" s="7">
        <f>'Option source'!B568</f>
        <v>6.09</v>
      </c>
      <c r="H1183" s="7">
        <f>'Option source'!B587</f>
        <v>11.53</v>
      </c>
      <c r="I1183" s="7">
        <f>'Option source'!B606</f>
        <v>18.399999999999999</v>
      </c>
      <c r="J1183" s="7">
        <f t="shared" si="126"/>
        <v>1.4299999999999997</v>
      </c>
      <c r="K1183" s="7">
        <f t="shared" si="127"/>
        <v>200</v>
      </c>
      <c r="L1183" s="7">
        <f t="shared" si="128"/>
        <v>198.57</v>
      </c>
      <c r="M1183" s="7">
        <f t="shared" si="129"/>
        <v>1.4299999999999997</v>
      </c>
      <c r="N1183" s="7">
        <f t="shared" si="130"/>
        <v>5001.43</v>
      </c>
      <c r="O1183" s="7">
        <f t="shared" si="131"/>
        <v>5398.57</v>
      </c>
      <c r="P1183" s="15">
        <f t="shared" si="132"/>
        <v>138.8601398601399</v>
      </c>
      <c r="Q1183" s="7">
        <f>J1183*'Model inputs'!$B$8</f>
        <v>142.99999999999997</v>
      </c>
      <c r="R1183" s="1" t="s">
        <v>162</v>
      </c>
      <c r="S1183" s="1">
        <v>563</v>
      </c>
      <c r="T1183" s="1">
        <v>582</v>
      </c>
    </row>
    <row r="1184" spans="1:20" ht="21" customHeight="1">
      <c r="A1184" s="8">
        <v>46262</v>
      </c>
      <c r="B1184" s="1" t="s">
        <v>34</v>
      </c>
      <c r="C1184" s="1" t="s">
        <v>87</v>
      </c>
      <c r="D1184" s="7">
        <v>8300</v>
      </c>
      <c r="E1184" s="7">
        <v>8600</v>
      </c>
      <c r="F1184" s="7">
        <v>8900</v>
      </c>
      <c r="G1184" s="7">
        <f>'Option source'!B378</f>
        <v>86.22</v>
      </c>
      <c r="H1184" s="7">
        <f>'Option source'!B397</f>
        <v>55.3</v>
      </c>
      <c r="I1184" s="7">
        <f>'Option source'!B416</f>
        <v>36.229999999999997</v>
      </c>
      <c r="J1184" s="7">
        <f t="shared" si="126"/>
        <v>11.850000000000001</v>
      </c>
      <c r="K1184" s="7">
        <f t="shared" si="127"/>
        <v>300</v>
      </c>
      <c r="L1184" s="7">
        <f t="shared" si="128"/>
        <v>288.14999999999998</v>
      </c>
      <c r="M1184" s="7">
        <f t="shared" si="129"/>
        <v>11.850000000000001</v>
      </c>
      <c r="N1184" s="7">
        <f t="shared" si="130"/>
        <v>8311.85</v>
      </c>
      <c r="O1184" s="7">
        <f t="shared" si="131"/>
        <v>8888.15</v>
      </c>
      <c r="P1184" s="15">
        <f t="shared" si="132"/>
        <v>24.316455696202528</v>
      </c>
      <c r="Q1184" s="7">
        <f>J1184*'Model inputs'!$B$8</f>
        <v>1185.0000000000002</v>
      </c>
      <c r="R1184" s="1" t="s">
        <v>162</v>
      </c>
      <c r="S1184" s="1">
        <v>373</v>
      </c>
      <c r="T1184" s="1">
        <v>392</v>
      </c>
    </row>
    <row r="1185" spans="1:20" ht="21" customHeight="1">
      <c r="A1185" s="8">
        <v>46262</v>
      </c>
      <c r="B1185" s="1" t="s">
        <v>34</v>
      </c>
      <c r="C1185" s="1" t="s">
        <v>90</v>
      </c>
      <c r="D1185" s="7">
        <v>4800</v>
      </c>
      <c r="E1185" s="7">
        <v>5000</v>
      </c>
      <c r="F1185" s="7">
        <v>5200</v>
      </c>
      <c r="G1185" s="7">
        <f>'Option source'!B549</f>
        <v>4.38</v>
      </c>
      <c r="H1185" s="7">
        <f>'Option source'!B568</f>
        <v>6.09</v>
      </c>
      <c r="I1185" s="7">
        <f>'Option source'!B587</f>
        <v>11.53</v>
      </c>
      <c r="J1185" s="7">
        <f t="shared" si="126"/>
        <v>3.7299999999999995</v>
      </c>
      <c r="K1185" s="7">
        <f t="shared" si="127"/>
        <v>200</v>
      </c>
      <c r="L1185" s="7">
        <f t="shared" si="128"/>
        <v>196.27</v>
      </c>
      <c r="M1185" s="7">
        <f t="shared" si="129"/>
        <v>3.7299999999999995</v>
      </c>
      <c r="N1185" s="7">
        <f t="shared" si="130"/>
        <v>4803.7299999999996</v>
      </c>
      <c r="O1185" s="7">
        <f t="shared" si="131"/>
        <v>5196.2700000000004</v>
      </c>
      <c r="P1185" s="15">
        <f t="shared" si="132"/>
        <v>52.619302949061669</v>
      </c>
      <c r="Q1185" s="7">
        <f>J1185*'Model inputs'!$B$8</f>
        <v>372.99999999999994</v>
      </c>
      <c r="R1185" s="1" t="s">
        <v>162</v>
      </c>
      <c r="S1185" s="1">
        <v>544</v>
      </c>
      <c r="T1185" s="1">
        <v>563</v>
      </c>
    </row>
    <row r="1186" spans="1:20" ht="21" customHeight="1">
      <c r="A1186" s="8">
        <v>46262</v>
      </c>
      <c r="B1186" s="1" t="s">
        <v>34</v>
      </c>
      <c r="C1186" s="1" t="s">
        <v>90</v>
      </c>
      <c r="D1186" s="7">
        <v>4600</v>
      </c>
      <c r="E1186" s="7">
        <v>4800</v>
      </c>
      <c r="F1186" s="7">
        <v>5000</v>
      </c>
      <c r="G1186" s="7">
        <f>'Option source'!B530</f>
        <v>3.3</v>
      </c>
      <c r="H1186" s="7">
        <f>'Option source'!B549</f>
        <v>4.38</v>
      </c>
      <c r="I1186" s="7">
        <f>'Option source'!B568</f>
        <v>6.09</v>
      </c>
      <c r="J1186" s="7">
        <f t="shared" si="126"/>
        <v>0.62999999999999989</v>
      </c>
      <c r="K1186" s="7">
        <f t="shared" si="127"/>
        <v>200</v>
      </c>
      <c r="L1186" s="7">
        <f t="shared" si="128"/>
        <v>199.37</v>
      </c>
      <c r="M1186" s="7">
        <f t="shared" si="129"/>
        <v>0.62999999999999989</v>
      </c>
      <c r="N1186" s="7">
        <f t="shared" si="130"/>
        <v>4600.63</v>
      </c>
      <c r="O1186" s="7">
        <f t="shared" si="131"/>
        <v>4999.37</v>
      </c>
      <c r="P1186" s="15">
        <f t="shared" si="132"/>
        <v>316.46031746031753</v>
      </c>
      <c r="Q1186" s="7">
        <f>J1186*'Model inputs'!$B$8</f>
        <v>62.999999999999986</v>
      </c>
      <c r="R1186" s="1" t="s">
        <v>162</v>
      </c>
      <c r="S1186" s="1">
        <v>525</v>
      </c>
      <c r="T1186" s="1">
        <v>544</v>
      </c>
    </row>
    <row r="1187" spans="1:20" ht="21" customHeight="1">
      <c r="A1187" s="8">
        <v>46262</v>
      </c>
      <c r="B1187" s="1" t="s">
        <v>34</v>
      </c>
      <c r="C1187" s="1" t="s">
        <v>87</v>
      </c>
      <c r="D1187" s="7">
        <v>8600</v>
      </c>
      <c r="E1187" s="7">
        <v>8900</v>
      </c>
      <c r="F1187" s="7">
        <v>9200</v>
      </c>
      <c r="G1187" s="7">
        <f>'Option source'!B397</f>
        <v>55.3</v>
      </c>
      <c r="H1187" s="7">
        <f>'Option source'!B416</f>
        <v>36.229999999999997</v>
      </c>
      <c r="I1187" s="7">
        <f>'Option source'!B435</f>
        <v>23.01</v>
      </c>
      <c r="J1187" s="7">
        <f t="shared" si="126"/>
        <v>5.850000000000005</v>
      </c>
      <c r="K1187" s="7">
        <f t="shared" si="127"/>
        <v>300</v>
      </c>
      <c r="L1187" s="7">
        <f t="shared" si="128"/>
        <v>294.14999999999998</v>
      </c>
      <c r="M1187" s="7">
        <f t="shared" si="129"/>
        <v>5.850000000000005</v>
      </c>
      <c r="N1187" s="7">
        <f t="shared" si="130"/>
        <v>8605.85</v>
      </c>
      <c r="O1187" s="7">
        <f t="shared" si="131"/>
        <v>9194.15</v>
      </c>
      <c r="P1187" s="15">
        <f t="shared" si="132"/>
        <v>50.282051282051235</v>
      </c>
      <c r="Q1187" s="7">
        <f>J1187*'Model inputs'!$B$8</f>
        <v>585.00000000000045</v>
      </c>
      <c r="R1187" s="1" t="s">
        <v>162</v>
      </c>
      <c r="S1187" s="1">
        <v>392</v>
      </c>
      <c r="T1187" s="1">
        <v>411</v>
      </c>
    </row>
    <row r="1188" spans="1:20" ht="21" customHeight="1">
      <c r="A1188" s="8">
        <v>46262</v>
      </c>
      <c r="B1188" s="1" t="s">
        <v>34</v>
      </c>
      <c r="C1188" s="1" t="s">
        <v>87</v>
      </c>
      <c r="D1188" s="7">
        <v>8900</v>
      </c>
      <c r="E1188" s="7">
        <v>9200</v>
      </c>
      <c r="F1188" s="7">
        <v>9500</v>
      </c>
      <c r="G1188" s="7">
        <f>'Option source'!B416</f>
        <v>36.229999999999997</v>
      </c>
      <c r="H1188" s="7">
        <f>'Option source'!B435</f>
        <v>23.01</v>
      </c>
      <c r="I1188" s="7">
        <f>'Option source'!B454</f>
        <v>15.03</v>
      </c>
      <c r="J1188" s="7">
        <f t="shared" si="126"/>
        <v>5.2399999999999931</v>
      </c>
      <c r="K1188" s="7">
        <f t="shared" si="127"/>
        <v>300</v>
      </c>
      <c r="L1188" s="7">
        <f t="shared" si="128"/>
        <v>294.76</v>
      </c>
      <c r="M1188" s="7">
        <f t="shared" si="129"/>
        <v>5.2399999999999931</v>
      </c>
      <c r="N1188" s="7">
        <f t="shared" si="130"/>
        <v>8905.24</v>
      </c>
      <c r="O1188" s="7">
        <f t="shared" si="131"/>
        <v>9494.76</v>
      </c>
      <c r="P1188" s="15">
        <f t="shared" si="132"/>
        <v>56.251908396946639</v>
      </c>
      <c r="Q1188" s="7">
        <f>J1188*'Model inputs'!$B$8</f>
        <v>523.99999999999932</v>
      </c>
      <c r="R1188" s="1" t="s">
        <v>162</v>
      </c>
      <c r="S1188" s="1">
        <v>411</v>
      </c>
      <c r="T1188" s="1">
        <v>430</v>
      </c>
    </row>
    <row r="1189" spans="1:20" ht="21" customHeight="1">
      <c r="A1189" s="8">
        <v>46262</v>
      </c>
      <c r="B1189" s="1" t="s">
        <v>34</v>
      </c>
      <c r="C1189" s="1" t="s">
        <v>90</v>
      </c>
      <c r="D1189" s="7">
        <v>4200</v>
      </c>
      <c r="E1189" s="7">
        <v>4400</v>
      </c>
      <c r="F1189" s="7">
        <v>4600</v>
      </c>
      <c r="G1189" s="7">
        <f>'Option source'!B492</f>
        <v>1.74</v>
      </c>
      <c r="H1189" s="7">
        <f>'Option source'!B511</f>
        <v>1.96</v>
      </c>
      <c r="I1189" s="7">
        <f>'Option source'!B530</f>
        <v>3.3</v>
      </c>
      <c r="J1189" s="7">
        <f t="shared" si="126"/>
        <v>1.1200000000000001</v>
      </c>
      <c r="K1189" s="7">
        <f t="shared" si="127"/>
        <v>200</v>
      </c>
      <c r="L1189" s="7">
        <f t="shared" si="128"/>
        <v>198.88</v>
      </c>
      <c r="M1189" s="7">
        <f t="shared" si="129"/>
        <v>1.1200000000000001</v>
      </c>
      <c r="N1189" s="7">
        <f t="shared" si="130"/>
        <v>4201.12</v>
      </c>
      <c r="O1189" s="7">
        <f t="shared" si="131"/>
        <v>4598.88</v>
      </c>
      <c r="P1189" s="15">
        <f t="shared" si="132"/>
        <v>177.57142857142856</v>
      </c>
      <c r="Q1189" s="7">
        <f>J1189*'Model inputs'!$B$8</f>
        <v>112.00000000000001</v>
      </c>
      <c r="R1189" s="1" t="s">
        <v>162</v>
      </c>
      <c r="S1189" s="1">
        <v>487</v>
      </c>
      <c r="T1189" s="1">
        <v>506</v>
      </c>
    </row>
    <row r="1190" spans="1:20" ht="21" customHeight="1">
      <c r="A1190" s="8">
        <v>46262</v>
      </c>
      <c r="B1190" s="1" t="s">
        <v>34</v>
      </c>
      <c r="C1190" s="1" t="s">
        <v>90</v>
      </c>
      <c r="D1190" s="7">
        <v>7000</v>
      </c>
      <c r="E1190" s="7">
        <v>7200</v>
      </c>
      <c r="F1190" s="7">
        <v>7400</v>
      </c>
      <c r="G1190" s="7">
        <f>'Option source'!B758</f>
        <v>436.88</v>
      </c>
      <c r="H1190" s="7">
        <f>'Option source'!B777</f>
        <v>544.22</v>
      </c>
      <c r="I1190" s="7">
        <f>'Option source'!B796</f>
        <v>657.34</v>
      </c>
      <c r="J1190" s="7">
        <f t="shared" si="126"/>
        <v>5.7799999999999727</v>
      </c>
      <c r="K1190" s="7">
        <f t="shared" si="127"/>
        <v>200</v>
      </c>
      <c r="L1190" s="7">
        <f t="shared" si="128"/>
        <v>194.22000000000003</v>
      </c>
      <c r="M1190" s="7">
        <f t="shared" si="129"/>
        <v>5.7799999999999727</v>
      </c>
      <c r="N1190" s="7">
        <f t="shared" si="130"/>
        <v>7005.78</v>
      </c>
      <c r="O1190" s="7">
        <f t="shared" si="131"/>
        <v>7394.22</v>
      </c>
      <c r="P1190" s="15">
        <f t="shared" si="132"/>
        <v>33.602076124567638</v>
      </c>
      <c r="Q1190" s="7">
        <f>J1190*'Model inputs'!$B$8</f>
        <v>577.99999999999727</v>
      </c>
      <c r="R1190" s="1" t="s">
        <v>164</v>
      </c>
      <c r="S1190" s="1">
        <v>753</v>
      </c>
      <c r="T1190" s="1">
        <v>772</v>
      </c>
    </row>
    <row r="1191" spans="1:20" ht="21" customHeight="1">
      <c r="A1191" s="8">
        <v>46262</v>
      </c>
      <c r="B1191" s="1" t="s">
        <v>34</v>
      </c>
      <c r="C1191" s="1" t="s">
        <v>87</v>
      </c>
      <c r="D1191" s="7">
        <v>6200</v>
      </c>
      <c r="E1191" s="7">
        <v>6400</v>
      </c>
      <c r="F1191" s="7">
        <v>6600</v>
      </c>
      <c r="G1191" s="7">
        <f>'Option source'!B188</f>
        <v>870</v>
      </c>
      <c r="H1191" s="7">
        <f>'Option source'!B207</f>
        <v>775</v>
      </c>
      <c r="I1191" s="7">
        <f>'Option source'!B226</f>
        <v>651.80999999999995</v>
      </c>
      <c r="J1191" s="7">
        <f t="shared" si="126"/>
        <v>-28.190000000000055</v>
      </c>
      <c r="K1191" s="7">
        <f t="shared" si="127"/>
        <v>200</v>
      </c>
      <c r="L1191" s="7">
        <f t="shared" si="128"/>
        <v>228.19000000000005</v>
      </c>
      <c r="M1191" s="7">
        <f t="shared" si="129"/>
        <v>0</v>
      </c>
      <c r="N1191" s="7" t="str">
        <f t="shared" si="130"/>
        <v>n.a.</v>
      </c>
      <c r="O1191" s="7" t="str">
        <f t="shared" si="131"/>
        <v>n.a.</v>
      </c>
      <c r="P1191" s="15" t="str">
        <f t="shared" si="132"/>
        <v>n.a.</v>
      </c>
      <c r="Q1191" s="7">
        <f>J1191*'Model inputs'!$B$8</f>
        <v>-2819.0000000000055</v>
      </c>
      <c r="R1191" s="1" t="s">
        <v>163</v>
      </c>
      <c r="S1191" s="1">
        <v>183</v>
      </c>
      <c r="T1191" s="1">
        <v>202</v>
      </c>
    </row>
    <row r="1192" spans="1:20" ht="21" customHeight="1">
      <c r="A1192" s="8">
        <v>46262</v>
      </c>
      <c r="B1192" s="1" t="s">
        <v>34</v>
      </c>
      <c r="C1192" s="1" t="s">
        <v>90</v>
      </c>
      <c r="D1192" s="7">
        <v>7200</v>
      </c>
      <c r="E1192" s="7">
        <v>7400</v>
      </c>
      <c r="F1192" s="7">
        <v>7600</v>
      </c>
      <c r="G1192" s="7">
        <f>'Option source'!B777</f>
        <v>544.22</v>
      </c>
      <c r="H1192" s="7">
        <f>'Option source'!B796</f>
        <v>657.34</v>
      </c>
      <c r="I1192" s="7">
        <f>'Option source'!B815</f>
        <v>811.29</v>
      </c>
      <c r="J1192" s="7">
        <f t="shared" si="126"/>
        <v>40.829999999999927</v>
      </c>
      <c r="K1192" s="7">
        <f t="shared" si="127"/>
        <v>200</v>
      </c>
      <c r="L1192" s="7">
        <f t="shared" si="128"/>
        <v>159.17000000000007</v>
      </c>
      <c r="M1192" s="7">
        <f t="shared" si="129"/>
        <v>40.829999999999927</v>
      </c>
      <c r="N1192" s="7">
        <f t="shared" si="130"/>
        <v>7240.83</v>
      </c>
      <c r="O1192" s="7">
        <f t="shared" si="131"/>
        <v>7559.17</v>
      </c>
      <c r="P1192" s="15">
        <f t="shared" si="132"/>
        <v>3.8983590497183531</v>
      </c>
      <c r="Q1192" s="7">
        <f>J1192*'Model inputs'!$B$8</f>
        <v>4082.9999999999927</v>
      </c>
      <c r="R1192" s="1" t="s">
        <v>164</v>
      </c>
      <c r="S1192" s="1">
        <v>772</v>
      </c>
      <c r="T1192" s="1">
        <v>791</v>
      </c>
    </row>
    <row r="1193" spans="1:20" ht="21" customHeight="1">
      <c r="A1193" s="8">
        <v>46262</v>
      </c>
      <c r="B1193" s="1" t="s">
        <v>34</v>
      </c>
      <c r="C1193" s="1" t="s">
        <v>87</v>
      </c>
      <c r="D1193" s="7">
        <v>6000</v>
      </c>
      <c r="E1193" s="7">
        <v>6200</v>
      </c>
      <c r="F1193" s="7">
        <v>6400</v>
      </c>
      <c r="G1193" s="7">
        <f>'Option source'!B169</f>
        <v>1178.78</v>
      </c>
      <c r="H1193" s="7">
        <f>'Option source'!B188</f>
        <v>870</v>
      </c>
      <c r="I1193" s="7">
        <f>'Option source'!B207</f>
        <v>775</v>
      </c>
      <c r="J1193" s="7">
        <f t="shared" si="126"/>
        <v>213.77999999999997</v>
      </c>
      <c r="K1193" s="7">
        <f t="shared" si="127"/>
        <v>200</v>
      </c>
      <c r="L1193" s="7">
        <f t="shared" si="128"/>
        <v>-13.779999999999973</v>
      </c>
      <c r="M1193" s="7">
        <f t="shared" si="129"/>
        <v>213.77999999999997</v>
      </c>
      <c r="N1193" s="7" t="str">
        <f t="shared" si="130"/>
        <v>n.a.</v>
      </c>
      <c r="O1193" s="7" t="str">
        <f t="shared" si="131"/>
        <v>n.a.</v>
      </c>
      <c r="P1193" s="15" t="str">
        <f t="shared" si="132"/>
        <v>n.a.</v>
      </c>
      <c r="Q1193" s="7">
        <f>J1193*'Model inputs'!$B$8</f>
        <v>21377.999999999996</v>
      </c>
      <c r="R1193" s="1" t="s">
        <v>163</v>
      </c>
      <c r="S1193" s="1">
        <v>164</v>
      </c>
      <c r="T1193" s="1">
        <v>183</v>
      </c>
    </row>
    <row r="1194" spans="1:20" ht="21" customHeight="1">
      <c r="A1194" s="8">
        <v>46262</v>
      </c>
      <c r="B1194" s="1" t="s">
        <v>34</v>
      </c>
      <c r="C1194" s="1" t="s">
        <v>90</v>
      </c>
      <c r="D1194" s="7">
        <v>7400</v>
      </c>
      <c r="E1194" s="7">
        <v>7600</v>
      </c>
      <c r="F1194" s="7">
        <v>7800</v>
      </c>
      <c r="G1194" s="7">
        <f>'Option source'!B796</f>
        <v>657.34</v>
      </c>
      <c r="H1194" s="7">
        <f>'Option source'!B815</f>
        <v>811.29</v>
      </c>
      <c r="I1194" s="7">
        <f>'Option source'!B834</f>
        <v>905</v>
      </c>
      <c r="J1194" s="7">
        <f t="shared" si="126"/>
        <v>-60.239999999999895</v>
      </c>
      <c r="K1194" s="7">
        <f t="shared" si="127"/>
        <v>200</v>
      </c>
      <c r="L1194" s="7">
        <f t="shared" si="128"/>
        <v>260.2399999999999</v>
      </c>
      <c r="M1194" s="7">
        <f t="shared" si="129"/>
        <v>0</v>
      </c>
      <c r="N1194" s="7" t="str">
        <f t="shared" si="130"/>
        <v>n.a.</v>
      </c>
      <c r="O1194" s="7" t="str">
        <f t="shared" si="131"/>
        <v>n.a.</v>
      </c>
      <c r="P1194" s="15" t="str">
        <f t="shared" si="132"/>
        <v>n.a.</v>
      </c>
      <c r="Q1194" s="7">
        <f>J1194*'Model inputs'!$B$8</f>
        <v>-6023.9999999999891</v>
      </c>
      <c r="R1194" s="1" t="s">
        <v>163</v>
      </c>
      <c r="S1194" s="1">
        <v>791</v>
      </c>
      <c r="T1194" s="1">
        <v>810</v>
      </c>
    </row>
    <row r="1195" spans="1:20" ht="21" customHeight="1">
      <c r="A1195" s="8">
        <v>46262</v>
      </c>
      <c r="B1195" s="1" t="s">
        <v>34</v>
      </c>
      <c r="C1195" s="1" t="s">
        <v>90</v>
      </c>
      <c r="D1195" s="7">
        <v>7600</v>
      </c>
      <c r="E1195" s="7">
        <v>7800</v>
      </c>
      <c r="F1195" s="7">
        <v>8000</v>
      </c>
      <c r="G1195" s="7">
        <f>'Option source'!B815</f>
        <v>811.29</v>
      </c>
      <c r="H1195" s="7">
        <f>'Option source'!B834</f>
        <v>905</v>
      </c>
      <c r="I1195" s="7">
        <f>'Option source'!B853</f>
        <v>1225</v>
      </c>
      <c r="J1195" s="7">
        <f t="shared" si="126"/>
        <v>226.28999999999996</v>
      </c>
      <c r="K1195" s="7">
        <f t="shared" si="127"/>
        <v>200</v>
      </c>
      <c r="L1195" s="7">
        <f t="shared" si="128"/>
        <v>-26.289999999999964</v>
      </c>
      <c r="M1195" s="7">
        <f t="shared" si="129"/>
        <v>226.28999999999996</v>
      </c>
      <c r="N1195" s="7" t="str">
        <f t="shared" si="130"/>
        <v>n.a.</v>
      </c>
      <c r="O1195" s="7" t="str">
        <f t="shared" si="131"/>
        <v>n.a.</v>
      </c>
      <c r="P1195" s="15" t="str">
        <f t="shared" si="132"/>
        <v>n.a.</v>
      </c>
      <c r="Q1195" s="7">
        <f>J1195*'Model inputs'!$B$8</f>
        <v>22628.999999999996</v>
      </c>
      <c r="R1195" s="1" t="s">
        <v>163</v>
      </c>
      <c r="S1195" s="1">
        <v>810</v>
      </c>
      <c r="T1195" s="1">
        <v>829</v>
      </c>
    </row>
    <row r="1196" spans="1:20" ht="21" customHeight="1">
      <c r="A1196" s="8">
        <v>46262</v>
      </c>
      <c r="B1196" s="1" t="s">
        <v>34</v>
      </c>
      <c r="C1196" s="1" t="s">
        <v>87</v>
      </c>
      <c r="D1196" s="7">
        <v>5200</v>
      </c>
      <c r="E1196" s="7">
        <v>5400</v>
      </c>
      <c r="F1196" s="7">
        <v>5600</v>
      </c>
      <c r="G1196" s="7">
        <f>'Option source'!B103</f>
        <v>1677.12</v>
      </c>
      <c r="H1196" s="7">
        <f>'Option source'!B122</f>
        <v>1552.16</v>
      </c>
      <c r="I1196" s="7">
        <f>'Option source'!B140</f>
        <v>1311.48</v>
      </c>
      <c r="J1196" s="7">
        <f t="shared" si="126"/>
        <v>-115.72000000000025</v>
      </c>
      <c r="K1196" s="7">
        <f t="shared" si="127"/>
        <v>200</v>
      </c>
      <c r="L1196" s="7">
        <f t="shared" si="128"/>
        <v>315.72000000000025</v>
      </c>
      <c r="M1196" s="7">
        <f t="shared" si="129"/>
        <v>0</v>
      </c>
      <c r="N1196" s="7" t="str">
        <f t="shared" si="130"/>
        <v>n.a.</v>
      </c>
      <c r="O1196" s="7" t="str">
        <f t="shared" si="131"/>
        <v>n.a.</v>
      </c>
      <c r="P1196" s="15" t="str">
        <f t="shared" si="132"/>
        <v>n.a.</v>
      </c>
      <c r="Q1196" s="7">
        <f>J1196*'Model inputs'!$B$8</f>
        <v>-11572.000000000025</v>
      </c>
      <c r="R1196" s="1" t="s">
        <v>163</v>
      </c>
      <c r="S1196" s="1">
        <v>98</v>
      </c>
      <c r="T1196" s="1">
        <v>117</v>
      </c>
    </row>
    <row r="1197" spans="1:20" ht="21" customHeight="1">
      <c r="A1197" s="8">
        <v>46262</v>
      </c>
      <c r="B1197" s="1" t="s">
        <v>34</v>
      </c>
      <c r="C1197" s="1" t="s">
        <v>90</v>
      </c>
      <c r="D1197" s="7">
        <v>8000</v>
      </c>
      <c r="E1197" s="7">
        <v>8300</v>
      </c>
      <c r="F1197" s="7">
        <v>8600</v>
      </c>
      <c r="G1197" s="7">
        <f>'Option source'!B853</f>
        <v>1225</v>
      </c>
      <c r="H1197" s="7">
        <f>'Option source'!B872</f>
        <v>1291.94</v>
      </c>
      <c r="I1197" s="7">
        <f>'Option source'!B891</f>
        <v>1850</v>
      </c>
      <c r="J1197" s="7">
        <f t="shared" si="126"/>
        <v>491.11999999999989</v>
      </c>
      <c r="K1197" s="7">
        <f t="shared" si="127"/>
        <v>300</v>
      </c>
      <c r="L1197" s="7">
        <f t="shared" si="128"/>
        <v>-191.11999999999989</v>
      </c>
      <c r="M1197" s="7">
        <f t="shared" si="129"/>
        <v>491.11999999999989</v>
      </c>
      <c r="N1197" s="7" t="str">
        <f t="shared" si="130"/>
        <v>n.a.</v>
      </c>
      <c r="O1197" s="7" t="str">
        <f t="shared" si="131"/>
        <v>n.a.</v>
      </c>
      <c r="P1197" s="15" t="str">
        <f t="shared" si="132"/>
        <v>n.a.</v>
      </c>
      <c r="Q1197" s="7">
        <f>J1197*'Model inputs'!$B$8</f>
        <v>49111.999999999985</v>
      </c>
      <c r="R1197" s="1" t="s">
        <v>163</v>
      </c>
      <c r="S1197" s="1">
        <v>848</v>
      </c>
      <c r="T1197" s="1">
        <v>867</v>
      </c>
    </row>
    <row r="1198" spans="1:20" ht="21" customHeight="1">
      <c r="A1198" s="8">
        <v>46262</v>
      </c>
      <c r="B1198" s="1" t="s">
        <v>34</v>
      </c>
      <c r="C1198" s="1" t="s">
        <v>87</v>
      </c>
      <c r="D1198" s="7">
        <v>5000</v>
      </c>
      <c r="E1198" s="7">
        <v>5200</v>
      </c>
      <c r="F1198" s="7">
        <v>5400</v>
      </c>
      <c r="G1198" s="7">
        <f>'Option source'!B84</f>
        <v>1905</v>
      </c>
      <c r="H1198" s="7">
        <f>'Option source'!B103</f>
        <v>1677.12</v>
      </c>
      <c r="I1198" s="7">
        <f>'Option source'!B122</f>
        <v>1552.16</v>
      </c>
      <c r="J1198" s="7">
        <f t="shared" si="126"/>
        <v>102.9200000000003</v>
      </c>
      <c r="K1198" s="7">
        <f t="shared" si="127"/>
        <v>200</v>
      </c>
      <c r="L1198" s="7">
        <f t="shared" si="128"/>
        <v>97.0799999999997</v>
      </c>
      <c r="M1198" s="7">
        <f t="shared" si="129"/>
        <v>102.9200000000003</v>
      </c>
      <c r="N1198" s="7">
        <f t="shared" si="130"/>
        <v>5102.92</v>
      </c>
      <c r="O1198" s="7">
        <f t="shared" si="131"/>
        <v>5297.08</v>
      </c>
      <c r="P1198" s="15">
        <f t="shared" si="132"/>
        <v>0.94325689856198425</v>
      </c>
      <c r="Q1198" s="7">
        <f>J1198*'Model inputs'!$B$8</f>
        <v>10292.000000000029</v>
      </c>
      <c r="R1198" s="1" t="s">
        <v>164</v>
      </c>
      <c r="S1198" s="1">
        <v>79</v>
      </c>
      <c r="T1198" s="1">
        <v>98</v>
      </c>
    </row>
    <row r="1199" spans="1:20" ht="21" customHeight="1">
      <c r="A1199" s="8">
        <v>46262</v>
      </c>
      <c r="B1199" s="1" t="s">
        <v>34</v>
      </c>
      <c r="C1199" s="1" t="s">
        <v>90</v>
      </c>
      <c r="D1199" s="7">
        <v>8300</v>
      </c>
      <c r="E1199" s="7">
        <v>8600</v>
      </c>
      <c r="F1199" s="7">
        <v>8900</v>
      </c>
      <c r="G1199" s="7">
        <f>'Option source'!B872</f>
        <v>1291.94</v>
      </c>
      <c r="H1199" s="7">
        <f>'Option source'!B891</f>
        <v>1850</v>
      </c>
      <c r="I1199" s="7">
        <f>'Option source'!B906</f>
        <v>2022.5</v>
      </c>
      <c r="J1199" s="7">
        <f t="shared" si="126"/>
        <v>-385.55999999999995</v>
      </c>
      <c r="K1199" s="7">
        <f t="shared" si="127"/>
        <v>300</v>
      </c>
      <c r="L1199" s="7">
        <f t="shared" si="128"/>
        <v>685.56</v>
      </c>
      <c r="M1199" s="7">
        <f t="shared" si="129"/>
        <v>0</v>
      </c>
      <c r="N1199" s="7" t="str">
        <f t="shared" si="130"/>
        <v>n.a.</v>
      </c>
      <c r="O1199" s="7" t="str">
        <f t="shared" si="131"/>
        <v>n.a.</v>
      </c>
      <c r="P1199" s="15" t="str">
        <f t="shared" si="132"/>
        <v>n.a.</v>
      </c>
      <c r="Q1199" s="7">
        <f>J1199*'Model inputs'!$B$8</f>
        <v>-38555.999999999993</v>
      </c>
      <c r="R1199" s="1" t="s">
        <v>163</v>
      </c>
      <c r="S1199" s="1">
        <v>867</v>
      </c>
      <c r="T1199" s="1">
        <v>886</v>
      </c>
    </row>
    <row r="1200" spans="1:20" ht="21" customHeight="1">
      <c r="A1200" s="8">
        <v>46262</v>
      </c>
      <c r="B1200" s="1" t="s">
        <v>34</v>
      </c>
      <c r="C1200" s="1" t="s">
        <v>87</v>
      </c>
      <c r="D1200" s="7">
        <v>4800</v>
      </c>
      <c r="E1200" s="7">
        <v>5000</v>
      </c>
      <c r="F1200" s="7">
        <v>5200</v>
      </c>
      <c r="G1200" s="7">
        <f>'Option source'!B67</f>
        <v>2050</v>
      </c>
      <c r="H1200" s="7">
        <f>'Option source'!B84</f>
        <v>1905</v>
      </c>
      <c r="I1200" s="7">
        <f>'Option source'!B103</f>
        <v>1677.12</v>
      </c>
      <c r="J1200" s="7">
        <f t="shared" si="126"/>
        <v>-82.880000000000109</v>
      </c>
      <c r="K1200" s="7">
        <f t="shared" si="127"/>
        <v>200</v>
      </c>
      <c r="L1200" s="7">
        <f t="shared" si="128"/>
        <v>282.88000000000011</v>
      </c>
      <c r="M1200" s="7">
        <f t="shared" si="129"/>
        <v>0</v>
      </c>
      <c r="N1200" s="7" t="str">
        <f t="shared" si="130"/>
        <v>n.a.</v>
      </c>
      <c r="O1200" s="7" t="str">
        <f t="shared" si="131"/>
        <v>n.a.</v>
      </c>
      <c r="P1200" s="15" t="str">
        <f t="shared" si="132"/>
        <v>n.a.</v>
      </c>
      <c r="Q1200" s="7">
        <f>J1200*'Model inputs'!$B$8</f>
        <v>-8288.0000000000109</v>
      </c>
      <c r="R1200" s="1" t="s">
        <v>163</v>
      </c>
      <c r="S1200" s="1">
        <v>62</v>
      </c>
      <c r="T1200" s="1">
        <v>79</v>
      </c>
    </row>
    <row r="1201" spans="1:20" ht="21" customHeight="1">
      <c r="A1201" s="8">
        <v>46262</v>
      </c>
      <c r="B1201" s="1" t="s">
        <v>34</v>
      </c>
      <c r="C1201" s="1" t="s">
        <v>87</v>
      </c>
      <c r="D1201" s="7">
        <v>4600</v>
      </c>
      <c r="E1201" s="7">
        <v>4800</v>
      </c>
      <c r="F1201" s="7">
        <v>5000</v>
      </c>
      <c r="G1201" s="7">
        <f>'Option source'!B50</f>
        <v>2400.31</v>
      </c>
      <c r="H1201" s="7">
        <f>'Option source'!B67</f>
        <v>2050</v>
      </c>
      <c r="I1201" s="7">
        <f>'Option source'!B84</f>
        <v>1905</v>
      </c>
      <c r="J1201" s="7">
        <f t="shared" si="126"/>
        <v>205.30999999999995</v>
      </c>
      <c r="K1201" s="7">
        <f t="shared" si="127"/>
        <v>200</v>
      </c>
      <c r="L1201" s="7">
        <f t="shared" si="128"/>
        <v>-5.3099999999999454</v>
      </c>
      <c r="M1201" s="7">
        <f t="shared" si="129"/>
        <v>205.30999999999995</v>
      </c>
      <c r="N1201" s="7" t="str">
        <f t="shared" si="130"/>
        <v>n.a.</v>
      </c>
      <c r="O1201" s="7" t="str">
        <f t="shared" si="131"/>
        <v>n.a.</v>
      </c>
      <c r="P1201" s="15" t="str">
        <f t="shared" si="132"/>
        <v>n.a.</v>
      </c>
      <c r="Q1201" s="7">
        <f>J1201*'Model inputs'!$B$8</f>
        <v>20530.999999999993</v>
      </c>
      <c r="R1201" s="1" t="s">
        <v>163</v>
      </c>
      <c r="S1201" s="1">
        <v>45</v>
      </c>
      <c r="T1201" s="1">
        <v>62</v>
      </c>
    </row>
    <row r="1202" spans="1:20" ht="21" customHeight="1">
      <c r="A1202" s="8">
        <v>46262</v>
      </c>
      <c r="B1202" s="1" t="s">
        <v>34</v>
      </c>
      <c r="C1202" s="1" t="s">
        <v>87</v>
      </c>
      <c r="D1202" s="7">
        <v>4400</v>
      </c>
      <c r="E1202" s="7">
        <v>4600</v>
      </c>
      <c r="F1202" s="7">
        <v>4800</v>
      </c>
      <c r="G1202" s="7">
        <f>'Option source'!B31</f>
        <v>2429.9699999999998</v>
      </c>
      <c r="H1202" s="7">
        <f>'Option source'!B50</f>
        <v>2400.31</v>
      </c>
      <c r="I1202" s="7">
        <f>'Option source'!B67</f>
        <v>2050</v>
      </c>
      <c r="J1202" s="7">
        <f t="shared" si="126"/>
        <v>-320.65000000000009</v>
      </c>
      <c r="K1202" s="7">
        <f t="shared" si="127"/>
        <v>200</v>
      </c>
      <c r="L1202" s="7">
        <f t="shared" si="128"/>
        <v>520.65000000000009</v>
      </c>
      <c r="M1202" s="7">
        <f t="shared" si="129"/>
        <v>0</v>
      </c>
      <c r="N1202" s="7" t="str">
        <f t="shared" si="130"/>
        <v>n.a.</v>
      </c>
      <c r="O1202" s="7" t="str">
        <f t="shared" si="131"/>
        <v>n.a.</v>
      </c>
      <c r="P1202" s="15" t="str">
        <f t="shared" si="132"/>
        <v>n.a.</v>
      </c>
      <c r="Q1202" s="7">
        <f>J1202*'Model inputs'!$B$8</f>
        <v>-32065.000000000007</v>
      </c>
      <c r="R1202" s="1" t="s">
        <v>163</v>
      </c>
      <c r="S1202" s="1">
        <v>26</v>
      </c>
      <c r="T1202" s="1">
        <v>45</v>
      </c>
    </row>
    <row r="1203" spans="1:20" ht="21" customHeight="1">
      <c r="A1203" s="8">
        <v>46262</v>
      </c>
      <c r="B1203" s="1" t="s">
        <v>34</v>
      </c>
      <c r="C1203" s="1" t="s">
        <v>90</v>
      </c>
      <c r="D1203" s="7">
        <v>4400</v>
      </c>
      <c r="E1203" s="7">
        <v>4600</v>
      </c>
      <c r="F1203" s="7">
        <v>4800</v>
      </c>
      <c r="G1203" s="7">
        <f>'Option source'!B511</f>
        <v>1.96</v>
      </c>
      <c r="H1203" s="7">
        <f>'Option source'!B530</f>
        <v>3.3</v>
      </c>
      <c r="I1203" s="7">
        <f>'Option source'!B549</f>
        <v>4.38</v>
      </c>
      <c r="J1203" s="7">
        <f t="shared" si="126"/>
        <v>-0.25999999999999979</v>
      </c>
      <c r="K1203" s="7">
        <f t="shared" si="127"/>
        <v>200</v>
      </c>
      <c r="L1203" s="7">
        <f t="shared" si="128"/>
        <v>200.26</v>
      </c>
      <c r="M1203" s="7">
        <f t="shared" si="129"/>
        <v>0</v>
      </c>
      <c r="N1203" s="7" t="str">
        <f t="shared" si="130"/>
        <v>n.a.</v>
      </c>
      <c r="O1203" s="7" t="str">
        <f t="shared" si="131"/>
        <v>n.a.</v>
      </c>
      <c r="P1203" s="15" t="str">
        <f t="shared" si="132"/>
        <v>n.a.</v>
      </c>
      <c r="Q1203" s="7">
        <f>J1203*'Model inputs'!$B$8</f>
        <v>-25.999999999999979</v>
      </c>
      <c r="R1203" s="1" t="s">
        <v>163</v>
      </c>
      <c r="S1203" s="1">
        <v>506</v>
      </c>
      <c r="T1203" s="1">
        <v>525</v>
      </c>
    </row>
    <row r="1204" spans="1:20" ht="21" customHeight="1">
      <c r="A1204" s="8">
        <v>46262</v>
      </c>
      <c r="B1204" s="1" t="s">
        <v>34</v>
      </c>
      <c r="C1204" s="1" t="s">
        <v>87</v>
      </c>
      <c r="D1204" s="7">
        <v>4200</v>
      </c>
      <c r="E1204" s="7">
        <v>4400</v>
      </c>
      <c r="F1204" s="7">
        <v>4600</v>
      </c>
      <c r="G1204" s="7">
        <f>'Option source'!B12</f>
        <v>2666.16</v>
      </c>
      <c r="H1204" s="7">
        <f>'Option source'!B31</f>
        <v>2429.9699999999998</v>
      </c>
      <c r="I1204" s="7">
        <f>'Option source'!B50</f>
        <v>2400.31</v>
      </c>
      <c r="J1204" s="7">
        <f t="shared" si="126"/>
        <v>206.5300000000002</v>
      </c>
      <c r="K1204" s="7">
        <f t="shared" si="127"/>
        <v>200</v>
      </c>
      <c r="L1204" s="7">
        <f t="shared" si="128"/>
        <v>-6.5300000000002001</v>
      </c>
      <c r="M1204" s="7">
        <f t="shared" si="129"/>
        <v>206.5300000000002</v>
      </c>
      <c r="N1204" s="7" t="str">
        <f t="shared" si="130"/>
        <v>n.a.</v>
      </c>
      <c r="O1204" s="7" t="str">
        <f t="shared" si="131"/>
        <v>n.a.</v>
      </c>
      <c r="P1204" s="15" t="str">
        <f t="shared" si="132"/>
        <v>n.a.</v>
      </c>
      <c r="Q1204" s="7">
        <f>J1204*'Model inputs'!$B$8</f>
        <v>20653.000000000022</v>
      </c>
      <c r="R1204" s="1" t="s">
        <v>163</v>
      </c>
      <c r="S1204" s="1">
        <v>7</v>
      </c>
      <c r="T1204" s="1">
        <v>26</v>
      </c>
    </row>
    <row r="1205" spans="1:20" ht="21" customHeight="1">
      <c r="A1205" s="8">
        <v>46262</v>
      </c>
      <c r="B1205" s="1" t="s">
        <v>36</v>
      </c>
      <c r="C1205" s="1" t="s">
        <v>87</v>
      </c>
      <c r="D1205" s="7">
        <v>6600</v>
      </c>
      <c r="E1205" s="7">
        <v>6800</v>
      </c>
      <c r="F1205" s="7"/>
      <c r="G1205" s="7">
        <f>'Option source'!B226</f>
        <v>651.80999999999995</v>
      </c>
      <c r="H1205" s="7">
        <f>'Option source'!B245</f>
        <v>532.71</v>
      </c>
      <c r="I1205" s="7"/>
      <c r="J1205" s="7">
        <f t="shared" si="126"/>
        <v>-413.61000000000013</v>
      </c>
      <c r="K1205" s="7">
        <f t="shared" si="127"/>
        <v>200</v>
      </c>
      <c r="L1205" s="7">
        <f t="shared" si="128"/>
        <v>613.61000000000013</v>
      </c>
      <c r="M1205" s="7" t="str">
        <f t="shared" si="129"/>
        <v>Unlimited</v>
      </c>
      <c r="N1205" s="7" t="str">
        <f t="shared" si="130"/>
        <v>n.a.</v>
      </c>
      <c r="O1205" s="7">
        <f t="shared" si="131"/>
        <v>7413.6100000000006</v>
      </c>
      <c r="P1205" s="15" t="str">
        <f t="shared" si="132"/>
        <v>n.a.</v>
      </c>
      <c r="Q1205" s="7">
        <f>J1205*'Model inputs'!$B$8</f>
        <v>-41361.000000000015</v>
      </c>
      <c r="R1205" s="1" t="s">
        <v>162</v>
      </c>
      <c r="S1205" s="1">
        <v>221</v>
      </c>
      <c r="T1205" s="1">
        <v>240</v>
      </c>
    </row>
    <row r="1206" spans="1:20" ht="21" customHeight="1">
      <c r="A1206" s="8">
        <v>46262</v>
      </c>
      <c r="B1206" s="1" t="s">
        <v>36</v>
      </c>
      <c r="C1206" s="1" t="s">
        <v>90</v>
      </c>
      <c r="D1206" s="7">
        <v>7000</v>
      </c>
      <c r="E1206" s="7">
        <v>6800</v>
      </c>
      <c r="F1206" s="7"/>
      <c r="G1206" s="7">
        <f>'Option source'!B758</f>
        <v>436.88</v>
      </c>
      <c r="H1206" s="7">
        <f>'Option source'!B739</f>
        <v>332.14</v>
      </c>
      <c r="I1206" s="7"/>
      <c r="J1206" s="7">
        <f t="shared" si="126"/>
        <v>-227.39999999999998</v>
      </c>
      <c r="K1206" s="7">
        <f t="shared" si="127"/>
        <v>200</v>
      </c>
      <c r="L1206" s="7">
        <f t="shared" si="128"/>
        <v>427.4</v>
      </c>
      <c r="M1206" s="7">
        <f t="shared" si="129"/>
        <v>6372.6</v>
      </c>
      <c r="N1206" s="7">
        <f t="shared" si="130"/>
        <v>6372.6</v>
      </c>
      <c r="O1206" s="7" t="str">
        <f t="shared" si="131"/>
        <v>n.a.</v>
      </c>
      <c r="P1206" s="15" t="str">
        <f t="shared" si="132"/>
        <v>n.a.</v>
      </c>
      <c r="Q1206" s="7">
        <f>J1206*'Model inputs'!$B$8</f>
        <v>-22739.999999999996</v>
      </c>
      <c r="R1206" s="1" t="s">
        <v>162</v>
      </c>
      <c r="S1206" s="1">
        <v>753</v>
      </c>
      <c r="T1206" s="1">
        <v>734</v>
      </c>
    </row>
    <row r="1207" spans="1:20" ht="21" customHeight="1">
      <c r="A1207" s="8">
        <v>46262</v>
      </c>
      <c r="B1207" s="1" t="s">
        <v>36</v>
      </c>
      <c r="C1207" s="1" t="s">
        <v>87</v>
      </c>
      <c r="D1207" s="7">
        <v>6800</v>
      </c>
      <c r="E1207" s="7">
        <v>7000</v>
      </c>
      <c r="F1207" s="7"/>
      <c r="G1207" s="7">
        <f>'Option source'!B245</f>
        <v>532.71</v>
      </c>
      <c r="H1207" s="7">
        <f>'Option source'!B264</f>
        <v>438.78</v>
      </c>
      <c r="I1207" s="7"/>
      <c r="J1207" s="7">
        <f t="shared" si="126"/>
        <v>-344.84999999999991</v>
      </c>
      <c r="K1207" s="7">
        <f t="shared" si="127"/>
        <v>200</v>
      </c>
      <c r="L1207" s="7">
        <f t="shared" si="128"/>
        <v>544.84999999999991</v>
      </c>
      <c r="M1207" s="7" t="str">
        <f t="shared" si="129"/>
        <v>Unlimited</v>
      </c>
      <c r="N1207" s="7" t="str">
        <f t="shared" si="130"/>
        <v>n.a.</v>
      </c>
      <c r="O1207" s="7">
        <f t="shared" si="131"/>
        <v>7544.85</v>
      </c>
      <c r="P1207" s="15" t="str">
        <f t="shared" si="132"/>
        <v>n.a.</v>
      </c>
      <c r="Q1207" s="7">
        <f>J1207*'Model inputs'!$B$8</f>
        <v>-34484.999999999993</v>
      </c>
      <c r="R1207" s="1" t="s">
        <v>162</v>
      </c>
      <c r="S1207" s="1">
        <v>240</v>
      </c>
      <c r="T1207" s="1">
        <v>259</v>
      </c>
    </row>
    <row r="1208" spans="1:20" ht="21" customHeight="1">
      <c r="A1208" s="8">
        <v>46262</v>
      </c>
      <c r="B1208" s="1" t="s">
        <v>36</v>
      </c>
      <c r="C1208" s="1" t="s">
        <v>90</v>
      </c>
      <c r="D1208" s="7">
        <v>7200</v>
      </c>
      <c r="E1208" s="7">
        <v>7000</v>
      </c>
      <c r="F1208" s="7"/>
      <c r="G1208" s="7">
        <f>'Option source'!B777</f>
        <v>544.22</v>
      </c>
      <c r="H1208" s="7">
        <f>'Option source'!B758</f>
        <v>436.88</v>
      </c>
      <c r="I1208" s="7"/>
      <c r="J1208" s="7">
        <f t="shared" si="126"/>
        <v>-329.53999999999996</v>
      </c>
      <c r="K1208" s="7">
        <f t="shared" si="127"/>
        <v>200</v>
      </c>
      <c r="L1208" s="7">
        <f t="shared" si="128"/>
        <v>529.54</v>
      </c>
      <c r="M1208" s="7">
        <f t="shared" si="129"/>
        <v>6470.46</v>
      </c>
      <c r="N1208" s="7">
        <f t="shared" si="130"/>
        <v>6470.46</v>
      </c>
      <c r="O1208" s="7" t="str">
        <f t="shared" si="131"/>
        <v>n.a.</v>
      </c>
      <c r="P1208" s="15" t="str">
        <f t="shared" si="132"/>
        <v>n.a.</v>
      </c>
      <c r="Q1208" s="7">
        <f>J1208*'Model inputs'!$B$8</f>
        <v>-32954</v>
      </c>
      <c r="R1208" s="1" t="s">
        <v>162</v>
      </c>
      <c r="S1208" s="1">
        <v>772</v>
      </c>
      <c r="T1208" s="1">
        <v>753</v>
      </c>
    </row>
    <row r="1209" spans="1:20" ht="21" customHeight="1">
      <c r="A1209" s="8">
        <v>46262</v>
      </c>
      <c r="B1209" s="1" t="s">
        <v>36</v>
      </c>
      <c r="C1209" s="1" t="s">
        <v>87</v>
      </c>
      <c r="D1209" s="7">
        <v>6400</v>
      </c>
      <c r="E1209" s="7">
        <v>6600</v>
      </c>
      <c r="F1209" s="7"/>
      <c r="G1209" s="7">
        <f>'Option source'!B207</f>
        <v>775</v>
      </c>
      <c r="H1209" s="7">
        <f>'Option source'!B226</f>
        <v>651.80999999999995</v>
      </c>
      <c r="I1209" s="7"/>
      <c r="J1209" s="7">
        <f t="shared" si="126"/>
        <v>-528.61999999999989</v>
      </c>
      <c r="K1209" s="7">
        <f t="shared" si="127"/>
        <v>200</v>
      </c>
      <c r="L1209" s="7">
        <f t="shared" si="128"/>
        <v>728.61999999999989</v>
      </c>
      <c r="M1209" s="7" t="str">
        <f t="shared" si="129"/>
        <v>Unlimited</v>
      </c>
      <c r="N1209" s="7" t="str">
        <f t="shared" si="130"/>
        <v>n.a.</v>
      </c>
      <c r="O1209" s="7">
        <f t="shared" si="131"/>
        <v>7328.62</v>
      </c>
      <c r="P1209" s="15" t="str">
        <f t="shared" si="132"/>
        <v>n.a.</v>
      </c>
      <c r="Q1209" s="7">
        <f>J1209*'Model inputs'!$B$8</f>
        <v>-52861.999999999985</v>
      </c>
      <c r="R1209" s="1" t="s">
        <v>162</v>
      </c>
      <c r="S1209" s="1">
        <v>202</v>
      </c>
      <c r="T1209" s="1">
        <v>221</v>
      </c>
    </row>
    <row r="1210" spans="1:20" ht="21" customHeight="1">
      <c r="A1210" s="8">
        <v>46262</v>
      </c>
      <c r="B1210" s="1" t="s">
        <v>36</v>
      </c>
      <c r="C1210" s="1" t="s">
        <v>90</v>
      </c>
      <c r="D1210" s="7">
        <v>6800</v>
      </c>
      <c r="E1210" s="7">
        <v>6600</v>
      </c>
      <c r="F1210" s="7"/>
      <c r="G1210" s="7">
        <f>'Option source'!B739</f>
        <v>332.14</v>
      </c>
      <c r="H1210" s="7">
        <f>'Option source'!B720</f>
        <v>249.3</v>
      </c>
      <c r="I1210" s="7"/>
      <c r="J1210" s="7">
        <f t="shared" si="126"/>
        <v>-166.46000000000004</v>
      </c>
      <c r="K1210" s="7">
        <f t="shared" si="127"/>
        <v>200</v>
      </c>
      <c r="L1210" s="7">
        <f t="shared" si="128"/>
        <v>366.46000000000004</v>
      </c>
      <c r="M1210" s="7">
        <f t="shared" si="129"/>
        <v>6233.54</v>
      </c>
      <c r="N1210" s="7">
        <f t="shared" si="130"/>
        <v>6233.54</v>
      </c>
      <c r="O1210" s="7" t="str">
        <f t="shared" si="131"/>
        <v>n.a.</v>
      </c>
      <c r="P1210" s="15" t="str">
        <f t="shared" si="132"/>
        <v>n.a.</v>
      </c>
      <c r="Q1210" s="7">
        <f>J1210*'Model inputs'!$B$8</f>
        <v>-16646.000000000004</v>
      </c>
      <c r="R1210" s="1" t="s">
        <v>162</v>
      </c>
      <c r="S1210" s="1">
        <v>734</v>
      </c>
      <c r="T1210" s="1">
        <v>715</v>
      </c>
    </row>
    <row r="1211" spans="1:20" ht="21" customHeight="1">
      <c r="A1211" s="8">
        <v>46262</v>
      </c>
      <c r="B1211" s="1" t="s">
        <v>36</v>
      </c>
      <c r="C1211" s="1" t="s">
        <v>87</v>
      </c>
      <c r="D1211" s="7">
        <v>7000</v>
      </c>
      <c r="E1211" s="7">
        <v>7200</v>
      </c>
      <c r="F1211" s="7"/>
      <c r="G1211" s="7">
        <f>'Option source'!B264</f>
        <v>438.78</v>
      </c>
      <c r="H1211" s="7">
        <f>'Option source'!B283</f>
        <v>358.14</v>
      </c>
      <c r="I1211" s="7"/>
      <c r="J1211" s="7">
        <f t="shared" si="126"/>
        <v>-277.5</v>
      </c>
      <c r="K1211" s="7">
        <f t="shared" si="127"/>
        <v>200</v>
      </c>
      <c r="L1211" s="7">
        <f t="shared" si="128"/>
        <v>477.5</v>
      </c>
      <c r="M1211" s="7" t="str">
        <f t="shared" si="129"/>
        <v>Unlimited</v>
      </c>
      <c r="N1211" s="7" t="str">
        <f t="shared" si="130"/>
        <v>n.a.</v>
      </c>
      <c r="O1211" s="7">
        <f t="shared" si="131"/>
        <v>7677.5</v>
      </c>
      <c r="P1211" s="15" t="str">
        <f t="shared" si="132"/>
        <v>n.a.</v>
      </c>
      <c r="Q1211" s="7">
        <f>J1211*'Model inputs'!$B$8</f>
        <v>-27750</v>
      </c>
      <c r="R1211" s="1" t="s">
        <v>162</v>
      </c>
      <c r="S1211" s="1">
        <v>259</v>
      </c>
      <c r="T1211" s="1">
        <v>278</v>
      </c>
    </row>
    <row r="1212" spans="1:20" ht="21" customHeight="1">
      <c r="A1212" s="8">
        <v>46262</v>
      </c>
      <c r="B1212" s="1" t="s">
        <v>36</v>
      </c>
      <c r="C1212" s="1" t="s">
        <v>87</v>
      </c>
      <c r="D1212" s="7">
        <v>6200</v>
      </c>
      <c r="E1212" s="7">
        <v>6400</v>
      </c>
      <c r="F1212" s="7"/>
      <c r="G1212" s="7">
        <f>'Option source'!B188</f>
        <v>870</v>
      </c>
      <c r="H1212" s="7">
        <f>'Option source'!B207</f>
        <v>775</v>
      </c>
      <c r="I1212" s="7"/>
      <c r="J1212" s="7">
        <f t="shared" si="126"/>
        <v>-680</v>
      </c>
      <c r="K1212" s="7">
        <f t="shared" si="127"/>
        <v>200</v>
      </c>
      <c r="L1212" s="7">
        <f t="shared" si="128"/>
        <v>880</v>
      </c>
      <c r="M1212" s="7" t="str">
        <f t="shared" si="129"/>
        <v>Unlimited</v>
      </c>
      <c r="N1212" s="7" t="str">
        <f t="shared" si="130"/>
        <v>n.a.</v>
      </c>
      <c r="O1212" s="7">
        <f t="shared" si="131"/>
        <v>7280</v>
      </c>
      <c r="P1212" s="15" t="str">
        <f t="shared" si="132"/>
        <v>n.a.</v>
      </c>
      <c r="Q1212" s="7">
        <f>J1212*'Model inputs'!$B$8</f>
        <v>-68000</v>
      </c>
      <c r="R1212" s="1" t="s">
        <v>162</v>
      </c>
      <c r="S1212" s="1">
        <v>183</v>
      </c>
      <c r="T1212" s="1">
        <v>202</v>
      </c>
    </row>
    <row r="1213" spans="1:20" ht="21" customHeight="1">
      <c r="A1213" s="8">
        <v>46262</v>
      </c>
      <c r="B1213" s="1" t="s">
        <v>36</v>
      </c>
      <c r="C1213" s="1" t="s">
        <v>90</v>
      </c>
      <c r="D1213" s="7">
        <v>6600</v>
      </c>
      <c r="E1213" s="7">
        <v>6400</v>
      </c>
      <c r="F1213" s="7"/>
      <c r="G1213" s="7">
        <f>'Option source'!B720</f>
        <v>249.3</v>
      </c>
      <c r="H1213" s="7">
        <f>'Option source'!B701</f>
        <v>179.89</v>
      </c>
      <c r="I1213" s="7"/>
      <c r="J1213" s="7">
        <f t="shared" si="126"/>
        <v>-110.47999999999996</v>
      </c>
      <c r="K1213" s="7">
        <f t="shared" si="127"/>
        <v>200</v>
      </c>
      <c r="L1213" s="7">
        <f t="shared" si="128"/>
        <v>310.47999999999996</v>
      </c>
      <c r="M1213" s="7">
        <f t="shared" si="129"/>
        <v>6089.52</v>
      </c>
      <c r="N1213" s="7">
        <f t="shared" si="130"/>
        <v>6089.52</v>
      </c>
      <c r="O1213" s="7" t="str">
        <f t="shared" si="131"/>
        <v>n.a.</v>
      </c>
      <c r="P1213" s="15" t="str">
        <f t="shared" si="132"/>
        <v>n.a.</v>
      </c>
      <c r="Q1213" s="7">
        <f>J1213*'Model inputs'!$B$8</f>
        <v>-11047.999999999996</v>
      </c>
      <c r="R1213" s="1" t="s">
        <v>162</v>
      </c>
      <c r="S1213" s="1">
        <v>715</v>
      </c>
      <c r="T1213" s="1">
        <v>696</v>
      </c>
    </row>
    <row r="1214" spans="1:20" ht="21" customHeight="1">
      <c r="A1214" s="8">
        <v>46262</v>
      </c>
      <c r="B1214" s="1" t="s">
        <v>36</v>
      </c>
      <c r="C1214" s="1" t="s">
        <v>87</v>
      </c>
      <c r="D1214" s="7">
        <v>7200</v>
      </c>
      <c r="E1214" s="7">
        <v>7400</v>
      </c>
      <c r="F1214" s="7"/>
      <c r="G1214" s="7">
        <f>'Option source'!B283</f>
        <v>358.14</v>
      </c>
      <c r="H1214" s="7">
        <f>'Option source'!B302</f>
        <v>280.61</v>
      </c>
      <c r="I1214" s="7"/>
      <c r="J1214" s="7">
        <f t="shared" si="126"/>
        <v>-203.08000000000004</v>
      </c>
      <c r="K1214" s="7">
        <f t="shared" si="127"/>
        <v>200</v>
      </c>
      <c r="L1214" s="7">
        <f t="shared" si="128"/>
        <v>403.08000000000004</v>
      </c>
      <c r="M1214" s="7" t="str">
        <f t="shared" si="129"/>
        <v>Unlimited</v>
      </c>
      <c r="N1214" s="7" t="str">
        <f t="shared" si="130"/>
        <v>n.a.</v>
      </c>
      <c r="O1214" s="7">
        <f t="shared" si="131"/>
        <v>7803.08</v>
      </c>
      <c r="P1214" s="15" t="str">
        <f t="shared" si="132"/>
        <v>n.a.</v>
      </c>
      <c r="Q1214" s="7">
        <f>J1214*'Model inputs'!$B$8</f>
        <v>-20308.000000000004</v>
      </c>
      <c r="R1214" s="1" t="s">
        <v>162</v>
      </c>
      <c r="S1214" s="1">
        <v>278</v>
      </c>
      <c r="T1214" s="1">
        <v>297</v>
      </c>
    </row>
    <row r="1215" spans="1:20" ht="21" customHeight="1">
      <c r="A1215" s="8">
        <v>46262</v>
      </c>
      <c r="B1215" s="1" t="s">
        <v>36</v>
      </c>
      <c r="C1215" s="1" t="s">
        <v>90</v>
      </c>
      <c r="D1215" s="7">
        <v>6400</v>
      </c>
      <c r="E1215" s="7">
        <v>6200</v>
      </c>
      <c r="F1215" s="7"/>
      <c r="G1215" s="7">
        <f>'Option source'!B701</f>
        <v>179.89</v>
      </c>
      <c r="H1215" s="7">
        <f>'Option source'!B682</f>
        <v>125.54</v>
      </c>
      <c r="I1215" s="7"/>
      <c r="J1215" s="7">
        <f t="shared" si="126"/>
        <v>-71.190000000000026</v>
      </c>
      <c r="K1215" s="7">
        <f t="shared" si="127"/>
        <v>200</v>
      </c>
      <c r="L1215" s="7">
        <f t="shared" si="128"/>
        <v>271.19000000000005</v>
      </c>
      <c r="M1215" s="7">
        <f t="shared" si="129"/>
        <v>5928.81</v>
      </c>
      <c r="N1215" s="7">
        <f t="shared" si="130"/>
        <v>5928.81</v>
      </c>
      <c r="O1215" s="7" t="str">
        <f t="shared" si="131"/>
        <v>n.a.</v>
      </c>
      <c r="P1215" s="15" t="str">
        <f t="shared" si="132"/>
        <v>n.a.</v>
      </c>
      <c r="Q1215" s="7">
        <f>J1215*'Model inputs'!$B$8</f>
        <v>-7119.0000000000027</v>
      </c>
      <c r="R1215" s="1" t="s">
        <v>162</v>
      </c>
      <c r="S1215" s="1">
        <v>696</v>
      </c>
      <c r="T1215" s="1">
        <v>677</v>
      </c>
    </row>
    <row r="1216" spans="1:20" ht="21" customHeight="1">
      <c r="A1216" s="8">
        <v>46262</v>
      </c>
      <c r="B1216" s="1" t="s">
        <v>36</v>
      </c>
      <c r="C1216" s="1" t="s">
        <v>87</v>
      </c>
      <c r="D1216" s="7">
        <v>7400</v>
      </c>
      <c r="E1216" s="7">
        <v>7600</v>
      </c>
      <c r="F1216" s="7"/>
      <c r="G1216" s="7">
        <f>'Option source'!B302</f>
        <v>280.61</v>
      </c>
      <c r="H1216" s="7">
        <f>'Option source'!B321</f>
        <v>220.2</v>
      </c>
      <c r="I1216" s="7"/>
      <c r="J1216" s="7">
        <f t="shared" si="126"/>
        <v>-159.78999999999996</v>
      </c>
      <c r="K1216" s="7">
        <f t="shared" si="127"/>
        <v>200</v>
      </c>
      <c r="L1216" s="7">
        <f t="shared" si="128"/>
        <v>359.78999999999996</v>
      </c>
      <c r="M1216" s="7" t="str">
        <f t="shared" si="129"/>
        <v>Unlimited</v>
      </c>
      <c r="N1216" s="7" t="str">
        <f t="shared" si="130"/>
        <v>n.a.</v>
      </c>
      <c r="O1216" s="7">
        <f t="shared" si="131"/>
        <v>7959.79</v>
      </c>
      <c r="P1216" s="15" t="str">
        <f t="shared" si="132"/>
        <v>n.a.</v>
      </c>
      <c r="Q1216" s="7">
        <f>J1216*'Model inputs'!$B$8</f>
        <v>-15978.999999999996</v>
      </c>
      <c r="R1216" s="1" t="s">
        <v>162</v>
      </c>
      <c r="S1216" s="1">
        <v>297</v>
      </c>
      <c r="T1216" s="1">
        <v>316</v>
      </c>
    </row>
    <row r="1217" spans="1:20" ht="21" customHeight="1">
      <c r="A1217" s="8">
        <v>46262</v>
      </c>
      <c r="B1217" s="1" t="s">
        <v>36</v>
      </c>
      <c r="C1217" s="1" t="s">
        <v>90</v>
      </c>
      <c r="D1217" s="7">
        <v>6200</v>
      </c>
      <c r="E1217" s="7">
        <v>6000</v>
      </c>
      <c r="F1217" s="7"/>
      <c r="G1217" s="7">
        <f>'Option source'!B682</f>
        <v>125.54</v>
      </c>
      <c r="H1217" s="7">
        <f>'Option source'!B663</f>
        <v>83.64</v>
      </c>
      <c r="I1217" s="7"/>
      <c r="J1217" s="7">
        <f t="shared" si="126"/>
        <v>-41.739999999999995</v>
      </c>
      <c r="K1217" s="7">
        <f t="shared" si="127"/>
        <v>200</v>
      </c>
      <c r="L1217" s="7">
        <f t="shared" si="128"/>
        <v>241.74</v>
      </c>
      <c r="M1217" s="7">
        <f t="shared" si="129"/>
        <v>5758.26</v>
      </c>
      <c r="N1217" s="7">
        <f t="shared" si="130"/>
        <v>5758.26</v>
      </c>
      <c r="O1217" s="7" t="str">
        <f t="shared" si="131"/>
        <v>n.a.</v>
      </c>
      <c r="P1217" s="15" t="str">
        <f t="shared" si="132"/>
        <v>n.a.</v>
      </c>
      <c r="Q1217" s="7">
        <f>J1217*'Model inputs'!$B$8</f>
        <v>-4173.9999999999991</v>
      </c>
      <c r="R1217" s="1" t="s">
        <v>162</v>
      </c>
      <c r="S1217" s="1">
        <v>677</v>
      </c>
      <c r="T1217" s="1">
        <v>658</v>
      </c>
    </row>
    <row r="1218" spans="1:20" ht="21" customHeight="1">
      <c r="A1218" s="8">
        <v>46262</v>
      </c>
      <c r="B1218" s="1" t="s">
        <v>36</v>
      </c>
      <c r="C1218" s="1" t="s">
        <v>87</v>
      </c>
      <c r="D1218" s="7">
        <v>7600</v>
      </c>
      <c r="E1218" s="7">
        <v>7800</v>
      </c>
      <c r="F1218" s="7"/>
      <c r="G1218" s="7">
        <f>'Option source'!B321</f>
        <v>220.2</v>
      </c>
      <c r="H1218" s="7">
        <f>'Option source'!B340</f>
        <v>169.15</v>
      </c>
      <c r="I1218" s="7"/>
      <c r="J1218" s="7">
        <f t="shared" si="126"/>
        <v>-118.10000000000002</v>
      </c>
      <c r="K1218" s="7">
        <f t="shared" si="127"/>
        <v>200</v>
      </c>
      <c r="L1218" s="7">
        <f t="shared" si="128"/>
        <v>318.10000000000002</v>
      </c>
      <c r="M1218" s="7" t="str">
        <f t="shared" si="129"/>
        <v>Unlimited</v>
      </c>
      <c r="N1218" s="7" t="str">
        <f t="shared" si="130"/>
        <v>n.a.</v>
      </c>
      <c r="O1218" s="7">
        <f t="shared" si="131"/>
        <v>8118.1</v>
      </c>
      <c r="P1218" s="15" t="str">
        <f t="shared" si="132"/>
        <v>n.a.</v>
      </c>
      <c r="Q1218" s="7">
        <f>J1218*'Model inputs'!$B$8</f>
        <v>-11810.000000000002</v>
      </c>
      <c r="R1218" s="1" t="s">
        <v>162</v>
      </c>
      <c r="S1218" s="1">
        <v>316</v>
      </c>
      <c r="T1218" s="1">
        <v>335</v>
      </c>
    </row>
    <row r="1219" spans="1:20" ht="21" customHeight="1">
      <c r="A1219" s="8">
        <v>46262</v>
      </c>
      <c r="B1219" s="1" t="s">
        <v>36</v>
      </c>
      <c r="C1219" s="1" t="s">
        <v>90</v>
      </c>
      <c r="D1219" s="7">
        <v>6000</v>
      </c>
      <c r="E1219" s="7">
        <v>5800</v>
      </c>
      <c r="F1219" s="7"/>
      <c r="G1219" s="7">
        <f>'Option source'!B663</f>
        <v>83.64</v>
      </c>
      <c r="H1219" s="7">
        <f>'Option source'!B644</f>
        <v>52.04</v>
      </c>
      <c r="I1219" s="7"/>
      <c r="J1219" s="7">
        <f t="shared" si="126"/>
        <v>-20.439999999999998</v>
      </c>
      <c r="K1219" s="7">
        <f t="shared" si="127"/>
        <v>200</v>
      </c>
      <c r="L1219" s="7">
        <f t="shared" si="128"/>
        <v>220.44</v>
      </c>
      <c r="M1219" s="7">
        <f t="shared" si="129"/>
        <v>5579.56</v>
      </c>
      <c r="N1219" s="7">
        <f t="shared" si="130"/>
        <v>5579.56</v>
      </c>
      <c r="O1219" s="7" t="str">
        <f t="shared" si="131"/>
        <v>n.a.</v>
      </c>
      <c r="P1219" s="15" t="str">
        <f t="shared" si="132"/>
        <v>n.a.</v>
      </c>
      <c r="Q1219" s="7">
        <f>J1219*'Model inputs'!$B$8</f>
        <v>-2043.9999999999998</v>
      </c>
      <c r="R1219" s="1" t="s">
        <v>162</v>
      </c>
      <c r="S1219" s="1">
        <v>658</v>
      </c>
      <c r="T1219" s="1">
        <v>639</v>
      </c>
    </row>
    <row r="1220" spans="1:20" ht="21" customHeight="1">
      <c r="A1220" s="8">
        <v>46262</v>
      </c>
      <c r="B1220" s="1" t="s">
        <v>36</v>
      </c>
      <c r="C1220" s="1" t="s">
        <v>87</v>
      </c>
      <c r="D1220" s="7">
        <v>7800</v>
      </c>
      <c r="E1220" s="7">
        <v>8000</v>
      </c>
      <c r="F1220" s="7"/>
      <c r="G1220" s="7">
        <f>'Option source'!B340</f>
        <v>169.15</v>
      </c>
      <c r="H1220" s="7">
        <f>'Option source'!B359</f>
        <v>129.19</v>
      </c>
      <c r="I1220" s="7"/>
      <c r="J1220" s="7">
        <f t="shared" si="126"/>
        <v>-89.22999999999999</v>
      </c>
      <c r="K1220" s="7">
        <f t="shared" si="127"/>
        <v>200</v>
      </c>
      <c r="L1220" s="7">
        <f t="shared" si="128"/>
        <v>289.23</v>
      </c>
      <c r="M1220" s="7" t="str">
        <f t="shared" si="129"/>
        <v>Unlimited</v>
      </c>
      <c r="N1220" s="7" t="str">
        <f t="shared" si="130"/>
        <v>n.a.</v>
      </c>
      <c r="O1220" s="7">
        <f t="shared" si="131"/>
        <v>8289.23</v>
      </c>
      <c r="P1220" s="15" t="str">
        <f t="shared" si="132"/>
        <v>n.a.</v>
      </c>
      <c r="Q1220" s="7">
        <f>J1220*'Model inputs'!$B$8</f>
        <v>-8922.9999999999982</v>
      </c>
      <c r="R1220" s="1" t="s">
        <v>162</v>
      </c>
      <c r="S1220" s="1">
        <v>335</v>
      </c>
      <c r="T1220" s="1">
        <v>354</v>
      </c>
    </row>
    <row r="1221" spans="1:20" ht="21" customHeight="1">
      <c r="A1221" s="8">
        <v>46262</v>
      </c>
      <c r="B1221" s="1" t="s">
        <v>36</v>
      </c>
      <c r="C1221" s="1" t="s">
        <v>90</v>
      </c>
      <c r="D1221" s="7">
        <v>5800</v>
      </c>
      <c r="E1221" s="7">
        <v>5600</v>
      </c>
      <c r="F1221" s="7"/>
      <c r="G1221" s="7">
        <f>'Option source'!B644</f>
        <v>52.04</v>
      </c>
      <c r="H1221" s="7">
        <f>'Option source'!B625</f>
        <v>32.76</v>
      </c>
      <c r="I1221" s="7"/>
      <c r="J1221" s="7">
        <f t="shared" si="126"/>
        <v>-13.479999999999997</v>
      </c>
      <c r="K1221" s="7">
        <f t="shared" si="127"/>
        <v>200</v>
      </c>
      <c r="L1221" s="7">
        <f t="shared" si="128"/>
        <v>213.48</v>
      </c>
      <c r="M1221" s="7">
        <f t="shared" si="129"/>
        <v>5386.52</v>
      </c>
      <c r="N1221" s="7">
        <f t="shared" si="130"/>
        <v>5386.52</v>
      </c>
      <c r="O1221" s="7" t="str">
        <f t="shared" si="131"/>
        <v>n.a.</v>
      </c>
      <c r="P1221" s="15" t="str">
        <f t="shared" si="132"/>
        <v>n.a.</v>
      </c>
      <c r="Q1221" s="7">
        <f>J1221*'Model inputs'!$B$8</f>
        <v>-1347.9999999999998</v>
      </c>
      <c r="R1221" s="1" t="s">
        <v>162</v>
      </c>
      <c r="S1221" s="1">
        <v>639</v>
      </c>
      <c r="T1221" s="1">
        <v>620</v>
      </c>
    </row>
    <row r="1222" spans="1:20" ht="21" customHeight="1">
      <c r="A1222" s="8">
        <v>46262</v>
      </c>
      <c r="B1222" s="1" t="s">
        <v>36</v>
      </c>
      <c r="C1222" s="1" t="s">
        <v>90</v>
      </c>
      <c r="D1222" s="7">
        <v>5600</v>
      </c>
      <c r="E1222" s="7">
        <v>5400</v>
      </c>
      <c r="F1222" s="7"/>
      <c r="G1222" s="7">
        <f>'Option source'!B625</f>
        <v>32.76</v>
      </c>
      <c r="H1222" s="7">
        <f>'Option source'!B606</f>
        <v>18.399999999999999</v>
      </c>
      <c r="I1222" s="7"/>
      <c r="J1222" s="7">
        <f t="shared" si="126"/>
        <v>-4.0399999999999991</v>
      </c>
      <c r="K1222" s="7">
        <f t="shared" si="127"/>
        <v>200</v>
      </c>
      <c r="L1222" s="7">
        <f t="shared" si="128"/>
        <v>204.04</v>
      </c>
      <c r="M1222" s="7">
        <f t="shared" si="129"/>
        <v>5195.96</v>
      </c>
      <c r="N1222" s="7">
        <f t="shared" si="130"/>
        <v>5195.96</v>
      </c>
      <c r="O1222" s="7" t="str">
        <f t="shared" si="131"/>
        <v>n.a.</v>
      </c>
      <c r="P1222" s="15" t="str">
        <f t="shared" si="132"/>
        <v>n.a.</v>
      </c>
      <c r="Q1222" s="7">
        <f>J1222*'Model inputs'!$B$8</f>
        <v>-403.99999999999989</v>
      </c>
      <c r="R1222" s="1" t="s">
        <v>162</v>
      </c>
      <c r="S1222" s="1">
        <v>620</v>
      </c>
      <c r="T1222" s="1">
        <v>601</v>
      </c>
    </row>
    <row r="1223" spans="1:20" ht="21" customHeight="1">
      <c r="A1223" s="8">
        <v>46262</v>
      </c>
      <c r="B1223" s="1" t="s">
        <v>36</v>
      </c>
      <c r="C1223" s="1" t="s">
        <v>87</v>
      </c>
      <c r="D1223" s="7">
        <v>8000</v>
      </c>
      <c r="E1223" s="7">
        <v>8300</v>
      </c>
      <c r="F1223" s="7"/>
      <c r="G1223" s="7">
        <f>'Option source'!B359</f>
        <v>129.19</v>
      </c>
      <c r="H1223" s="7">
        <f>'Option source'!B378</f>
        <v>86.22</v>
      </c>
      <c r="I1223" s="7"/>
      <c r="J1223" s="7">
        <f t="shared" ref="J1223:J1286" si="133">G1223-2*H1223+IF(B1223="Butterfly",I1223,0)</f>
        <v>-43.25</v>
      </c>
      <c r="K1223" s="7">
        <f t="shared" ref="K1223:K1286" si="134">ABS(E1223-D1223)</f>
        <v>300</v>
      </c>
      <c r="L1223" s="7">
        <f t="shared" ref="L1223:L1286" si="135">K1223-J1223</f>
        <v>343.25</v>
      </c>
      <c r="M1223" s="7" t="str">
        <f t="shared" ref="M1223:M1286" si="136">IF(B1223="Butterfly",MAX(J1223,0),IF(C1223="call","Unlimited",MAX(2*E1223-D1223+J1223,J1223,0)))</f>
        <v>Unlimited</v>
      </c>
      <c r="N1223" s="7" t="str">
        <f t="shared" ref="N1223:N1286" si="137">IF(B1223="Butterfly",IF(AND(J1223&gt;0,J1223&lt;K1223),D1223+J1223,"n.a."),IF(C1223="call",IF(AND(J1223&gt;0,J1223&lt;K1223),D1223+J1223,"n.a."),IF(AND(K1223&gt;J1223,2*E1223-D1223+J1223&gt;=0),2*E1223-D1223+J1223,"n.a.")))</f>
        <v>n.a.</v>
      </c>
      <c r="O1223" s="7">
        <f t="shared" ref="O1223:O1286" si="138">IF(B1223="Butterfly",IF(AND(J1223&gt;0,J1223&lt;K1223),F1223-J1223,"n.a."),IF(C1223="call",IF(K1223&gt;J1223,2*E1223-D1223-J1223,"n.a."),IF(AND(J1223&gt;0,J1223&lt;K1223),D1223-J1223,"n.a.")))</f>
        <v>8643.25</v>
      </c>
      <c r="P1223" s="15" t="str">
        <f t="shared" ref="P1223:P1286" si="139">IF(AND(B1223="Butterfly",J1223&gt;0,J1223&lt;K1223),L1223/J1223,"n.a.")</f>
        <v>n.a.</v>
      </c>
      <c r="Q1223" s="7">
        <f>J1223*'Model inputs'!$B$8</f>
        <v>-4325</v>
      </c>
      <c r="R1223" s="1" t="s">
        <v>162</v>
      </c>
      <c r="S1223" s="1">
        <v>354</v>
      </c>
      <c r="T1223" s="1">
        <v>373</v>
      </c>
    </row>
    <row r="1224" spans="1:20" ht="21" customHeight="1">
      <c r="A1224" s="8">
        <v>46262</v>
      </c>
      <c r="B1224" s="1" t="s">
        <v>36</v>
      </c>
      <c r="C1224" s="1" t="s">
        <v>90</v>
      </c>
      <c r="D1224" s="7">
        <v>5400</v>
      </c>
      <c r="E1224" s="7">
        <v>5200</v>
      </c>
      <c r="F1224" s="7"/>
      <c r="G1224" s="7">
        <f>'Option source'!B606</f>
        <v>18.399999999999999</v>
      </c>
      <c r="H1224" s="7">
        <f>'Option source'!B587</f>
        <v>11.53</v>
      </c>
      <c r="I1224" s="7"/>
      <c r="J1224" s="7">
        <f t="shared" si="133"/>
        <v>-4.66</v>
      </c>
      <c r="K1224" s="7">
        <f t="shared" si="134"/>
        <v>200</v>
      </c>
      <c r="L1224" s="7">
        <f t="shared" si="135"/>
        <v>204.66</v>
      </c>
      <c r="M1224" s="7">
        <f t="shared" si="136"/>
        <v>4995.34</v>
      </c>
      <c r="N1224" s="7">
        <f t="shared" si="137"/>
        <v>4995.34</v>
      </c>
      <c r="O1224" s="7" t="str">
        <f t="shared" si="138"/>
        <v>n.a.</v>
      </c>
      <c r="P1224" s="15" t="str">
        <f t="shared" si="139"/>
        <v>n.a.</v>
      </c>
      <c r="Q1224" s="7">
        <f>J1224*'Model inputs'!$B$8</f>
        <v>-466</v>
      </c>
      <c r="R1224" s="1" t="s">
        <v>162</v>
      </c>
      <c r="S1224" s="1">
        <v>601</v>
      </c>
      <c r="T1224" s="1">
        <v>582</v>
      </c>
    </row>
    <row r="1225" spans="1:20" ht="21" customHeight="1">
      <c r="A1225" s="8">
        <v>46262</v>
      </c>
      <c r="B1225" s="1" t="s">
        <v>36</v>
      </c>
      <c r="C1225" s="1" t="s">
        <v>87</v>
      </c>
      <c r="D1225" s="7">
        <v>8300</v>
      </c>
      <c r="E1225" s="7">
        <v>8600</v>
      </c>
      <c r="F1225" s="7"/>
      <c r="G1225" s="7">
        <f>'Option source'!B378</f>
        <v>86.22</v>
      </c>
      <c r="H1225" s="7">
        <f>'Option source'!B397</f>
        <v>55.3</v>
      </c>
      <c r="I1225" s="7"/>
      <c r="J1225" s="7">
        <f t="shared" si="133"/>
        <v>-24.379999999999995</v>
      </c>
      <c r="K1225" s="7">
        <f t="shared" si="134"/>
        <v>300</v>
      </c>
      <c r="L1225" s="7">
        <f t="shared" si="135"/>
        <v>324.38</v>
      </c>
      <c r="M1225" s="7" t="str">
        <f t="shared" si="136"/>
        <v>Unlimited</v>
      </c>
      <c r="N1225" s="7" t="str">
        <f t="shared" si="137"/>
        <v>n.a.</v>
      </c>
      <c r="O1225" s="7">
        <f t="shared" si="138"/>
        <v>8924.3799999999992</v>
      </c>
      <c r="P1225" s="15" t="str">
        <f t="shared" si="139"/>
        <v>n.a.</v>
      </c>
      <c r="Q1225" s="7">
        <f>J1225*'Model inputs'!$B$8</f>
        <v>-2437.9999999999995</v>
      </c>
      <c r="R1225" s="1" t="s">
        <v>162</v>
      </c>
      <c r="S1225" s="1">
        <v>373</v>
      </c>
      <c r="T1225" s="1">
        <v>392</v>
      </c>
    </row>
    <row r="1226" spans="1:20" ht="21" customHeight="1">
      <c r="A1226" s="8">
        <v>46262</v>
      </c>
      <c r="B1226" s="1" t="s">
        <v>36</v>
      </c>
      <c r="C1226" s="1" t="s">
        <v>90</v>
      </c>
      <c r="D1226" s="7">
        <v>5200</v>
      </c>
      <c r="E1226" s="7">
        <v>5000</v>
      </c>
      <c r="F1226" s="7"/>
      <c r="G1226" s="7">
        <f>'Option source'!B587</f>
        <v>11.53</v>
      </c>
      <c r="H1226" s="7">
        <f>'Option source'!B568</f>
        <v>6.09</v>
      </c>
      <c r="I1226" s="7"/>
      <c r="J1226" s="7">
        <f t="shared" si="133"/>
        <v>-0.65000000000000036</v>
      </c>
      <c r="K1226" s="7">
        <f t="shared" si="134"/>
        <v>200</v>
      </c>
      <c r="L1226" s="7">
        <f t="shared" si="135"/>
        <v>200.65</v>
      </c>
      <c r="M1226" s="7">
        <f t="shared" si="136"/>
        <v>4799.3500000000004</v>
      </c>
      <c r="N1226" s="7">
        <f t="shared" si="137"/>
        <v>4799.3500000000004</v>
      </c>
      <c r="O1226" s="7" t="str">
        <f t="shared" si="138"/>
        <v>n.a.</v>
      </c>
      <c r="P1226" s="15" t="str">
        <f t="shared" si="139"/>
        <v>n.a.</v>
      </c>
      <c r="Q1226" s="7">
        <f>J1226*'Model inputs'!$B$8</f>
        <v>-65.000000000000028</v>
      </c>
      <c r="R1226" s="1" t="s">
        <v>162</v>
      </c>
      <c r="S1226" s="1">
        <v>582</v>
      </c>
      <c r="T1226" s="1">
        <v>563</v>
      </c>
    </row>
    <row r="1227" spans="1:20" ht="21" customHeight="1">
      <c r="A1227" s="8">
        <v>46262</v>
      </c>
      <c r="B1227" s="1" t="s">
        <v>36</v>
      </c>
      <c r="C1227" s="1" t="s">
        <v>90</v>
      </c>
      <c r="D1227" s="7">
        <v>5000</v>
      </c>
      <c r="E1227" s="7">
        <v>4800</v>
      </c>
      <c r="F1227" s="7"/>
      <c r="G1227" s="7">
        <f>'Option source'!B568</f>
        <v>6.09</v>
      </c>
      <c r="H1227" s="7">
        <f>'Option source'!B549</f>
        <v>4.38</v>
      </c>
      <c r="I1227" s="7"/>
      <c r="J1227" s="7">
        <f t="shared" si="133"/>
        <v>-2.67</v>
      </c>
      <c r="K1227" s="7">
        <f t="shared" si="134"/>
        <v>200</v>
      </c>
      <c r="L1227" s="7">
        <f t="shared" si="135"/>
        <v>202.67</v>
      </c>
      <c r="M1227" s="7">
        <f t="shared" si="136"/>
        <v>4597.33</v>
      </c>
      <c r="N1227" s="7">
        <f t="shared" si="137"/>
        <v>4597.33</v>
      </c>
      <c r="O1227" s="7" t="str">
        <f t="shared" si="138"/>
        <v>n.a.</v>
      </c>
      <c r="P1227" s="15" t="str">
        <f t="shared" si="139"/>
        <v>n.a.</v>
      </c>
      <c r="Q1227" s="7">
        <f>J1227*'Model inputs'!$B$8</f>
        <v>-267</v>
      </c>
      <c r="R1227" s="1" t="s">
        <v>162</v>
      </c>
      <c r="S1227" s="1">
        <v>563</v>
      </c>
      <c r="T1227" s="1">
        <v>544</v>
      </c>
    </row>
    <row r="1228" spans="1:20" ht="21" customHeight="1">
      <c r="A1228" s="8">
        <v>46262</v>
      </c>
      <c r="B1228" s="1" t="s">
        <v>36</v>
      </c>
      <c r="C1228" s="1" t="s">
        <v>87</v>
      </c>
      <c r="D1228" s="7">
        <v>8600</v>
      </c>
      <c r="E1228" s="7">
        <v>8900</v>
      </c>
      <c r="F1228" s="7"/>
      <c r="G1228" s="7">
        <f>'Option source'!B397</f>
        <v>55.3</v>
      </c>
      <c r="H1228" s="7">
        <f>'Option source'!B416</f>
        <v>36.229999999999997</v>
      </c>
      <c r="I1228" s="7"/>
      <c r="J1228" s="7">
        <f t="shared" si="133"/>
        <v>-17.159999999999997</v>
      </c>
      <c r="K1228" s="7">
        <f t="shared" si="134"/>
        <v>300</v>
      </c>
      <c r="L1228" s="7">
        <f t="shared" si="135"/>
        <v>317.15999999999997</v>
      </c>
      <c r="M1228" s="7" t="str">
        <f t="shared" si="136"/>
        <v>Unlimited</v>
      </c>
      <c r="N1228" s="7" t="str">
        <f t="shared" si="137"/>
        <v>n.a.</v>
      </c>
      <c r="O1228" s="7">
        <f t="shared" si="138"/>
        <v>9217.16</v>
      </c>
      <c r="P1228" s="15" t="str">
        <f t="shared" si="139"/>
        <v>n.a.</v>
      </c>
      <c r="Q1228" s="7">
        <f>J1228*'Model inputs'!$B$8</f>
        <v>-1715.9999999999995</v>
      </c>
      <c r="R1228" s="1" t="s">
        <v>162</v>
      </c>
      <c r="S1228" s="1">
        <v>392</v>
      </c>
      <c r="T1228" s="1">
        <v>411</v>
      </c>
    </row>
    <row r="1229" spans="1:20" ht="21" customHeight="1">
      <c r="A1229" s="8">
        <v>46262</v>
      </c>
      <c r="B1229" s="1" t="s">
        <v>36</v>
      </c>
      <c r="C1229" s="1" t="s">
        <v>90</v>
      </c>
      <c r="D1229" s="7">
        <v>4800</v>
      </c>
      <c r="E1229" s="7">
        <v>4600</v>
      </c>
      <c r="F1229" s="7"/>
      <c r="G1229" s="7">
        <f>'Option source'!B549</f>
        <v>4.38</v>
      </c>
      <c r="H1229" s="7">
        <f>'Option source'!B530</f>
        <v>3.3</v>
      </c>
      <c r="I1229" s="7"/>
      <c r="J1229" s="7">
        <f t="shared" si="133"/>
        <v>-2.2199999999999998</v>
      </c>
      <c r="K1229" s="7">
        <f t="shared" si="134"/>
        <v>200</v>
      </c>
      <c r="L1229" s="7">
        <f t="shared" si="135"/>
        <v>202.22</v>
      </c>
      <c r="M1229" s="7">
        <f t="shared" si="136"/>
        <v>4397.78</v>
      </c>
      <c r="N1229" s="7">
        <f t="shared" si="137"/>
        <v>4397.78</v>
      </c>
      <c r="O1229" s="7" t="str">
        <f t="shared" si="138"/>
        <v>n.a.</v>
      </c>
      <c r="P1229" s="15" t="str">
        <f t="shared" si="139"/>
        <v>n.a.</v>
      </c>
      <c r="Q1229" s="7">
        <f>J1229*'Model inputs'!$B$8</f>
        <v>-221.99999999999997</v>
      </c>
      <c r="R1229" s="1" t="s">
        <v>162</v>
      </c>
      <c r="S1229" s="1">
        <v>544</v>
      </c>
      <c r="T1229" s="1">
        <v>525</v>
      </c>
    </row>
    <row r="1230" spans="1:20" ht="21" customHeight="1">
      <c r="A1230" s="8">
        <v>46262</v>
      </c>
      <c r="B1230" s="1" t="s">
        <v>36</v>
      </c>
      <c r="C1230" s="1" t="s">
        <v>87</v>
      </c>
      <c r="D1230" s="7">
        <v>8900</v>
      </c>
      <c r="E1230" s="7">
        <v>9200</v>
      </c>
      <c r="F1230" s="7"/>
      <c r="G1230" s="7">
        <f>'Option source'!B416</f>
        <v>36.229999999999997</v>
      </c>
      <c r="H1230" s="7">
        <f>'Option source'!B435</f>
        <v>23.01</v>
      </c>
      <c r="I1230" s="7"/>
      <c r="J1230" s="7">
        <f t="shared" si="133"/>
        <v>-9.7900000000000063</v>
      </c>
      <c r="K1230" s="7">
        <f t="shared" si="134"/>
        <v>300</v>
      </c>
      <c r="L1230" s="7">
        <f t="shared" si="135"/>
        <v>309.79000000000002</v>
      </c>
      <c r="M1230" s="7" t="str">
        <f t="shared" si="136"/>
        <v>Unlimited</v>
      </c>
      <c r="N1230" s="7" t="str">
        <f t="shared" si="137"/>
        <v>n.a.</v>
      </c>
      <c r="O1230" s="7">
        <f t="shared" si="138"/>
        <v>9509.7900000000009</v>
      </c>
      <c r="P1230" s="15" t="str">
        <f t="shared" si="139"/>
        <v>n.a.</v>
      </c>
      <c r="Q1230" s="7">
        <f>J1230*'Model inputs'!$B$8</f>
        <v>-979.00000000000068</v>
      </c>
      <c r="R1230" s="1" t="s">
        <v>162</v>
      </c>
      <c r="S1230" s="1">
        <v>411</v>
      </c>
      <c r="T1230" s="1">
        <v>430</v>
      </c>
    </row>
    <row r="1231" spans="1:20" ht="21" customHeight="1">
      <c r="A1231" s="8">
        <v>46262</v>
      </c>
      <c r="B1231" s="1" t="s">
        <v>36</v>
      </c>
      <c r="C1231" s="1" t="s">
        <v>90</v>
      </c>
      <c r="D1231" s="7">
        <v>4600</v>
      </c>
      <c r="E1231" s="7">
        <v>4400</v>
      </c>
      <c r="F1231" s="7"/>
      <c r="G1231" s="7">
        <f>'Option source'!B530</f>
        <v>3.3</v>
      </c>
      <c r="H1231" s="7">
        <f>'Option source'!B511</f>
        <v>1.96</v>
      </c>
      <c r="I1231" s="7"/>
      <c r="J1231" s="7">
        <f t="shared" si="133"/>
        <v>-0.62000000000000011</v>
      </c>
      <c r="K1231" s="7">
        <f t="shared" si="134"/>
        <v>200</v>
      </c>
      <c r="L1231" s="7">
        <f t="shared" si="135"/>
        <v>200.62</v>
      </c>
      <c r="M1231" s="7">
        <f t="shared" si="136"/>
        <v>4199.38</v>
      </c>
      <c r="N1231" s="7">
        <f t="shared" si="137"/>
        <v>4199.38</v>
      </c>
      <c r="O1231" s="7" t="str">
        <f t="shared" si="138"/>
        <v>n.a.</v>
      </c>
      <c r="P1231" s="15" t="str">
        <f t="shared" si="139"/>
        <v>n.a.</v>
      </c>
      <c r="Q1231" s="7">
        <f>J1231*'Model inputs'!$B$8</f>
        <v>-62.000000000000014</v>
      </c>
      <c r="R1231" s="1" t="s">
        <v>162</v>
      </c>
      <c r="S1231" s="1">
        <v>525</v>
      </c>
      <c r="T1231" s="1">
        <v>506</v>
      </c>
    </row>
    <row r="1232" spans="1:20" ht="21" customHeight="1">
      <c r="A1232" s="8">
        <v>46262</v>
      </c>
      <c r="B1232" s="1" t="s">
        <v>36</v>
      </c>
      <c r="C1232" s="1" t="s">
        <v>90</v>
      </c>
      <c r="D1232" s="7">
        <v>4400</v>
      </c>
      <c r="E1232" s="7">
        <v>4200</v>
      </c>
      <c r="F1232" s="7"/>
      <c r="G1232" s="7">
        <f>'Option source'!B511</f>
        <v>1.96</v>
      </c>
      <c r="H1232" s="7">
        <f>'Option source'!B492</f>
        <v>1.74</v>
      </c>
      <c r="I1232" s="7"/>
      <c r="J1232" s="7">
        <f t="shared" si="133"/>
        <v>-1.52</v>
      </c>
      <c r="K1232" s="7">
        <f t="shared" si="134"/>
        <v>200</v>
      </c>
      <c r="L1232" s="7">
        <f t="shared" si="135"/>
        <v>201.52</v>
      </c>
      <c r="M1232" s="7">
        <f t="shared" si="136"/>
        <v>3998.48</v>
      </c>
      <c r="N1232" s="7">
        <f t="shared" si="137"/>
        <v>3998.48</v>
      </c>
      <c r="O1232" s="7" t="str">
        <f t="shared" si="138"/>
        <v>n.a.</v>
      </c>
      <c r="P1232" s="15" t="str">
        <f t="shared" si="139"/>
        <v>n.a.</v>
      </c>
      <c r="Q1232" s="7">
        <f>J1232*'Model inputs'!$B$8</f>
        <v>-152</v>
      </c>
      <c r="R1232" s="1" t="s">
        <v>162</v>
      </c>
      <c r="S1232" s="1">
        <v>506</v>
      </c>
      <c r="T1232" s="1">
        <v>487</v>
      </c>
    </row>
    <row r="1233" spans="1:20" ht="21" customHeight="1">
      <c r="A1233" s="8">
        <v>46262</v>
      </c>
      <c r="B1233" s="1" t="s">
        <v>36</v>
      </c>
      <c r="C1233" s="1" t="s">
        <v>87</v>
      </c>
      <c r="D1233" s="7">
        <v>9200</v>
      </c>
      <c r="E1233" s="7">
        <v>9500</v>
      </c>
      <c r="F1233" s="7"/>
      <c r="G1233" s="7">
        <f>'Option source'!B435</f>
        <v>23.01</v>
      </c>
      <c r="H1233" s="7">
        <f>'Option source'!B454</f>
        <v>15.03</v>
      </c>
      <c r="I1233" s="7"/>
      <c r="J1233" s="7">
        <f t="shared" si="133"/>
        <v>-7.0499999999999972</v>
      </c>
      <c r="K1233" s="7">
        <f t="shared" si="134"/>
        <v>300</v>
      </c>
      <c r="L1233" s="7">
        <f t="shared" si="135"/>
        <v>307.05</v>
      </c>
      <c r="M1233" s="7" t="str">
        <f t="shared" si="136"/>
        <v>Unlimited</v>
      </c>
      <c r="N1233" s="7" t="str">
        <f t="shared" si="137"/>
        <v>n.a.</v>
      </c>
      <c r="O1233" s="7">
        <f t="shared" si="138"/>
        <v>9807.0499999999993</v>
      </c>
      <c r="P1233" s="15" t="str">
        <f t="shared" si="139"/>
        <v>n.a.</v>
      </c>
      <c r="Q1233" s="7">
        <f>J1233*'Model inputs'!$B$8</f>
        <v>-704.99999999999977</v>
      </c>
      <c r="R1233" s="1" t="s">
        <v>162</v>
      </c>
      <c r="S1233" s="1">
        <v>430</v>
      </c>
      <c r="T1233" s="1">
        <v>449</v>
      </c>
    </row>
    <row r="1234" spans="1:20" ht="21" customHeight="1">
      <c r="A1234" s="8">
        <v>46262</v>
      </c>
      <c r="B1234" s="1" t="s">
        <v>36</v>
      </c>
      <c r="C1234" s="1" t="s">
        <v>87</v>
      </c>
      <c r="D1234" s="7">
        <v>9500</v>
      </c>
      <c r="E1234" s="7">
        <v>9900</v>
      </c>
      <c r="F1234" s="7"/>
      <c r="G1234" s="7">
        <f>'Option source'!B454</f>
        <v>15.03</v>
      </c>
      <c r="H1234" s="7">
        <f>'Option source'!B473</f>
        <v>10</v>
      </c>
      <c r="I1234" s="7"/>
      <c r="J1234" s="7">
        <f t="shared" si="133"/>
        <v>-4.9700000000000006</v>
      </c>
      <c r="K1234" s="7">
        <f t="shared" si="134"/>
        <v>400</v>
      </c>
      <c r="L1234" s="7">
        <f t="shared" si="135"/>
        <v>404.97</v>
      </c>
      <c r="M1234" s="7" t="str">
        <f t="shared" si="136"/>
        <v>Unlimited</v>
      </c>
      <c r="N1234" s="7" t="str">
        <f t="shared" si="137"/>
        <v>n.a.</v>
      </c>
      <c r="O1234" s="7">
        <f t="shared" si="138"/>
        <v>10304.969999999999</v>
      </c>
      <c r="P1234" s="15" t="str">
        <f t="shared" si="139"/>
        <v>n.a.</v>
      </c>
      <c r="Q1234" s="7">
        <f>J1234*'Model inputs'!$B$8</f>
        <v>-497.00000000000006</v>
      </c>
      <c r="R1234" s="1" t="s">
        <v>162</v>
      </c>
      <c r="S1234" s="1">
        <v>449</v>
      </c>
      <c r="T1234" s="1">
        <v>468</v>
      </c>
    </row>
    <row r="1235" spans="1:20" ht="21" customHeight="1">
      <c r="A1235" s="8">
        <v>46262</v>
      </c>
      <c r="B1235" s="1" t="s">
        <v>36</v>
      </c>
      <c r="C1235" s="1" t="s">
        <v>90</v>
      </c>
      <c r="D1235" s="7">
        <v>7400</v>
      </c>
      <c r="E1235" s="7">
        <v>7200</v>
      </c>
      <c r="F1235" s="7"/>
      <c r="G1235" s="7">
        <f>'Option source'!B796</f>
        <v>657.34</v>
      </c>
      <c r="H1235" s="7">
        <f>'Option source'!B777</f>
        <v>544.22</v>
      </c>
      <c r="I1235" s="7"/>
      <c r="J1235" s="7">
        <f t="shared" si="133"/>
        <v>-431.1</v>
      </c>
      <c r="K1235" s="7">
        <f t="shared" si="134"/>
        <v>200</v>
      </c>
      <c r="L1235" s="7">
        <f t="shared" si="135"/>
        <v>631.1</v>
      </c>
      <c r="M1235" s="7">
        <f t="shared" si="136"/>
        <v>6568.9</v>
      </c>
      <c r="N1235" s="7">
        <f t="shared" si="137"/>
        <v>6568.9</v>
      </c>
      <c r="O1235" s="7" t="str">
        <f t="shared" si="138"/>
        <v>n.a.</v>
      </c>
      <c r="P1235" s="15" t="str">
        <f t="shared" si="139"/>
        <v>n.a.</v>
      </c>
      <c r="Q1235" s="7">
        <f>J1235*'Model inputs'!$B$8</f>
        <v>-43110</v>
      </c>
      <c r="R1235" s="1" t="s">
        <v>164</v>
      </c>
      <c r="S1235" s="1">
        <v>791</v>
      </c>
      <c r="T1235" s="1">
        <v>772</v>
      </c>
    </row>
    <row r="1236" spans="1:20" ht="21" customHeight="1">
      <c r="A1236" s="8">
        <v>46262</v>
      </c>
      <c r="B1236" s="1" t="s">
        <v>36</v>
      </c>
      <c r="C1236" s="1" t="s">
        <v>90</v>
      </c>
      <c r="D1236" s="7">
        <v>7600</v>
      </c>
      <c r="E1236" s="7">
        <v>7400</v>
      </c>
      <c r="F1236" s="7"/>
      <c r="G1236" s="7">
        <f>'Option source'!B815</f>
        <v>811.29</v>
      </c>
      <c r="H1236" s="7">
        <f>'Option source'!B796</f>
        <v>657.34</v>
      </c>
      <c r="I1236" s="7"/>
      <c r="J1236" s="7">
        <f t="shared" si="133"/>
        <v>-503.3900000000001</v>
      </c>
      <c r="K1236" s="7">
        <f t="shared" si="134"/>
        <v>200</v>
      </c>
      <c r="L1236" s="7">
        <f t="shared" si="135"/>
        <v>703.3900000000001</v>
      </c>
      <c r="M1236" s="7">
        <f t="shared" si="136"/>
        <v>6696.61</v>
      </c>
      <c r="N1236" s="7">
        <f t="shared" si="137"/>
        <v>6696.61</v>
      </c>
      <c r="O1236" s="7" t="str">
        <f t="shared" si="138"/>
        <v>n.a.</v>
      </c>
      <c r="P1236" s="15" t="str">
        <f t="shared" si="139"/>
        <v>n.a.</v>
      </c>
      <c r="Q1236" s="7">
        <f>J1236*'Model inputs'!$B$8</f>
        <v>-50339.000000000007</v>
      </c>
      <c r="R1236" s="1" t="s">
        <v>164</v>
      </c>
      <c r="S1236" s="1">
        <v>810</v>
      </c>
      <c r="T1236" s="1">
        <v>791</v>
      </c>
    </row>
    <row r="1237" spans="1:20" ht="21" customHeight="1">
      <c r="A1237" s="8">
        <v>46262</v>
      </c>
      <c r="B1237" s="1" t="s">
        <v>36</v>
      </c>
      <c r="C1237" s="1" t="s">
        <v>87</v>
      </c>
      <c r="D1237" s="7">
        <v>6000</v>
      </c>
      <c r="E1237" s="7">
        <v>6200</v>
      </c>
      <c r="F1237" s="7"/>
      <c r="G1237" s="7">
        <f>'Option source'!B169</f>
        <v>1178.78</v>
      </c>
      <c r="H1237" s="7">
        <f>'Option source'!B188</f>
        <v>870</v>
      </c>
      <c r="I1237" s="7"/>
      <c r="J1237" s="7">
        <f t="shared" si="133"/>
        <v>-561.22</v>
      </c>
      <c r="K1237" s="7">
        <f t="shared" si="134"/>
        <v>200</v>
      </c>
      <c r="L1237" s="7">
        <f t="shared" si="135"/>
        <v>761.22</v>
      </c>
      <c r="M1237" s="7" t="str">
        <f t="shared" si="136"/>
        <v>Unlimited</v>
      </c>
      <c r="N1237" s="7" t="str">
        <f t="shared" si="137"/>
        <v>n.a.</v>
      </c>
      <c r="O1237" s="7">
        <f t="shared" si="138"/>
        <v>6961.22</v>
      </c>
      <c r="P1237" s="15" t="str">
        <f t="shared" si="139"/>
        <v>n.a.</v>
      </c>
      <c r="Q1237" s="7">
        <f>J1237*'Model inputs'!$B$8</f>
        <v>-56122</v>
      </c>
      <c r="R1237" s="1" t="s">
        <v>164</v>
      </c>
      <c r="S1237" s="1">
        <v>164</v>
      </c>
      <c r="T1237" s="1">
        <v>183</v>
      </c>
    </row>
    <row r="1238" spans="1:20" ht="21" customHeight="1">
      <c r="A1238" s="8">
        <v>46262</v>
      </c>
      <c r="B1238" s="1" t="s">
        <v>36</v>
      </c>
      <c r="C1238" s="1" t="s">
        <v>90</v>
      </c>
      <c r="D1238" s="7">
        <v>7800</v>
      </c>
      <c r="E1238" s="7">
        <v>7600</v>
      </c>
      <c r="F1238" s="7"/>
      <c r="G1238" s="7">
        <f>'Option source'!B834</f>
        <v>905</v>
      </c>
      <c r="H1238" s="7">
        <f>'Option source'!B815</f>
        <v>811.29</v>
      </c>
      <c r="I1238" s="7"/>
      <c r="J1238" s="7">
        <f t="shared" si="133"/>
        <v>-717.57999999999993</v>
      </c>
      <c r="K1238" s="7">
        <f t="shared" si="134"/>
        <v>200</v>
      </c>
      <c r="L1238" s="7">
        <f t="shared" si="135"/>
        <v>917.57999999999993</v>
      </c>
      <c r="M1238" s="7">
        <f t="shared" si="136"/>
        <v>6682.42</v>
      </c>
      <c r="N1238" s="7">
        <f t="shared" si="137"/>
        <v>6682.42</v>
      </c>
      <c r="O1238" s="7" t="str">
        <f t="shared" si="138"/>
        <v>n.a.</v>
      </c>
      <c r="P1238" s="15" t="str">
        <f t="shared" si="139"/>
        <v>n.a.</v>
      </c>
      <c r="Q1238" s="7">
        <f>J1238*'Model inputs'!$B$8</f>
        <v>-71758</v>
      </c>
      <c r="R1238" s="1" t="s">
        <v>164</v>
      </c>
      <c r="S1238" s="1">
        <v>829</v>
      </c>
      <c r="T1238" s="1">
        <v>810</v>
      </c>
    </row>
    <row r="1239" spans="1:20" ht="21" customHeight="1">
      <c r="A1239" s="8">
        <v>46262</v>
      </c>
      <c r="B1239" s="1" t="s">
        <v>36</v>
      </c>
      <c r="C1239" s="1" t="s">
        <v>87</v>
      </c>
      <c r="D1239" s="7">
        <v>5600</v>
      </c>
      <c r="E1239" s="7">
        <v>6000</v>
      </c>
      <c r="F1239" s="7"/>
      <c r="G1239" s="7">
        <f>'Option source'!B140</f>
        <v>1311.48</v>
      </c>
      <c r="H1239" s="7">
        <f>'Option source'!B169</f>
        <v>1178.78</v>
      </c>
      <c r="I1239" s="7"/>
      <c r="J1239" s="7">
        <f t="shared" si="133"/>
        <v>-1046.08</v>
      </c>
      <c r="K1239" s="7">
        <f t="shared" si="134"/>
        <v>400</v>
      </c>
      <c r="L1239" s="7">
        <f t="shared" si="135"/>
        <v>1446.08</v>
      </c>
      <c r="M1239" s="7" t="str">
        <f t="shared" si="136"/>
        <v>Unlimited</v>
      </c>
      <c r="N1239" s="7" t="str">
        <f t="shared" si="137"/>
        <v>n.a.</v>
      </c>
      <c r="O1239" s="7">
        <f t="shared" si="138"/>
        <v>7446.08</v>
      </c>
      <c r="P1239" s="15" t="str">
        <f t="shared" si="139"/>
        <v>n.a.</v>
      </c>
      <c r="Q1239" s="7">
        <f>J1239*'Model inputs'!$B$8</f>
        <v>-104608</v>
      </c>
      <c r="R1239" s="1" t="s">
        <v>164</v>
      </c>
      <c r="S1239" s="1">
        <v>135</v>
      </c>
      <c r="T1239" s="1">
        <v>164</v>
      </c>
    </row>
    <row r="1240" spans="1:20" ht="21" customHeight="1">
      <c r="A1240" s="8">
        <v>46262</v>
      </c>
      <c r="B1240" s="1" t="s">
        <v>36</v>
      </c>
      <c r="C1240" s="1" t="s">
        <v>90</v>
      </c>
      <c r="D1240" s="7">
        <v>8000</v>
      </c>
      <c r="E1240" s="7">
        <v>7800</v>
      </c>
      <c r="F1240" s="7"/>
      <c r="G1240" s="7">
        <f>'Option source'!B853</f>
        <v>1225</v>
      </c>
      <c r="H1240" s="7">
        <f>'Option source'!B834</f>
        <v>905</v>
      </c>
      <c r="I1240" s="7"/>
      <c r="J1240" s="7">
        <f t="shared" si="133"/>
        <v>-585</v>
      </c>
      <c r="K1240" s="7">
        <f t="shared" si="134"/>
        <v>200</v>
      </c>
      <c r="L1240" s="7">
        <f t="shared" si="135"/>
        <v>785</v>
      </c>
      <c r="M1240" s="7">
        <f t="shared" si="136"/>
        <v>7015</v>
      </c>
      <c r="N1240" s="7">
        <f t="shared" si="137"/>
        <v>7015</v>
      </c>
      <c r="O1240" s="7" t="str">
        <f t="shared" si="138"/>
        <v>n.a.</v>
      </c>
      <c r="P1240" s="15" t="str">
        <f t="shared" si="139"/>
        <v>n.a.</v>
      </c>
      <c r="Q1240" s="7">
        <f>J1240*'Model inputs'!$B$8</f>
        <v>-58500</v>
      </c>
      <c r="R1240" s="1" t="s">
        <v>164</v>
      </c>
      <c r="S1240" s="1">
        <v>848</v>
      </c>
      <c r="T1240" s="1">
        <v>829</v>
      </c>
    </row>
    <row r="1241" spans="1:20" ht="21" customHeight="1">
      <c r="A1241" s="8">
        <v>46262</v>
      </c>
      <c r="B1241" s="1" t="s">
        <v>36</v>
      </c>
      <c r="C1241" s="1" t="s">
        <v>90</v>
      </c>
      <c r="D1241" s="7">
        <v>8300</v>
      </c>
      <c r="E1241" s="7">
        <v>8000</v>
      </c>
      <c r="F1241" s="7"/>
      <c r="G1241" s="7">
        <f>'Option source'!B872</f>
        <v>1291.94</v>
      </c>
      <c r="H1241" s="7">
        <f>'Option source'!B853</f>
        <v>1225</v>
      </c>
      <c r="I1241" s="7"/>
      <c r="J1241" s="7">
        <f t="shared" si="133"/>
        <v>-1158.06</v>
      </c>
      <c r="K1241" s="7">
        <f t="shared" si="134"/>
        <v>300</v>
      </c>
      <c r="L1241" s="7">
        <f t="shared" si="135"/>
        <v>1458.06</v>
      </c>
      <c r="M1241" s="7">
        <f t="shared" si="136"/>
        <v>6541.9400000000005</v>
      </c>
      <c r="N1241" s="7">
        <f t="shared" si="137"/>
        <v>6541.9400000000005</v>
      </c>
      <c r="O1241" s="7" t="str">
        <f t="shared" si="138"/>
        <v>n.a.</v>
      </c>
      <c r="P1241" s="15" t="str">
        <f t="shared" si="139"/>
        <v>n.a.</v>
      </c>
      <c r="Q1241" s="7">
        <f>J1241*'Model inputs'!$B$8</f>
        <v>-115806</v>
      </c>
      <c r="R1241" s="1" t="s">
        <v>164</v>
      </c>
      <c r="S1241" s="1">
        <v>867</v>
      </c>
      <c r="T1241" s="1">
        <v>848</v>
      </c>
    </row>
    <row r="1242" spans="1:20" ht="21" customHeight="1">
      <c r="A1242" s="8">
        <v>46262</v>
      </c>
      <c r="B1242" s="1" t="s">
        <v>36</v>
      </c>
      <c r="C1242" s="1" t="s">
        <v>87</v>
      </c>
      <c r="D1242" s="7">
        <v>5400</v>
      </c>
      <c r="E1242" s="7">
        <v>5600</v>
      </c>
      <c r="F1242" s="7"/>
      <c r="G1242" s="7">
        <f>'Option source'!B122</f>
        <v>1552.16</v>
      </c>
      <c r="H1242" s="7">
        <f>'Option source'!B140</f>
        <v>1311.48</v>
      </c>
      <c r="I1242" s="7"/>
      <c r="J1242" s="7">
        <f t="shared" si="133"/>
        <v>-1070.8</v>
      </c>
      <c r="K1242" s="7">
        <f t="shared" si="134"/>
        <v>200</v>
      </c>
      <c r="L1242" s="7">
        <f t="shared" si="135"/>
        <v>1270.8</v>
      </c>
      <c r="M1242" s="7" t="str">
        <f t="shared" si="136"/>
        <v>Unlimited</v>
      </c>
      <c r="N1242" s="7" t="str">
        <f t="shared" si="137"/>
        <v>n.a.</v>
      </c>
      <c r="O1242" s="7">
        <f t="shared" si="138"/>
        <v>6870.8</v>
      </c>
      <c r="P1242" s="15" t="str">
        <f t="shared" si="139"/>
        <v>n.a.</v>
      </c>
      <c r="Q1242" s="7">
        <f>J1242*'Model inputs'!$B$8</f>
        <v>-107080</v>
      </c>
      <c r="R1242" s="1" t="s">
        <v>164</v>
      </c>
      <c r="S1242" s="1">
        <v>117</v>
      </c>
      <c r="T1242" s="1">
        <v>135</v>
      </c>
    </row>
    <row r="1243" spans="1:20" ht="21" customHeight="1">
      <c r="A1243" s="8">
        <v>46262</v>
      </c>
      <c r="B1243" s="1" t="s">
        <v>36</v>
      </c>
      <c r="C1243" s="1" t="s">
        <v>87</v>
      </c>
      <c r="D1243" s="7">
        <v>5200</v>
      </c>
      <c r="E1243" s="7">
        <v>5400</v>
      </c>
      <c r="F1243" s="7"/>
      <c r="G1243" s="7">
        <f>'Option source'!B103</f>
        <v>1677.12</v>
      </c>
      <c r="H1243" s="7">
        <f>'Option source'!B122</f>
        <v>1552.16</v>
      </c>
      <c r="I1243" s="7"/>
      <c r="J1243" s="7">
        <f t="shared" si="133"/>
        <v>-1427.2000000000003</v>
      </c>
      <c r="K1243" s="7">
        <f t="shared" si="134"/>
        <v>200</v>
      </c>
      <c r="L1243" s="7">
        <f t="shared" si="135"/>
        <v>1627.2000000000003</v>
      </c>
      <c r="M1243" s="7" t="str">
        <f t="shared" si="136"/>
        <v>Unlimited</v>
      </c>
      <c r="N1243" s="7" t="str">
        <f t="shared" si="137"/>
        <v>n.a.</v>
      </c>
      <c r="O1243" s="7">
        <f t="shared" si="138"/>
        <v>7027.2000000000007</v>
      </c>
      <c r="P1243" s="15" t="str">
        <f t="shared" si="139"/>
        <v>n.a.</v>
      </c>
      <c r="Q1243" s="7">
        <f>J1243*'Model inputs'!$B$8</f>
        <v>-142720.00000000003</v>
      </c>
      <c r="R1243" s="1" t="s">
        <v>164</v>
      </c>
      <c r="S1243" s="1">
        <v>98</v>
      </c>
      <c r="T1243" s="1">
        <v>117</v>
      </c>
    </row>
    <row r="1244" spans="1:20" ht="21" customHeight="1">
      <c r="A1244" s="8">
        <v>46262</v>
      </c>
      <c r="B1244" s="1" t="s">
        <v>36</v>
      </c>
      <c r="C1244" s="1" t="s">
        <v>90</v>
      </c>
      <c r="D1244" s="7">
        <v>8600</v>
      </c>
      <c r="E1244" s="7">
        <v>8300</v>
      </c>
      <c r="F1244" s="7"/>
      <c r="G1244" s="7">
        <f>'Option source'!B891</f>
        <v>1850</v>
      </c>
      <c r="H1244" s="7">
        <f>'Option source'!B872</f>
        <v>1291.94</v>
      </c>
      <c r="I1244" s="7"/>
      <c r="J1244" s="7">
        <f t="shared" si="133"/>
        <v>-733.88000000000011</v>
      </c>
      <c r="K1244" s="7">
        <f t="shared" si="134"/>
        <v>300</v>
      </c>
      <c r="L1244" s="7">
        <f t="shared" si="135"/>
        <v>1033.8800000000001</v>
      </c>
      <c r="M1244" s="7">
        <f t="shared" si="136"/>
        <v>7266.12</v>
      </c>
      <c r="N1244" s="7">
        <f t="shared" si="137"/>
        <v>7266.12</v>
      </c>
      <c r="O1244" s="7" t="str">
        <f t="shared" si="138"/>
        <v>n.a.</v>
      </c>
      <c r="P1244" s="15" t="str">
        <f t="shared" si="139"/>
        <v>n.a.</v>
      </c>
      <c r="Q1244" s="7">
        <f>J1244*'Model inputs'!$B$8</f>
        <v>-73388.000000000015</v>
      </c>
      <c r="R1244" s="1" t="s">
        <v>164</v>
      </c>
      <c r="S1244" s="1">
        <v>886</v>
      </c>
      <c r="T1244" s="1">
        <v>867</v>
      </c>
    </row>
    <row r="1245" spans="1:20" ht="21" customHeight="1">
      <c r="A1245" s="8">
        <v>46262</v>
      </c>
      <c r="B1245" s="1" t="s">
        <v>36</v>
      </c>
      <c r="C1245" s="1" t="s">
        <v>87</v>
      </c>
      <c r="D1245" s="7">
        <v>5000</v>
      </c>
      <c r="E1245" s="7">
        <v>5200</v>
      </c>
      <c r="F1245" s="7"/>
      <c r="G1245" s="7">
        <f>'Option source'!B84</f>
        <v>1905</v>
      </c>
      <c r="H1245" s="7">
        <f>'Option source'!B103</f>
        <v>1677.12</v>
      </c>
      <c r="I1245" s="7"/>
      <c r="J1245" s="7">
        <f t="shared" si="133"/>
        <v>-1449.2399999999998</v>
      </c>
      <c r="K1245" s="7">
        <f t="shared" si="134"/>
        <v>200</v>
      </c>
      <c r="L1245" s="7">
        <f t="shared" si="135"/>
        <v>1649.2399999999998</v>
      </c>
      <c r="M1245" s="7" t="str">
        <f t="shared" si="136"/>
        <v>Unlimited</v>
      </c>
      <c r="N1245" s="7" t="str">
        <f t="shared" si="137"/>
        <v>n.a.</v>
      </c>
      <c r="O1245" s="7">
        <f t="shared" si="138"/>
        <v>6849.24</v>
      </c>
      <c r="P1245" s="15" t="str">
        <f t="shared" si="139"/>
        <v>n.a.</v>
      </c>
      <c r="Q1245" s="7">
        <f>J1245*'Model inputs'!$B$8</f>
        <v>-144923.99999999997</v>
      </c>
      <c r="R1245" s="1" t="s">
        <v>164</v>
      </c>
      <c r="S1245" s="1">
        <v>79</v>
      </c>
      <c r="T1245" s="1">
        <v>98</v>
      </c>
    </row>
    <row r="1246" spans="1:20" ht="21" customHeight="1">
      <c r="A1246" s="8">
        <v>46262</v>
      </c>
      <c r="B1246" s="1" t="s">
        <v>36</v>
      </c>
      <c r="C1246" s="1" t="s">
        <v>90</v>
      </c>
      <c r="D1246" s="7">
        <v>8900</v>
      </c>
      <c r="E1246" s="7">
        <v>8600</v>
      </c>
      <c r="F1246" s="7"/>
      <c r="G1246" s="7">
        <f>'Option source'!B906</f>
        <v>2022.5</v>
      </c>
      <c r="H1246" s="7">
        <f>'Option source'!B891</f>
        <v>1850</v>
      </c>
      <c r="I1246" s="7"/>
      <c r="J1246" s="7">
        <f t="shared" si="133"/>
        <v>-1677.5</v>
      </c>
      <c r="K1246" s="7">
        <f t="shared" si="134"/>
        <v>300</v>
      </c>
      <c r="L1246" s="7">
        <f t="shared" si="135"/>
        <v>1977.5</v>
      </c>
      <c r="M1246" s="7">
        <f t="shared" si="136"/>
        <v>6622.5</v>
      </c>
      <c r="N1246" s="7">
        <f t="shared" si="137"/>
        <v>6622.5</v>
      </c>
      <c r="O1246" s="7" t="str">
        <f t="shared" si="138"/>
        <v>n.a.</v>
      </c>
      <c r="P1246" s="15" t="str">
        <f t="shared" si="139"/>
        <v>n.a.</v>
      </c>
      <c r="Q1246" s="7">
        <f>J1246*'Model inputs'!$B$8</f>
        <v>-167750</v>
      </c>
      <c r="R1246" s="1" t="s">
        <v>164</v>
      </c>
      <c r="S1246" s="1">
        <v>901</v>
      </c>
      <c r="T1246" s="1">
        <v>886</v>
      </c>
    </row>
    <row r="1247" spans="1:20" ht="21" customHeight="1">
      <c r="A1247" s="8">
        <v>46262</v>
      </c>
      <c r="B1247" s="1" t="s">
        <v>36</v>
      </c>
      <c r="C1247" s="1" t="s">
        <v>87</v>
      </c>
      <c r="D1247" s="7">
        <v>4800</v>
      </c>
      <c r="E1247" s="7">
        <v>5000</v>
      </c>
      <c r="F1247" s="7"/>
      <c r="G1247" s="7">
        <f>'Option source'!B67</f>
        <v>2050</v>
      </c>
      <c r="H1247" s="7">
        <f>'Option source'!B84</f>
        <v>1905</v>
      </c>
      <c r="I1247" s="7"/>
      <c r="J1247" s="7">
        <f t="shared" si="133"/>
        <v>-1760</v>
      </c>
      <c r="K1247" s="7">
        <f t="shared" si="134"/>
        <v>200</v>
      </c>
      <c r="L1247" s="7">
        <f t="shared" si="135"/>
        <v>1960</v>
      </c>
      <c r="M1247" s="7" t="str">
        <f t="shared" si="136"/>
        <v>Unlimited</v>
      </c>
      <c r="N1247" s="7" t="str">
        <f t="shared" si="137"/>
        <v>n.a.</v>
      </c>
      <c r="O1247" s="7">
        <f t="shared" si="138"/>
        <v>6960</v>
      </c>
      <c r="P1247" s="15" t="str">
        <f t="shared" si="139"/>
        <v>n.a.</v>
      </c>
      <c r="Q1247" s="7">
        <f>J1247*'Model inputs'!$B$8</f>
        <v>-176000</v>
      </c>
      <c r="R1247" s="1" t="s">
        <v>164</v>
      </c>
      <c r="S1247" s="1">
        <v>62</v>
      </c>
      <c r="T1247" s="1">
        <v>79</v>
      </c>
    </row>
    <row r="1248" spans="1:20" ht="21" customHeight="1">
      <c r="A1248" s="8">
        <v>46262</v>
      </c>
      <c r="B1248" s="1" t="s">
        <v>36</v>
      </c>
      <c r="C1248" s="1" t="s">
        <v>87</v>
      </c>
      <c r="D1248" s="7">
        <v>4600</v>
      </c>
      <c r="E1248" s="7">
        <v>4800</v>
      </c>
      <c r="F1248" s="7"/>
      <c r="G1248" s="7">
        <f>'Option source'!B50</f>
        <v>2400.31</v>
      </c>
      <c r="H1248" s="7">
        <f>'Option source'!B67</f>
        <v>2050</v>
      </c>
      <c r="I1248" s="7"/>
      <c r="J1248" s="7">
        <f t="shared" si="133"/>
        <v>-1699.69</v>
      </c>
      <c r="K1248" s="7">
        <f t="shared" si="134"/>
        <v>200</v>
      </c>
      <c r="L1248" s="7">
        <f t="shared" si="135"/>
        <v>1899.69</v>
      </c>
      <c r="M1248" s="7" t="str">
        <f t="shared" si="136"/>
        <v>Unlimited</v>
      </c>
      <c r="N1248" s="7" t="str">
        <f t="shared" si="137"/>
        <v>n.a.</v>
      </c>
      <c r="O1248" s="7">
        <f t="shared" si="138"/>
        <v>6699.6900000000005</v>
      </c>
      <c r="P1248" s="15" t="str">
        <f t="shared" si="139"/>
        <v>n.a.</v>
      </c>
      <c r="Q1248" s="7">
        <f>J1248*'Model inputs'!$B$8</f>
        <v>-169969</v>
      </c>
      <c r="R1248" s="1" t="s">
        <v>164</v>
      </c>
      <c r="S1248" s="1">
        <v>45</v>
      </c>
      <c r="T1248" s="1">
        <v>62</v>
      </c>
    </row>
    <row r="1249" spans="1:20" ht="21" customHeight="1">
      <c r="A1249" s="8">
        <v>46262</v>
      </c>
      <c r="B1249" s="1" t="s">
        <v>36</v>
      </c>
      <c r="C1249" s="1" t="s">
        <v>87</v>
      </c>
      <c r="D1249" s="7">
        <v>4400</v>
      </c>
      <c r="E1249" s="7">
        <v>4600</v>
      </c>
      <c r="F1249" s="7"/>
      <c r="G1249" s="7">
        <f>'Option source'!B31</f>
        <v>2429.9699999999998</v>
      </c>
      <c r="H1249" s="7">
        <f>'Option source'!B50</f>
        <v>2400.31</v>
      </c>
      <c r="I1249" s="7"/>
      <c r="J1249" s="7">
        <f t="shared" si="133"/>
        <v>-2370.65</v>
      </c>
      <c r="K1249" s="7">
        <f t="shared" si="134"/>
        <v>200</v>
      </c>
      <c r="L1249" s="7">
        <f t="shared" si="135"/>
        <v>2570.65</v>
      </c>
      <c r="M1249" s="7" t="str">
        <f t="shared" si="136"/>
        <v>Unlimited</v>
      </c>
      <c r="N1249" s="7" t="str">
        <f t="shared" si="137"/>
        <v>n.a.</v>
      </c>
      <c r="O1249" s="7">
        <f t="shared" si="138"/>
        <v>7170.65</v>
      </c>
      <c r="P1249" s="15" t="str">
        <f t="shared" si="139"/>
        <v>n.a.</v>
      </c>
      <c r="Q1249" s="7">
        <f>J1249*'Model inputs'!$B$8</f>
        <v>-237065</v>
      </c>
      <c r="R1249" s="1" t="s">
        <v>164</v>
      </c>
      <c r="S1249" s="1">
        <v>26</v>
      </c>
      <c r="T1249" s="1">
        <v>45</v>
      </c>
    </row>
    <row r="1250" spans="1:20" ht="21" customHeight="1">
      <c r="A1250" s="8">
        <v>46262</v>
      </c>
      <c r="B1250" s="1" t="s">
        <v>36</v>
      </c>
      <c r="C1250" s="1" t="s">
        <v>87</v>
      </c>
      <c r="D1250" s="7">
        <v>4200</v>
      </c>
      <c r="E1250" s="7">
        <v>4400</v>
      </c>
      <c r="F1250" s="7"/>
      <c r="G1250" s="7">
        <f>'Option source'!B12</f>
        <v>2666.16</v>
      </c>
      <c r="H1250" s="7">
        <f>'Option source'!B31</f>
        <v>2429.9699999999998</v>
      </c>
      <c r="I1250" s="7"/>
      <c r="J1250" s="7">
        <f t="shared" si="133"/>
        <v>-2193.7799999999997</v>
      </c>
      <c r="K1250" s="7">
        <f t="shared" si="134"/>
        <v>200</v>
      </c>
      <c r="L1250" s="7">
        <f t="shared" si="135"/>
        <v>2393.7799999999997</v>
      </c>
      <c r="M1250" s="7" t="str">
        <f t="shared" si="136"/>
        <v>Unlimited</v>
      </c>
      <c r="N1250" s="7" t="str">
        <f t="shared" si="137"/>
        <v>n.a.</v>
      </c>
      <c r="O1250" s="7">
        <f t="shared" si="138"/>
        <v>6793.78</v>
      </c>
      <c r="P1250" s="15" t="str">
        <f t="shared" si="139"/>
        <v>n.a.</v>
      </c>
      <c r="Q1250" s="7">
        <f>J1250*'Model inputs'!$B$8</f>
        <v>-219377.99999999997</v>
      </c>
      <c r="R1250" s="1" t="s">
        <v>164</v>
      </c>
      <c r="S1250" s="1">
        <v>7</v>
      </c>
      <c r="T1250" s="1">
        <v>26</v>
      </c>
    </row>
    <row r="1251" spans="1:20" ht="21" customHeight="1">
      <c r="A1251" s="8">
        <v>46261</v>
      </c>
      <c r="B1251" s="1" t="s">
        <v>34</v>
      </c>
      <c r="C1251" s="1" t="s">
        <v>87</v>
      </c>
      <c r="D1251" s="7">
        <v>6600</v>
      </c>
      <c r="E1251" s="7">
        <v>6800</v>
      </c>
      <c r="F1251" s="7">
        <v>7000</v>
      </c>
      <c r="G1251" s="7">
        <f>'Option source'!B225</f>
        <v>706.67</v>
      </c>
      <c r="H1251" s="7">
        <f>'Option source'!B244</f>
        <v>587.6</v>
      </c>
      <c r="I1251" s="7">
        <f>'Option source'!B263</f>
        <v>484.8</v>
      </c>
      <c r="J1251" s="7">
        <f t="shared" si="133"/>
        <v>16.269999999999925</v>
      </c>
      <c r="K1251" s="7">
        <f t="shared" si="134"/>
        <v>200</v>
      </c>
      <c r="L1251" s="7">
        <f t="shared" si="135"/>
        <v>183.73000000000008</v>
      </c>
      <c r="M1251" s="7">
        <f t="shared" si="136"/>
        <v>16.269999999999925</v>
      </c>
      <c r="N1251" s="7">
        <f t="shared" si="137"/>
        <v>6616.2699999999995</v>
      </c>
      <c r="O1251" s="7">
        <f t="shared" si="138"/>
        <v>6983.7300000000005</v>
      </c>
      <c r="P1251" s="15">
        <f t="shared" si="139"/>
        <v>11.292562999385428</v>
      </c>
      <c r="Q1251" s="7">
        <f>J1251*'Model inputs'!$B$8</f>
        <v>1626.9999999999925</v>
      </c>
      <c r="R1251" s="1" t="s">
        <v>162</v>
      </c>
      <c r="S1251" s="1">
        <v>220</v>
      </c>
      <c r="T1251" s="1">
        <v>239</v>
      </c>
    </row>
    <row r="1252" spans="1:20" ht="21" customHeight="1">
      <c r="A1252" s="8">
        <v>46261</v>
      </c>
      <c r="B1252" s="1" t="s">
        <v>34</v>
      </c>
      <c r="C1252" s="1" t="s">
        <v>90</v>
      </c>
      <c r="D1252" s="7">
        <v>6600</v>
      </c>
      <c r="E1252" s="7">
        <v>6800</v>
      </c>
      <c r="F1252" s="7">
        <v>7000</v>
      </c>
      <c r="G1252" s="7">
        <f>'Option source'!B719</f>
        <v>237.9</v>
      </c>
      <c r="H1252" s="7">
        <f>'Option source'!B738</f>
        <v>319.7</v>
      </c>
      <c r="I1252" s="7">
        <f>'Option source'!B757</f>
        <v>414.3</v>
      </c>
      <c r="J1252" s="7">
        <f t="shared" si="133"/>
        <v>12.800000000000011</v>
      </c>
      <c r="K1252" s="7">
        <f t="shared" si="134"/>
        <v>200</v>
      </c>
      <c r="L1252" s="7">
        <f t="shared" si="135"/>
        <v>187.2</v>
      </c>
      <c r="M1252" s="7">
        <f t="shared" si="136"/>
        <v>12.800000000000011</v>
      </c>
      <c r="N1252" s="7">
        <f t="shared" si="137"/>
        <v>6612.8</v>
      </c>
      <c r="O1252" s="7">
        <f t="shared" si="138"/>
        <v>6987.2</v>
      </c>
      <c r="P1252" s="15">
        <f t="shared" si="139"/>
        <v>14.624999999999986</v>
      </c>
      <c r="Q1252" s="7">
        <f>J1252*'Model inputs'!$B$8</f>
        <v>1280.0000000000011</v>
      </c>
      <c r="R1252" s="1" t="s">
        <v>162</v>
      </c>
      <c r="S1252" s="1">
        <v>714</v>
      </c>
      <c r="T1252" s="1">
        <v>733</v>
      </c>
    </row>
    <row r="1253" spans="1:20" ht="21" customHeight="1">
      <c r="A1253" s="8">
        <v>46261</v>
      </c>
      <c r="B1253" s="1" t="s">
        <v>34</v>
      </c>
      <c r="C1253" s="1" t="s">
        <v>87</v>
      </c>
      <c r="D1253" s="7">
        <v>6800</v>
      </c>
      <c r="E1253" s="7">
        <v>7000</v>
      </c>
      <c r="F1253" s="7">
        <v>7200</v>
      </c>
      <c r="G1253" s="7">
        <f>'Option source'!B244</f>
        <v>587.6</v>
      </c>
      <c r="H1253" s="7">
        <f>'Option source'!B263</f>
        <v>484.8</v>
      </c>
      <c r="I1253" s="7">
        <f>'Option source'!B282</f>
        <v>393.33</v>
      </c>
      <c r="J1253" s="7">
        <f t="shared" si="133"/>
        <v>11.329999999999984</v>
      </c>
      <c r="K1253" s="7">
        <f t="shared" si="134"/>
        <v>200</v>
      </c>
      <c r="L1253" s="7">
        <f t="shared" si="135"/>
        <v>188.67000000000002</v>
      </c>
      <c r="M1253" s="7">
        <f t="shared" si="136"/>
        <v>11.329999999999984</v>
      </c>
      <c r="N1253" s="7">
        <f t="shared" si="137"/>
        <v>6811.33</v>
      </c>
      <c r="O1253" s="7">
        <f t="shared" si="138"/>
        <v>7188.67</v>
      </c>
      <c r="P1253" s="15">
        <f t="shared" si="139"/>
        <v>16.652250661959425</v>
      </c>
      <c r="Q1253" s="7">
        <f>J1253*'Model inputs'!$B$8</f>
        <v>1132.9999999999984</v>
      </c>
      <c r="R1253" s="1" t="s">
        <v>162</v>
      </c>
      <c r="S1253" s="1">
        <v>239</v>
      </c>
      <c r="T1253" s="1">
        <v>258</v>
      </c>
    </row>
    <row r="1254" spans="1:20" ht="21" customHeight="1">
      <c r="A1254" s="8">
        <v>46261</v>
      </c>
      <c r="B1254" s="1" t="s">
        <v>34</v>
      </c>
      <c r="C1254" s="1" t="s">
        <v>90</v>
      </c>
      <c r="D1254" s="7">
        <v>6800</v>
      </c>
      <c r="E1254" s="7">
        <v>7000</v>
      </c>
      <c r="F1254" s="7">
        <v>7200</v>
      </c>
      <c r="G1254" s="7">
        <f>'Option source'!B738</f>
        <v>319.7</v>
      </c>
      <c r="H1254" s="7">
        <f>'Option source'!B757</f>
        <v>414.3</v>
      </c>
      <c r="I1254" s="7">
        <f>'Option source'!B776</f>
        <v>525.21</v>
      </c>
      <c r="J1254" s="7">
        <f t="shared" si="133"/>
        <v>16.310000000000002</v>
      </c>
      <c r="K1254" s="7">
        <f t="shared" si="134"/>
        <v>200</v>
      </c>
      <c r="L1254" s="7">
        <f t="shared" si="135"/>
        <v>183.69</v>
      </c>
      <c r="M1254" s="7">
        <f t="shared" si="136"/>
        <v>16.310000000000002</v>
      </c>
      <c r="N1254" s="7">
        <f t="shared" si="137"/>
        <v>6816.31</v>
      </c>
      <c r="O1254" s="7">
        <f t="shared" si="138"/>
        <v>7183.69</v>
      </c>
      <c r="P1254" s="15">
        <f t="shared" si="139"/>
        <v>11.26241569589209</v>
      </c>
      <c r="Q1254" s="7">
        <f>J1254*'Model inputs'!$B$8</f>
        <v>1631.0000000000002</v>
      </c>
      <c r="R1254" s="1" t="s">
        <v>162</v>
      </c>
      <c r="S1254" s="1">
        <v>733</v>
      </c>
      <c r="T1254" s="1">
        <v>752</v>
      </c>
    </row>
    <row r="1255" spans="1:20" ht="21" customHeight="1">
      <c r="A1255" s="8">
        <v>46261</v>
      </c>
      <c r="B1255" s="1" t="s">
        <v>34</v>
      </c>
      <c r="C1255" s="1" t="s">
        <v>87</v>
      </c>
      <c r="D1255" s="7">
        <v>6400</v>
      </c>
      <c r="E1255" s="7">
        <v>6600</v>
      </c>
      <c r="F1255" s="7">
        <v>6800</v>
      </c>
      <c r="G1255" s="7">
        <f>'Option source'!B206</f>
        <v>843.84</v>
      </c>
      <c r="H1255" s="7">
        <f>'Option source'!B225</f>
        <v>706.67</v>
      </c>
      <c r="I1255" s="7">
        <f>'Option source'!B244</f>
        <v>587.6</v>
      </c>
      <c r="J1255" s="7">
        <f t="shared" si="133"/>
        <v>18.100000000000136</v>
      </c>
      <c r="K1255" s="7">
        <f t="shared" si="134"/>
        <v>200</v>
      </c>
      <c r="L1255" s="7">
        <f t="shared" si="135"/>
        <v>181.89999999999986</v>
      </c>
      <c r="M1255" s="7">
        <f t="shared" si="136"/>
        <v>18.100000000000136</v>
      </c>
      <c r="N1255" s="7">
        <f t="shared" si="137"/>
        <v>6418.1</v>
      </c>
      <c r="O1255" s="7">
        <f t="shared" si="138"/>
        <v>6781.9</v>
      </c>
      <c r="P1255" s="15">
        <f t="shared" si="139"/>
        <v>10.049723756905994</v>
      </c>
      <c r="Q1255" s="7">
        <f>J1255*'Model inputs'!$B$8</f>
        <v>1810.0000000000136</v>
      </c>
      <c r="R1255" s="1" t="s">
        <v>162</v>
      </c>
      <c r="S1255" s="1">
        <v>201</v>
      </c>
      <c r="T1255" s="1">
        <v>220</v>
      </c>
    </row>
    <row r="1256" spans="1:20" ht="21" customHeight="1">
      <c r="A1256" s="8">
        <v>46261</v>
      </c>
      <c r="B1256" s="1" t="s">
        <v>34</v>
      </c>
      <c r="C1256" s="1" t="s">
        <v>90</v>
      </c>
      <c r="D1256" s="7">
        <v>6400</v>
      </c>
      <c r="E1256" s="7">
        <v>6600</v>
      </c>
      <c r="F1256" s="7">
        <v>6800</v>
      </c>
      <c r="G1256" s="7">
        <f>'Option source'!B700</f>
        <v>172.27</v>
      </c>
      <c r="H1256" s="7">
        <f>'Option source'!B719</f>
        <v>237.9</v>
      </c>
      <c r="I1256" s="7">
        <f>'Option source'!B738</f>
        <v>319.7</v>
      </c>
      <c r="J1256" s="7">
        <f t="shared" si="133"/>
        <v>16.170000000000016</v>
      </c>
      <c r="K1256" s="7">
        <f t="shared" si="134"/>
        <v>200</v>
      </c>
      <c r="L1256" s="7">
        <f t="shared" si="135"/>
        <v>183.82999999999998</v>
      </c>
      <c r="M1256" s="7">
        <f t="shared" si="136"/>
        <v>16.170000000000016</v>
      </c>
      <c r="N1256" s="7">
        <f t="shared" si="137"/>
        <v>6416.17</v>
      </c>
      <c r="O1256" s="7">
        <f t="shared" si="138"/>
        <v>6783.83</v>
      </c>
      <c r="P1256" s="15">
        <f t="shared" si="139"/>
        <v>11.368583797155214</v>
      </c>
      <c r="Q1256" s="7">
        <f>J1256*'Model inputs'!$B$8</f>
        <v>1617.0000000000016</v>
      </c>
      <c r="R1256" s="1" t="s">
        <v>162</v>
      </c>
      <c r="S1256" s="1">
        <v>695</v>
      </c>
      <c r="T1256" s="1">
        <v>714</v>
      </c>
    </row>
    <row r="1257" spans="1:20" ht="21" customHeight="1">
      <c r="A1257" s="8">
        <v>46261</v>
      </c>
      <c r="B1257" s="1" t="s">
        <v>34</v>
      </c>
      <c r="C1257" s="1" t="s">
        <v>87</v>
      </c>
      <c r="D1257" s="7">
        <v>7000</v>
      </c>
      <c r="E1257" s="7">
        <v>7200</v>
      </c>
      <c r="F1257" s="7">
        <v>7400</v>
      </c>
      <c r="G1257" s="7">
        <f>'Option source'!B263</f>
        <v>484.8</v>
      </c>
      <c r="H1257" s="7">
        <f>'Option source'!B282</f>
        <v>393.33</v>
      </c>
      <c r="I1257" s="7">
        <f>'Option source'!B301</f>
        <v>310.39</v>
      </c>
      <c r="J1257" s="7">
        <f t="shared" si="133"/>
        <v>8.5300000000000296</v>
      </c>
      <c r="K1257" s="7">
        <f t="shared" si="134"/>
        <v>200</v>
      </c>
      <c r="L1257" s="7">
        <f t="shared" si="135"/>
        <v>191.46999999999997</v>
      </c>
      <c r="M1257" s="7">
        <f t="shared" si="136"/>
        <v>8.5300000000000296</v>
      </c>
      <c r="N1257" s="7">
        <f t="shared" si="137"/>
        <v>7008.53</v>
      </c>
      <c r="O1257" s="7">
        <f t="shared" si="138"/>
        <v>7391.47</v>
      </c>
      <c r="P1257" s="15">
        <f t="shared" si="139"/>
        <v>22.446658851113636</v>
      </c>
      <c r="Q1257" s="7">
        <f>J1257*'Model inputs'!$B$8</f>
        <v>853.00000000000296</v>
      </c>
      <c r="R1257" s="1" t="s">
        <v>162</v>
      </c>
      <c r="S1257" s="1">
        <v>258</v>
      </c>
      <c r="T1257" s="1">
        <v>277</v>
      </c>
    </row>
    <row r="1258" spans="1:20" ht="21" customHeight="1">
      <c r="A1258" s="8">
        <v>46261</v>
      </c>
      <c r="B1258" s="1" t="s">
        <v>34</v>
      </c>
      <c r="C1258" s="1" t="s">
        <v>87</v>
      </c>
      <c r="D1258" s="7">
        <v>6200</v>
      </c>
      <c r="E1258" s="7">
        <v>6400</v>
      </c>
      <c r="F1258" s="7">
        <v>6600</v>
      </c>
      <c r="G1258" s="7">
        <f>'Option source'!B187</f>
        <v>1000</v>
      </c>
      <c r="H1258" s="7">
        <f>'Option source'!B206</f>
        <v>843.84</v>
      </c>
      <c r="I1258" s="7">
        <f>'Option source'!B225</f>
        <v>706.67</v>
      </c>
      <c r="J1258" s="7">
        <f t="shared" si="133"/>
        <v>18.989999999999895</v>
      </c>
      <c r="K1258" s="7">
        <f t="shared" si="134"/>
        <v>200</v>
      </c>
      <c r="L1258" s="7">
        <f t="shared" si="135"/>
        <v>181.0100000000001</v>
      </c>
      <c r="M1258" s="7">
        <f t="shared" si="136"/>
        <v>18.989999999999895</v>
      </c>
      <c r="N1258" s="7">
        <f t="shared" si="137"/>
        <v>6218.99</v>
      </c>
      <c r="O1258" s="7">
        <f t="shared" si="138"/>
        <v>6581.01</v>
      </c>
      <c r="P1258" s="15">
        <f t="shared" si="139"/>
        <v>9.5318588730911582</v>
      </c>
      <c r="Q1258" s="7">
        <f>J1258*'Model inputs'!$B$8</f>
        <v>1898.9999999999895</v>
      </c>
      <c r="R1258" s="1" t="s">
        <v>162</v>
      </c>
      <c r="S1258" s="1">
        <v>182</v>
      </c>
      <c r="T1258" s="1">
        <v>201</v>
      </c>
    </row>
    <row r="1259" spans="1:20" ht="21" customHeight="1">
      <c r="A1259" s="8">
        <v>46261</v>
      </c>
      <c r="B1259" s="1" t="s">
        <v>34</v>
      </c>
      <c r="C1259" s="1" t="s">
        <v>90</v>
      </c>
      <c r="D1259" s="7">
        <v>6200</v>
      </c>
      <c r="E1259" s="7">
        <v>6400</v>
      </c>
      <c r="F1259" s="7">
        <v>6600</v>
      </c>
      <c r="G1259" s="7">
        <f>'Option source'!B681</f>
        <v>119.95</v>
      </c>
      <c r="H1259" s="7">
        <f>'Option source'!B700</f>
        <v>172.27</v>
      </c>
      <c r="I1259" s="7">
        <f>'Option source'!B719</f>
        <v>237.9</v>
      </c>
      <c r="J1259" s="7">
        <f t="shared" si="133"/>
        <v>13.309999999999974</v>
      </c>
      <c r="K1259" s="7">
        <f t="shared" si="134"/>
        <v>200</v>
      </c>
      <c r="L1259" s="7">
        <f t="shared" si="135"/>
        <v>186.69000000000003</v>
      </c>
      <c r="M1259" s="7">
        <f t="shared" si="136"/>
        <v>13.309999999999974</v>
      </c>
      <c r="N1259" s="7">
        <f t="shared" si="137"/>
        <v>6213.31</v>
      </c>
      <c r="O1259" s="7">
        <f t="shared" si="138"/>
        <v>6586.69</v>
      </c>
      <c r="P1259" s="15">
        <f t="shared" si="139"/>
        <v>14.026296018031585</v>
      </c>
      <c r="Q1259" s="7">
        <f>J1259*'Model inputs'!$B$8</f>
        <v>1330.9999999999973</v>
      </c>
      <c r="R1259" s="1" t="s">
        <v>162</v>
      </c>
      <c r="S1259" s="1">
        <v>676</v>
      </c>
      <c r="T1259" s="1">
        <v>695</v>
      </c>
    </row>
    <row r="1260" spans="1:20" ht="21" customHeight="1">
      <c r="A1260" s="8">
        <v>46261</v>
      </c>
      <c r="B1260" s="1" t="s">
        <v>34</v>
      </c>
      <c r="C1260" s="1" t="s">
        <v>87</v>
      </c>
      <c r="D1260" s="7">
        <v>7200</v>
      </c>
      <c r="E1260" s="7">
        <v>7400</v>
      </c>
      <c r="F1260" s="7">
        <v>7600</v>
      </c>
      <c r="G1260" s="7">
        <f>'Option source'!B282</f>
        <v>393.33</v>
      </c>
      <c r="H1260" s="7">
        <f>'Option source'!B301</f>
        <v>310.39</v>
      </c>
      <c r="I1260" s="7">
        <f>'Option source'!B320</f>
        <v>247.62</v>
      </c>
      <c r="J1260" s="7">
        <f t="shared" si="133"/>
        <v>20.170000000000016</v>
      </c>
      <c r="K1260" s="7">
        <f t="shared" si="134"/>
        <v>200</v>
      </c>
      <c r="L1260" s="7">
        <f t="shared" si="135"/>
        <v>179.82999999999998</v>
      </c>
      <c r="M1260" s="7">
        <f t="shared" si="136"/>
        <v>20.170000000000016</v>
      </c>
      <c r="N1260" s="7">
        <f t="shared" si="137"/>
        <v>7220.17</v>
      </c>
      <c r="O1260" s="7">
        <f t="shared" si="138"/>
        <v>7579.83</v>
      </c>
      <c r="P1260" s="15">
        <f t="shared" si="139"/>
        <v>8.915716410510651</v>
      </c>
      <c r="Q1260" s="7">
        <f>J1260*'Model inputs'!$B$8</f>
        <v>2017.0000000000016</v>
      </c>
      <c r="R1260" s="1" t="s">
        <v>162</v>
      </c>
      <c r="S1260" s="1">
        <v>277</v>
      </c>
      <c r="T1260" s="1">
        <v>296</v>
      </c>
    </row>
    <row r="1261" spans="1:20" ht="21" customHeight="1">
      <c r="A1261" s="8">
        <v>46261</v>
      </c>
      <c r="B1261" s="1" t="s">
        <v>34</v>
      </c>
      <c r="C1261" s="1" t="s">
        <v>87</v>
      </c>
      <c r="D1261" s="7">
        <v>6000</v>
      </c>
      <c r="E1261" s="7">
        <v>6200</v>
      </c>
      <c r="F1261" s="7">
        <v>6400</v>
      </c>
      <c r="G1261" s="7">
        <f>'Option source'!B168</f>
        <v>1178.78</v>
      </c>
      <c r="H1261" s="7">
        <f>'Option source'!B187</f>
        <v>1000</v>
      </c>
      <c r="I1261" s="7">
        <f>'Option source'!B206</f>
        <v>843.84</v>
      </c>
      <c r="J1261" s="7">
        <f t="shared" si="133"/>
        <v>22.620000000000005</v>
      </c>
      <c r="K1261" s="7">
        <f t="shared" si="134"/>
        <v>200</v>
      </c>
      <c r="L1261" s="7">
        <f t="shared" si="135"/>
        <v>177.38</v>
      </c>
      <c r="M1261" s="7">
        <f t="shared" si="136"/>
        <v>22.620000000000005</v>
      </c>
      <c r="N1261" s="7">
        <f t="shared" si="137"/>
        <v>6022.62</v>
      </c>
      <c r="O1261" s="7">
        <f t="shared" si="138"/>
        <v>6377.38</v>
      </c>
      <c r="P1261" s="15">
        <f t="shared" si="139"/>
        <v>7.8417329796640125</v>
      </c>
      <c r="Q1261" s="7">
        <f>J1261*'Model inputs'!$B$8</f>
        <v>2262.0000000000005</v>
      </c>
      <c r="R1261" s="1" t="s">
        <v>162</v>
      </c>
      <c r="S1261" s="1">
        <v>163</v>
      </c>
      <c r="T1261" s="1">
        <v>182</v>
      </c>
    </row>
    <row r="1262" spans="1:20" ht="21" customHeight="1">
      <c r="A1262" s="8">
        <v>46261</v>
      </c>
      <c r="B1262" s="1" t="s">
        <v>34</v>
      </c>
      <c r="C1262" s="1" t="s">
        <v>90</v>
      </c>
      <c r="D1262" s="7">
        <v>6000</v>
      </c>
      <c r="E1262" s="7">
        <v>6200</v>
      </c>
      <c r="F1262" s="7">
        <v>6400</v>
      </c>
      <c r="G1262" s="7">
        <f>'Option source'!B662</f>
        <v>81.77</v>
      </c>
      <c r="H1262" s="7">
        <f>'Option source'!B681</f>
        <v>119.95</v>
      </c>
      <c r="I1262" s="7">
        <f>'Option source'!B700</f>
        <v>172.27</v>
      </c>
      <c r="J1262" s="7">
        <f t="shared" si="133"/>
        <v>14.140000000000015</v>
      </c>
      <c r="K1262" s="7">
        <f t="shared" si="134"/>
        <v>200</v>
      </c>
      <c r="L1262" s="7">
        <f t="shared" si="135"/>
        <v>185.85999999999999</v>
      </c>
      <c r="M1262" s="7">
        <f t="shared" si="136"/>
        <v>14.140000000000015</v>
      </c>
      <c r="N1262" s="7">
        <f t="shared" si="137"/>
        <v>6014.14</v>
      </c>
      <c r="O1262" s="7">
        <f t="shared" si="138"/>
        <v>6385.86</v>
      </c>
      <c r="P1262" s="15">
        <f t="shared" si="139"/>
        <v>13.14427157001413</v>
      </c>
      <c r="Q1262" s="7">
        <f>J1262*'Model inputs'!$B$8</f>
        <v>1414.0000000000014</v>
      </c>
      <c r="R1262" s="1" t="s">
        <v>162</v>
      </c>
      <c r="S1262" s="1">
        <v>657</v>
      </c>
      <c r="T1262" s="1">
        <v>676</v>
      </c>
    </row>
    <row r="1263" spans="1:20" ht="21" customHeight="1">
      <c r="A1263" s="8">
        <v>46261</v>
      </c>
      <c r="B1263" s="1" t="s">
        <v>34</v>
      </c>
      <c r="C1263" s="1" t="s">
        <v>87</v>
      </c>
      <c r="D1263" s="7">
        <v>7400</v>
      </c>
      <c r="E1263" s="7">
        <v>7600</v>
      </c>
      <c r="F1263" s="7">
        <v>7800</v>
      </c>
      <c r="G1263" s="7">
        <f>'Option source'!B301</f>
        <v>310.39</v>
      </c>
      <c r="H1263" s="7">
        <f>'Option source'!B320</f>
        <v>247.62</v>
      </c>
      <c r="I1263" s="7">
        <f>'Option source'!B339</f>
        <v>190.51</v>
      </c>
      <c r="J1263" s="7">
        <f t="shared" si="133"/>
        <v>5.6599999999999682</v>
      </c>
      <c r="K1263" s="7">
        <f t="shared" si="134"/>
        <v>200</v>
      </c>
      <c r="L1263" s="7">
        <f t="shared" si="135"/>
        <v>194.34000000000003</v>
      </c>
      <c r="M1263" s="7">
        <f t="shared" si="136"/>
        <v>5.6599999999999682</v>
      </c>
      <c r="N1263" s="7">
        <f t="shared" si="137"/>
        <v>7405.66</v>
      </c>
      <c r="O1263" s="7">
        <f t="shared" si="138"/>
        <v>7794.34</v>
      </c>
      <c r="P1263" s="15">
        <f t="shared" si="139"/>
        <v>34.335689045936597</v>
      </c>
      <c r="Q1263" s="7">
        <f>J1263*'Model inputs'!$B$8</f>
        <v>565.99999999999682</v>
      </c>
      <c r="R1263" s="1" t="s">
        <v>162</v>
      </c>
      <c r="S1263" s="1">
        <v>296</v>
      </c>
      <c r="T1263" s="1">
        <v>315</v>
      </c>
    </row>
    <row r="1264" spans="1:20" ht="21" customHeight="1">
      <c r="A1264" s="8">
        <v>46261</v>
      </c>
      <c r="B1264" s="1" t="s">
        <v>34</v>
      </c>
      <c r="C1264" s="1" t="s">
        <v>90</v>
      </c>
      <c r="D1264" s="7">
        <v>5800</v>
      </c>
      <c r="E1264" s="7">
        <v>6000</v>
      </c>
      <c r="F1264" s="7">
        <v>6200</v>
      </c>
      <c r="G1264" s="7">
        <f>'Option source'!B643</f>
        <v>52.63</v>
      </c>
      <c r="H1264" s="7">
        <f>'Option source'!B662</f>
        <v>81.77</v>
      </c>
      <c r="I1264" s="7">
        <f>'Option source'!B681</f>
        <v>119.95</v>
      </c>
      <c r="J1264" s="7">
        <f t="shared" si="133"/>
        <v>9.0400000000000063</v>
      </c>
      <c r="K1264" s="7">
        <f t="shared" si="134"/>
        <v>200</v>
      </c>
      <c r="L1264" s="7">
        <f t="shared" si="135"/>
        <v>190.95999999999998</v>
      </c>
      <c r="M1264" s="7">
        <f t="shared" si="136"/>
        <v>9.0400000000000063</v>
      </c>
      <c r="N1264" s="7">
        <f t="shared" si="137"/>
        <v>5809.04</v>
      </c>
      <c r="O1264" s="7">
        <f t="shared" si="138"/>
        <v>6190.96</v>
      </c>
      <c r="P1264" s="15">
        <f t="shared" si="139"/>
        <v>21.123893805309716</v>
      </c>
      <c r="Q1264" s="7">
        <f>J1264*'Model inputs'!$B$8</f>
        <v>904.00000000000068</v>
      </c>
      <c r="R1264" s="1" t="s">
        <v>162</v>
      </c>
      <c r="S1264" s="1">
        <v>638</v>
      </c>
      <c r="T1264" s="1">
        <v>657</v>
      </c>
    </row>
    <row r="1265" spans="1:20" ht="21" customHeight="1">
      <c r="A1265" s="8">
        <v>46261</v>
      </c>
      <c r="B1265" s="1" t="s">
        <v>34</v>
      </c>
      <c r="C1265" s="1" t="s">
        <v>87</v>
      </c>
      <c r="D1265" s="7">
        <v>7600</v>
      </c>
      <c r="E1265" s="7">
        <v>7800</v>
      </c>
      <c r="F1265" s="7">
        <v>8000</v>
      </c>
      <c r="G1265" s="7">
        <f>'Option source'!B320</f>
        <v>247.62</v>
      </c>
      <c r="H1265" s="7">
        <f>'Option source'!B339</f>
        <v>190.51</v>
      </c>
      <c r="I1265" s="7">
        <f>'Option source'!B358</f>
        <v>151.28</v>
      </c>
      <c r="J1265" s="7">
        <f t="shared" si="133"/>
        <v>17.880000000000024</v>
      </c>
      <c r="K1265" s="7">
        <f t="shared" si="134"/>
        <v>200</v>
      </c>
      <c r="L1265" s="7">
        <f t="shared" si="135"/>
        <v>182.11999999999998</v>
      </c>
      <c r="M1265" s="7">
        <f t="shared" si="136"/>
        <v>17.880000000000024</v>
      </c>
      <c r="N1265" s="7">
        <f t="shared" si="137"/>
        <v>7617.88</v>
      </c>
      <c r="O1265" s="7">
        <f t="shared" si="138"/>
        <v>7982.12</v>
      </c>
      <c r="P1265" s="15">
        <f t="shared" si="139"/>
        <v>10.18568232662191</v>
      </c>
      <c r="Q1265" s="7">
        <f>J1265*'Model inputs'!$B$8</f>
        <v>1788.0000000000023</v>
      </c>
      <c r="R1265" s="1" t="s">
        <v>162</v>
      </c>
      <c r="S1265" s="1">
        <v>315</v>
      </c>
      <c r="T1265" s="1">
        <v>334</v>
      </c>
    </row>
    <row r="1266" spans="1:20" ht="21" customHeight="1">
      <c r="A1266" s="8">
        <v>46261</v>
      </c>
      <c r="B1266" s="1" t="s">
        <v>34</v>
      </c>
      <c r="C1266" s="1" t="s">
        <v>90</v>
      </c>
      <c r="D1266" s="7">
        <v>5600</v>
      </c>
      <c r="E1266" s="7">
        <v>5800</v>
      </c>
      <c r="F1266" s="7">
        <v>6000</v>
      </c>
      <c r="G1266" s="7">
        <f>'Option source'!B624</f>
        <v>30.86</v>
      </c>
      <c r="H1266" s="7">
        <f>'Option source'!B643</f>
        <v>52.63</v>
      </c>
      <c r="I1266" s="7">
        <f>'Option source'!B662</f>
        <v>81.77</v>
      </c>
      <c r="J1266" s="7">
        <f t="shared" si="133"/>
        <v>7.3699999999999903</v>
      </c>
      <c r="K1266" s="7">
        <f t="shared" si="134"/>
        <v>200</v>
      </c>
      <c r="L1266" s="7">
        <f t="shared" si="135"/>
        <v>192.63</v>
      </c>
      <c r="M1266" s="7">
        <f t="shared" si="136"/>
        <v>7.3699999999999903</v>
      </c>
      <c r="N1266" s="7">
        <f t="shared" si="137"/>
        <v>5607.37</v>
      </c>
      <c r="O1266" s="7">
        <f t="shared" si="138"/>
        <v>5992.63</v>
      </c>
      <c r="P1266" s="15">
        <f t="shared" si="139"/>
        <v>26.13704206241523</v>
      </c>
      <c r="Q1266" s="7">
        <f>J1266*'Model inputs'!$B$8</f>
        <v>736.99999999999909</v>
      </c>
      <c r="R1266" s="1" t="s">
        <v>162</v>
      </c>
      <c r="S1266" s="1">
        <v>619</v>
      </c>
      <c r="T1266" s="1">
        <v>638</v>
      </c>
    </row>
    <row r="1267" spans="1:20" ht="21" customHeight="1">
      <c r="A1267" s="8">
        <v>46261</v>
      </c>
      <c r="B1267" s="1" t="s">
        <v>34</v>
      </c>
      <c r="C1267" s="1" t="s">
        <v>90</v>
      </c>
      <c r="D1267" s="7">
        <v>5400</v>
      </c>
      <c r="E1267" s="7">
        <v>5600</v>
      </c>
      <c r="F1267" s="7">
        <v>5800</v>
      </c>
      <c r="G1267" s="7">
        <f>'Option source'!B605</f>
        <v>18.93</v>
      </c>
      <c r="H1267" s="7">
        <f>'Option source'!B624</f>
        <v>30.86</v>
      </c>
      <c r="I1267" s="7">
        <f>'Option source'!B643</f>
        <v>52.63</v>
      </c>
      <c r="J1267" s="7">
        <f t="shared" si="133"/>
        <v>9.8400000000000034</v>
      </c>
      <c r="K1267" s="7">
        <f t="shared" si="134"/>
        <v>200</v>
      </c>
      <c r="L1267" s="7">
        <f t="shared" si="135"/>
        <v>190.16</v>
      </c>
      <c r="M1267" s="7">
        <f t="shared" si="136"/>
        <v>9.8400000000000034</v>
      </c>
      <c r="N1267" s="7">
        <f t="shared" si="137"/>
        <v>5409.84</v>
      </c>
      <c r="O1267" s="7">
        <f t="shared" si="138"/>
        <v>5790.16</v>
      </c>
      <c r="P1267" s="15">
        <f t="shared" si="139"/>
        <v>19.325203252032512</v>
      </c>
      <c r="Q1267" s="7">
        <f>J1267*'Model inputs'!$B$8</f>
        <v>984.00000000000034</v>
      </c>
      <c r="R1267" s="1" t="s">
        <v>162</v>
      </c>
      <c r="S1267" s="1">
        <v>600</v>
      </c>
      <c r="T1267" s="1">
        <v>619</v>
      </c>
    </row>
    <row r="1268" spans="1:20" ht="21" customHeight="1">
      <c r="A1268" s="8">
        <v>46261</v>
      </c>
      <c r="B1268" s="1" t="s">
        <v>34</v>
      </c>
      <c r="C1268" s="1" t="s">
        <v>87</v>
      </c>
      <c r="D1268" s="7">
        <v>8000</v>
      </c>
      <c r="E1268" s="7">
        <v>8300</v>
      </c>
      <c r="F1268" s="7">
        <v>8600</v>
      </c>
      <c r="G1268" s="7">
        <f>'Option source'!B358</f>
        <v>151.28</v>
      </c>
      <c r="H1268" s="7">
        <f>'Option source'!B377</f>
        <v>101.58</v>
      </c>
      <c r="I1268" s="7">
        <f>'Option source'!B396</f>
        <v>68.22</v>
      </c>
      <c r="J1268" s="7">
        <f t="shared" si="133"/>
        <v>16.340000000000003</v>
      </c>
      <c r="K1268" s="7">
        <f t="shared" si="134"/>
        <v>300</v>
      </c>
      <c r="L1268" s="7">
        <f t="shared" si="135"/>
        <v>283.65999999999997</v>
      </c>
      <c r="M1268" s="7">
        <f t="shared" si="136"/>
        <v>16.340000000000003</v>
      </c>
      <c r="N1268" s="7">
        <f t="shared" si="137"/>
        <v>8016.34</v>
      </c>
      <c r="O1268" s="7">
        <f t="shared" si="138"/>
        <v>8583.66</v>
      </c>
      <c r="P1268" s="15">
        <f t="shared" si="139"/>
        <v>17.359853121175025</v>
      </c>
      <c r="Q1268" s="7">
        <f>J1268*'Model inputs'!$B$8</f>
        <v>1634.0000000000005</v>
      </c>
      <c r="R1268" s="1" t="s">
        <v>162</v>
      </c>
      <c r="S1268" s="1">
        <v>353</v>
      </c>
      <c r="T1268" s="1">
        <v>372</v>
      </c>
    </row>
    <row r="1269" spans="1:20" ht="21" customHeight="1">
      <c r="A1269" s="8">
        <v>46261</v>
      </c>
      <c r="B1269" s="1" t="s">
        <v>34</v>
      </c>
      <c r="C1269" s="1" t="s">
        <v>90</v>
      </c>
      <c r="D1269" s="7">
        <v>5200</v>
      </c>
      <c r="E1269" s="7">
        <v>5400</v>
      </c>
      <c r="F1269" s="7">
        <v>5600</v>
      </c>
      <c r="G1269" s="7">
        <f>'Option source'!B586</f>
        <v>12.17</v>
      </c>
      <c r="H1269" s="7">
        <f>'Option source'!B605</f>
        <v>18.93</v>
      </c>
      <c r="I1269" s="7">
        <f>'Option source'!B624</f>
        <v>30.86</v>
      </c>
      <c r="J1269" s="7">
        <f t="shared" si="133"/>
        <v>5.1700000000000017</v>
      </c>
      <c r="K1269" s="7">
        <f t="shared" si="134"/>
        <v>200</v>
      </c>
      <c r="L1269" s="7">
        <f t="shared" si="135"/>
        <v>194.82999999999998</v>
      </c>
      <c r="M1269" s="7">
        <f t="shared" si="136"/>
        <v>5.1700000000000017</v>
      </c>
      <c r="N1269" s="7">
        <f t="shared" si="137"/>
        <v>5205.17</v>
      </c>
      <c r="O1269" s="7">
        <f t="shared" si="138"/>
        <v>5594.83</v>
      </c>
      <c r="P1269" s="15">
        <f t="shared" si="139"/>
        <v>37.684719535783351</v>
      </c>
      <c r="Q1269" s="7">
        <f>J1269*'Model inputs'!$B$8</f>
        <v>517.00000000000023</v>
      </c>
      <c r="R1269" s="1" t="s">
        <v>162</v>
      </c>
      <c r="S1269" s="1">
        <v>581</v>
      </c>
      <c r="T1269" s="1">
        <v>600</v>
      </c>
    </row>
    <row r="1270" spans="1:20" ht="21" customHeight="1">
      <c r="A1270" s="8">
        <v>46261</v>
      </c>
      <c r="B1270" s="1" t="s">
        <v>34</v>
      </c>
      <c r="C1270" s="1" t="s">
        <v>90</v>
      </c>
      <c r="D1270" s="7">
        <v>5000</v>
      </c>
      <c r="E1270" s="7">
        <v>5200</v>
      </c>
      <c r="F1270" s="7">
        <v>5400</v>
      </c>
      <c r="G1270" s="7">
        <f>'Option source'!B567</f>
        <v>7.94</v>
      </c>
      <c r="H1270" s="7">
        <f>'Option source'!B586</f>
        <v>12.17</v>
      </c>
      <c r="I1270" s="7">
        <f>'Option source'!B605</f>
        <v>18.93</v>
      </c>
      <c r="J1270" s="7">
        <f t="shared" si="133"/>
        <v>2.5300000000000011</v>
      </c>
      <c r="K1270" s="7">
        <f t="shared" si="134"/>
        <v>200</v>
      </c>
      <c r="L1270" s="7">
        <f t="shared" si="135"/>
        <v>197.47</v>
      </c>
      <c r="M1270" s="7">
        <f t="shared" si="136"/>
        <v>2.5300000000000011</v>
      </c>
      <c r="N1270" s="7">
        <f t="shared" si="137"/>
        <v>5002.53</v>
      </c>
      <c r="O1270" s="7">
        <f t="shared" si="138"/>
        <v>5397.47</v>
      </c>
      <c r="P1270" s="15">
        <f t="shared" si="139"/>
        <v>78.051383399209456</v>
      </c>
      <c r="Q1270" s="7">
        <f>J1270*'Model inputs'!$B$8</f>
        <v>253.00000000000011</v>
      </c>
      <c r="R1270" s="1" t="s">
        <v>162</v>
      </c>
      <c r="S1270" s="1">
        <v>562</v>
      </c>
      <c r="T1270" s="1">
        <v>581</v>
      </c>
    </row>
    <row r="1271" spans="1:20" ht="21" customHeight="1">
      <c r="A1271" s="8">
        <v>46261</v>
      </c>
      <c r="B1271" s="1" t="s">
        <v>34</v>
      </c>
      <c r="C1271" s="1" t="s">
        <v>87</v>
      </c>
      <c r="D1271" s="7">
        <v>8300</v>
      </c>
      <c r="E1271" s="7">
        <v>8600</v>
      </c>
      <c r="F1271" s="7">
        <v>8900</v>
      </c>
      <c r="G1271" s="7">
        <f>'Option source'!B377</f>
        <v>101.58</v>
      </c>
      <c r="H1271" s="7">
        <f>'Option source'!B396</f>
        <v>68.22</v>
      </c>
      <c r="I1271" s="7">
        <f>'Option source'!B415</f>
        <v>45.5</v>
      </c>
      <c r="J1271" s="7">
        <f t="shared" si="133"/>
        <v>10.64</v>
      </c>
      <c r="K1271" s="7">
        <f t="shared" si="134"/>
        <v>300</v>
      </c>
      <c r="L1271" s="7">
        <f t="shared" si="135"/>
        <v>289.36</v>
      </c>
      <c r="M1271" s="7">
        <f t="shared" si="136"/>
        <v>10.64</v>
      </c>
      <c r="N1271" s="7">
        <f t="shared" si="137"/>
        <v>8310.64</v>
      </c>
      <c r="O1271" s="7">
        <f t="shared" si="138"/>
        <v>8889.36</v>
      </c>
      <c r="P1271" s="15">
        <f t="shared" si="139"/>
        <v>27.195488721804512</v>
      </c>
      <c r="Q1271" s="7">
        <f>J1271*'Model inputs'!$B$8</f>
        <v>1064</v>
      </c>
      <c r="R1271" s="1" t="s">
        <v>162</v>
      </c>
      <c r="S1271" s="1">
        <v>372</v>
      </c>
      <c r="T1271" s="1">
        <v>391</v>
      </c>
    </row>
    <row r="1272" spans="1:20" ht="21" customHeight="1">
      <c r="A1272" s="8">
        <v>46261</v>
      </c>
      <c r="B1272" s="1" t="s">
        <v>34</v>
      </c>
      <c r="C1272" s="1" t="s">
        <v>90</v>
      </c>
      <c r="D1272" s="7">
        <v>4800</v>
      </c>
      <c r="E1272" s="7">
        <v>5000</v>
      </c>
      <c r="F1272" s="7">
        <v>5200</v>
      </c>
      <c r="G1272" s="7">
        <f>'Option source'!B548</f>
        <v>5.67</v>
      </c>
      <c r="H1272" s="7">
        <f>'Option source'!B567</f>
        <v>7.94</v>
      </c>
      <c r="I1272" s="7">
        <f>'Option source'!B586</f>
        <v>12.17</v>
      </c>
      <c r="J1272" s="7">
        <f t="shared" si="133"/>
        <v>1.9599999999999991</v>
      </c>
      <c r="K1272" s="7">
        <f t="shared" si="134"/>
        <v>200</v>
      </c>
      <c r="L1272" s="7">
        <f t="shared" si="135"/>
        <v>198.04</v>
      </c>
      <c r="M1272" s="7">
        <f t="shared" si="136"/>
        <v>1.9599999999999991</v>
      </c>
      <c r="N1272" s="7">
        <f t="shared" si="137"/>
        <v>4801.96</v>
      </c>
      <c r="O1272" s="7">
        <f t="shared" si="138"/>
        <v>5198.04</v>
      </c>
      <c r="P1272" s="15">
        <f t="shared" si="139"/>
        <v>101.04081632653066</v>
      </c>
      <c r="Q1272" s="7">
        <f>J1272*'Model inputs'!$B$8</f>
        <v>195.99999999999991</v>
      </c>
      <c r="R1272" s="1" t="s">
        <v>162</v>
      </c>
      <c r="S1272" s="1">
        <v>543</v>
      </c>
      <c r="T1272" s="1">
        <v>562</v>
      </c>
    </row>
    <row r="1273" spans="1:20" ht="21" customHeight="1">
      <c r="A1273" s="8">
        <v>46261</v>
      </c>
      <c r="B1273" s="1" t="s">
        <v>34</v>
      </c>
      <c r="C1273" s="1" t="s">
        <v>87</v>
      </c>
      <c r="D1273" s="7">
        <v>8600</v>
      </c>
      <c r="E1273" s="7">
        <v>8900</v>
      </c>
      <c r="F1273" s="7">
        <v>9200</v>
      </c>
      <c r="G1273" s="7">
        <f>'Option source'!B396</f>
        <v>68.22</v>
      </c>
      <c r="H1273" s="7">
        <f>'Option source'!B415</f>
        <v>45.5</v>
      </c>
      <c r="I1273" s="7">
        <f>'Option source'!B434</f>
        <v>30.1</v>
      </c>
      <c r="J1273" s="7">
        <f t="shared" si="133"/>
        <v>7.32</v>
      </c>
      <c r="K1273" s="7">
        <f t="shared" si="134"/>
        <v>300</v>
      </c>
      <c r="L1273" s="7">
        <f t="shared" si="135"/>
        <v>292.68</v>
      </c>
      <c r="M1273" s="7">
        <f t="shared" si="136"/>
        <v>7.32</v>
      </c>
      <c r="N1273" s="7">
        <f t="shared" si="137"/>
        <v>8607.32</v>
      </c>
      <c r="O1273" s="7">
        <f t="shared" si="138"/>
        <v>9192.68</v>
      </c>
      <c r="P1273" s="15">
        <f t="shared" si="139"/>
        <v>39.983606557377051</v>
      </c>
      <c r="Q1273" s="7">
        <f>J1273*'Model inputs'!$B$8</f>
        <v>732</v>
      </c>
      <c r="R1273" s="1" t="s">
        <v>162</v>
      </c>
      <c r="S1273" s="1">
        <v>391</v>
      </c>
      <c r="T1273" s="1">
        <v>410</v>
      </c>
    </row>
    <row r="1274" spans="1:20" ht="21" customHeight="1">
      <c r="A1274" s="8">
        <v>46261</v>
      </c>
      <c r="B1274" s="1" t="s">
        <v>34</v>
      </c>
      <c r="C1274" s="1" t="s">
        <v>90</v>
      </c>
      <c r="D1274" s="7">
        <v>4600</v>
      </c>
      <c r="E1274" s="7">
        <v>4800</v>
      </c>
      <c r="F1274" s="7">
        <v>5000</v>
      </c>
      <c r="G1274" s="7">
        <f>'Option source'!B529</f>
        <v>4.04</v>
      </c>
      <c r="H1274" s="7">
        <f>'Option source'!B548</f>
        <v>5.67</v>
      </c>
      <c r="I1274" s="7">
        <f>'Option source'!B567</f>
        <v>7.94</v>
      </c>
      <c r="J1274" s="7">
        <f t="shared" si="133"/>
        <v>0.64000000000000057</v>
      </c>
      <c r="K1274" s="7">
        <f t="shared" si="134"/>
        <v>200</v>
      </c>
      <c r="L1274" s="7">
        <f t="shared" si="135"/>
        <v>199.36</v>
      </c>
      <c r="M1274" s="7">
        <f t="shared" si="136"/>
        <v>0.64000000000000057</v>
      </c>
      <c r="N1274" s="7">
        <f t="shared" si="137"/>
        <v>4600.6400000000003</v>
      </c>
      <c r="O1274" s="7">
        <f t="shared" si="138"/>
        <v>4999.3599999999997</v>
      </c>
      <c r="P1274" s="15">
        <f t="shared" si="139"/>
        <v>311.49999999999977</v>
      </c>
      <c r="Q1274" s="7">
        <f>J1274*'Model inputs'!$B$8</f>
        <v>64.000000000000057</v>
      </c>
      <c r="R1274" s="1" t="s">
        <v>162</v>
      </c>
      <c r="S1274" s="1">
        <v>524</v>
      </c>
      <c r="T1274" s="1">
        <v>543</v>
      </c>
    </row>
    <row r="1275" spans="1:20" ht="21" customHeight="1">
      <c r="A1275" s="8">
        <v>46261</v>
      </c>
      <c r="B1275" s="1" t="s">
        <v>34</v>
      </c>
      <c r="C1275" s="1" t="s">
        <v>90</v>
      </c>
      <c r="D1275" s="7">
        <v>4400</v>
      </c>
      <c r="E1275" s="7">
        <v>4600</v>
      </c>
      <c r="F1275" s="7">
        <v>4800</v>
      </c>
      <c r="G1275" s="7">
        <f>'Option source'!B510</f>
        <v>3.03</v>
      </c>
      <c r="H1275" s="7">
        <f>'Option source'!B529</f>
        <v>4.04</v>
      </c>
      <c r="I1275" s="7">
        <f>'Option source'!B548</f>
        <v>5.67</v>
      </c>
      <c r="J1275" s="7">
        <f t="shared" si="133"/>
        <v>0.61999999999999922</v>
      </c>
      <c r="K1275" s="7">
        <f t="shared" si="134"/>
        <v>200</v>
      </c>
      <c r="L1275" s="7">
        <f t="shared" si="135"/>
        <v>199.38</v>
      </c>
      <c r="M1275" s="7">
        <f t="shared" si="136"/>
        <v>0.61999999999999922</v>
      </c>
      <c r="N1275" s="7">
        <f t="shared" si="137"/>
        <v>4400.62</v>
      </c>
      <c r="O1275" s="7">
        <f t="shared" si="138"/>
        <v>4799.38</v>
      </c>
      <c r="P1275" s="15">
        <f t="shared" si="139"/>
        <v>321.5806451612907</v>
      </c>
      <c r="Q1275" s="7">
        <f>J1275*'Model inputs'!$B$8</f>
        <v>61.999999999999922</v>
      </c>
      <c r="R1275" s="1" t="s">
        <v>162</v>
      </c>
      <c r="S1275" s="1">
        <v>505</v>
      </c>
      <c r="T1275" s="1">
        <v>524</v>
      </c>
    </row>
    <row r="1276" spans="1:20" ht="21" customHeight="1">
      <c r="A1276" s="8">
        <v>46261</v>
      </c>
      <c r="B1276" s="1" t="s">
        <v>34</v>
      </c>
      <c r="C1276" s="1" t="s">
        <v>87</v>
      </c>
      <c r="D1276" s="7">
        <v>8900</v>
      </c>
      <c r="E1276" s="7">
        <v>9200</v>
      </c>
      <c r="F1276" s="7">
        <v>9500</v>
      </c>
      <c r="G1276" s="7">
        <f>'Option source'!B415</f>
        <v>45.5</v>
      </c>
      <c r="H1276" s="7">
        <f>'Option source'!B434</f>
        <v>30.1</v>
      </c>
      <c r="I1276" s="7">
        <f>'Option source'!B453</f>
        <v>19.97</v>
      </c>
      <c r="J1276" s="7">
        <f t="shared" si="133"/>
        <v>5.269999999999996</v>
      </c>
      <c r="K1276" s="7">
        <f t="shared" si="134"/>
        <v>300</v>
      </c>
      <c r="L1276" s="7">
        <f t="shared" si="135"/>
        <v>294.73</v>
      </c>
      <c r="M1276" s="7">
        <f t="shared" si="136"/>
        <v>5.269999999999996</v>
      </c>
      <c r="N1276" s="7">
        <f t="shared" si="137"/>
        <v>8905.27</v>
      </c>
      <c r="O1276" s="7">
        <f t="shared" si="138"/>
        <v>9494.73</v>
      </c>
      <c r="P1276" s="15">
        <f t="shared" si="139"/>
        <v>55.925996204933632</v>
      </c>
      <c r="Q1276" s="7">
        <f>J1276*'Model inputs'!$B$8</f>
        <v>526.99999999999955</v>
      </c>
      <c r="R1276" s="1" t="s">
        <v>162</v>
      </c>
      <c r="S1276" s="1">
        <v>410</v>
      </c>
      <c r="T1276" s="1">
        <v>429</v>
      </c>
    </row>
    <row r="1277" spans="1:20" ht="21" customHeight="1">
      <c r="A1277" s="8">
        <v>46261</v>
      </c>
      <c r="B1277" s="1" t="s">
        <v>34</v>
      </c>
      <c r="C1277" s="1" t="s">
        <v>90</v>
      </c>
      <c r="D1277" s="7">
        <v>4200</v>
      </c>
      <c r="E1277" s="7">
        <v>4400</v>
      </c>
      <c r="F1277" s="7">
        <v>4600</v>
      </c>
      <c r="G1277" s="7">
        <f>'Option source'!B491</f>
        <v>2.86</v>
      </c>
      <c r="H1277" s="7">
        <f>'Option source'!B510</f>
        <v>3.03</v>
      </c>
      <c r="I1277" s="7">
        <f>'Option source'!B529</f>
        <v>4.04</v>
      </c>
      <c r="J1277" s="7">
        <f t="shared" si="133"/>
        <v>0.8400000000000003</v>
      </c>
      <c r="K1277" s="7">
        <f t="shared" si="134"/>
        <v>200</v>
      </c>
      <c r="L1277" s="7">
        <f t="shared" si="135"/>
        <v>199.16</v>
      </c>
      <c r="M1277" s="7">
        <f t="shared" si="136"/>
        <v>0.8400000000000003</v>
      </c>
      <c r="N1277" s="7">
        <f t="shared" si="137"/>
        <v>4200.84</v>
      </c>
      <c r="O1277" s="7">
        <f t="shared" si="138"/>
        <v>4599.16</v>
      </c>
      <c r="P1277" s="15">
        <f t="shared" si="139"/>
        <v>237.09523809523802</v>
      </c>
      <c r="Q1277" s="7">
        <f>J1277*'Model inputs'!$B$8</f>
        <v>84.000000000000028</v>
      </c>
      <c r="R1277" s="1" t="s">
        <v>162</v>
      </c>
      <c r="S1277" s="1">
        <v>486</v>
      </c>
      <c r="T1277" s="1">
        <v>505</v>
      </c>
    </row>
    <row r="1278" spans="1:20" ht="21" customHeight="1">
      <c r="A1278" s="8">
        <v>46261</v>
      </c>
      <c r="B1278" s="1" t="s">
        <v>34</v>
      </c>
      <c r="C1278" s="1" t="s">
        <v>90</v>
      </c>
      <c r="D1278" s="7">
        <v>7000</v>
      </c>
      <c r="E1278" s="7">
        <v>7200</v>
      </c>
      <c r="F1278" s="7">
        <v>7400</v>
      </c>
      <c r="G1278" s="7">
        <f>'Option source'!B757</f>
        <v>414.3</v>
      </c>
      <c r="H1278" s="7">
        <f>'Option source'!B776</f>
        <v>525.21</v>
      </c>
      <c r="I1278" s="7">
        <f>'Option source'!B795</f>
        <v>630.02</v>
      </c>
      <c r="J1278" s="7">
        <f t="shared" si="133"/>
        <v>-6.1000000000001364</v>
      </c>
      <c r="K1278" s="7">
        <f t="shared" si="134"/>
        <v>200</v>
      </c>
      <c r="L1278" s="7">
        <f t="shared" si="135"/>
        <v>206.10000000000014</v>
      </c>
      <c r="M1278" s="7">
        <f t="shared" si="136"/>
        <v>0</v>
      </c>
      <c r="N1278" s="7" t="str">
        <f t="shared" si="137"/>
        <v>n.a.</v>
      </c>
      <c r="O1278" s="7" t="str">
        <f t="shared" si="138"/>
        <v>n.a.</v>
      </c>
      <c r="P1278" s="15" t="str">
        <f t="shared" si="139"/>
        <v>n.a.</v>
      </c>
      <c r="Q1278" s="7">
        <f>J1278*'Model inputs'!$B$8</f>
        <v>-610.00000000001364</v>
      </c>
      <c r="R1278" s="1" t="s">
        <v>163</v>
      </c>
      <c r="S1278" s="1">
        <v>752</v>
      </c>
      <c r="T1278" s="1">
        <v>771</v>
      </c>
    </row>
    <row r="1279" spans="1:20" ht="21" customHeight="1">
      <c r="A1279" s="8">
        <v>46261</v>
      </c>
      <c r="B1279" s="1" t="s">
        <v>34</v>
      </c>
      <c r="C1279" s="1" t="s">
        <v>90</v>
      </c>
      <c r="D1279" s="7">
        <v>7200</v>
      </c>
      <c r="E1279" s="7">
        <v>7400</v>
      </c>
      <c r="F1279" s="7">
        <v>7600</v>
      </c>
      <c r="G1279" s="7">
        <f>'Option source'!B776</f>
        <v>525.21</v>
      </c>
      <c r="H1279" s="7">
        <f>'Option source'!B795</f>
        <v>630.02</v>
      </c>
      <c r="I1279" s="7">
        <f>'Option source'!B814</f>
        <v>785</v>
      </c>
      <c r="J1279" s="7">
        <f t="shared" si="133"/>
        <v>50.170000000000073</v>
      </c>
      <c r="K1279" s="7">
        <f t="shared" si="134"/>
        <v>200</v>
      </c>
      <c r="L1279" s="7">
        <f t="shared" si="135"/>
        <v>149.82999999999993</v>
      </c>
      <c r="M1279" s="7">
        <f t="shared" si="136"/>
        <v>50.170000000000073</v>
      </c>
      <c r="N1279" s="7">
        <f t="shared" si="137"/>
        <v>7250.17</v>
      </c>
      <c r="O1279" s="7">
        <f t="shared" si="138"/>
        <v>7549.83</v>
      </c>
      <c r="P1279" s="15">
        <f t="shared" si="139"/>
        <v>2.9864460833167175</v>
      </c>
      <c r="Q1279" s="7">
        <f>J1279*'Model inputs'!$B$8</f>
        <v>5017.0000000000073</v>
      </c>
      <c r="R1279" s="1" t="s">
        <v>164</v>
      </c>
      <c r="S1279" s="1">
        <v>771</v>
      </c>
      <c r="T1279" s="1">
        <v>790</v>
      </c>
    </row>
    <row r="1280" spans="1:20" ht="21" customHeight="1">
      <c r="A1280" s="8">
        <v>46261</v>
      </c>
      <c r="B1280" s="1" t="s">
        <v>34</v>
      </c>
      <c r="C1280" s="1" t="s">
        <v>90</v>
      </c>
      <c r="D1280" s="7">
        <v>7400</v>
      </c>
      <c r="E1280" s="7">
        <v>7600</v>
      </c>
      <c r="F1280" s="7">
        <v>7800</v>
      </c>
      <c r="G1280" s="7">
        <f>'Option source'!B795</f>
        <v>630.02</v>
      </c>
      <c r="H1280" s="7">
        <f>'Option source'!B814</f>
        <v>785</v>
      </c>
      <c r="I1280" s="7">
        <f>'Option source'!B833</f>
        <v>905</v>
      </c>
      <c r="J1280" s="7">
        <f t="shared" si="133"/>
        <v>-34.980000000000018</v>
      </c>
      <c r="K1280" s="7">
        <f t="shared" si="134"/>
        <v>200</v>
      </c>
      <c r="L1280" s="7">
        <f t="shared" si="135"/>
        <v>234.98000000000002</v>
      </c>
      <c r="M1280" s="7">
        <f t="shared" si="136"/>
        <v>0</v>
      </c>
      <c r="N1280" s="7" t="str">
        <f t="shared" si="137"/>
        <v>n.a.</v>
      </c>
      <c r="O1280" s="7" t="str">
        <f t="shared" si="138"/>
        <v>n.a.</v>
      </c>
      <c r="P1280" s="15" t="str">
        <f t="shared" si="139"/>
        <v>n.a.</v>
      </c>
      <c r="Q1280" s="7">
        <f>J1280*'Model inputs'!$B$8</f>
        <v>-3498.0000000000018</v>
      </c>
      <c r="R1280" s="1" t="s">
        <v>163</v>
      </c>
      <c r="S1280" s="1">
        <v>790</v>
      </c>
      <c r="T1280" s="1">
        <v>809</v>
      </c>
    </row>
    <row r="1281" spans="1:20" ht="21" customHeight="1">
      <c r="A1281" s="8">
        <v>46261</v>
      </c>
      <c r="B1281" s="1" t="s">
        <v>34</v>
      </c>
      <c r="C1281" s="1" t="s">
        <v>90</v>
      </c>
      <c r="D1281" s="7">
        <v>7600</v>
      </c>
      <c r="E1281" s="7">
        <v>7800</v>
      </c>
      <c r="F1281" s="7">
        <v>8000</v>
      </c>
      <c r="G1281" s="7">
        <f>'Option source'!B814</f>
        <v>785</v>
      </c>
      <c r="H1281" s="7">
        <f>'Option source'!B833</f>
        <v>905</v>
      </c>
      <c r="I1281" s="7">
        <f>'Option source'!B852</f>
        <v>1127.1400000000001</v>
      </c>
      <c r="J1281" s="7">
        <f t="shared" si="133"/>
        <v>102.1400000000001</v>
      </c>
      <c r="K1281" s="7">
        <f t="shared" si="134"/>
        <v>200</v>
      </c>
      <c r="L1281" s="7">
        <f t="shared" si="135"/>
        <v>97.8599999999999</v>
      </c>
      <c r="M1281" s="7">
        <f t="shared" si="136"/>
        <v>102.1400000000001</v>
      </c>
      <c r="N1281" s="7">
        <f t="shared" si="137"/>
        <v>7702.14</v>
      </c>
      <c r="O1281" s="7">
        <f t="shared" si="138"/>
        <v>7897.86</v>
      </c>
      <c r="P1281" s="15">
        <f t="shared" si="139"/>
        <v>0.95809672997845907</v>
      </c>
      <c r="Q1281" s="7">
        <f>J1281*'Model inputs'!$B$8</f>
        <v>10214.000000000011</v>
      </c>
      <c r="R1281" s="1" t="s">
        <v>164</v>
      </c>
      <c r="S1281" s="1">
        <v>809</v>
      </c>
      <c r="T1281" s="1">
        <v>828</v>
      </c>
    </row>
    <row r="1282" spans="1:20" ht="21" customHeight="1">
      <c r="A1282" s="8">
        <v>46261</v>
      </c>
      <c r="B1282" s="1" t="s">
        <v>34</v>
      </c>
      <c r="C1282" s="1" t="s">
        <v>90</v>
      </c>
      <c r="D1282" s="7">
        <v>8000</v>
      </c>
      <c r="E1282" s="7">
        <v>8300</v>
      </c>
      <c r="F1282" s="7">
        <v>8600</v>
      </c>
      <c r="G1282" s="7">
        <f>'Option source'!B852</f>
        <v>1127.1400000000001</v>
      </c>
      <c r="H1282" s="7">
        <f>'Option source'!B871</f>
        <v>1291.94</v>
      </c>
      <c r="I1282" s="7">
        <f>'Option source'!B890</f>
        <v>1725</v>
      </c>
      <c r="J1282" s="7">
        <f t="shared" si="133"/>
        <v>268.26</v>
      </c>
      <c r="K1282" s="7">
        <f t="shared" si="134"/>
        <v>300</v>
      </c>
      <c r="L1282" s="7">
        <f t="shared" si="135"/>
        <v>31.740000000000009</v>
      </c>
      <c r="M1282" s="7">
        <f t="shared" si="136"/>
        <v>268.26</v>
      </c>
      <c r="N1282" s="7">
        <f t="shared" si="137"/>
        <v>8268.26</v>
      </c>
      <c r="O1282" s="7">
        <f t="shared" si="138"/>
        <v>8331.74</v>
      </c>
      <c r="P1282" s="15">
        <f t="shared" si="139"/>
        <v>0.11831804965332145</v>
      </c>
      <c r="Q1282" s="7">
        <f>J1282*'Model inputs'!$B$8</f>
        <v>26826</v>
      </c>
      <c r="R1282" s="1" t="s">
        <v>164</v>
      </c>
      <c r="S1282" s="1">
        <v>847</v>
      </c>
      <c r="T1282" s="1">
        <v>866</v>
      </c>
    </row>
    <row r="1283" spans="1:20" ht="21" customHeight="1">
      <c r="A1283" s="8">
        <v>46261</v>
      </c>
      <c r="B1283" s="1" t="s">
        <v>34</v>
      </c>
      <c r="C1283" s="1" t="s">
        <v>87</v>
      </c>
      <c r="D1283" s="7">
        <v>5200</v>
      </c>
      <c r="E1283" s="7">
        <v>5400</v>
      </c>
      <c r="F1283" s="7">
        <v>5600</v>
      </c>
      <c r="G1283" s="7">
        <f>'Option source'!B102</f>
        <v>1861.9</v>
      </c>
      <c r="H1283" s="7">
        <f>'Option source'!B121</f>
        <v>1790.79</v>
      </c>
      <c r="I1283" s="7">
        <f>'Option source'!B139</f>
        <v>1490.13</v>
      </c>
      <c r="J1283" s="7">
        <f t="shared" si="133"/>
        <v>-229.54999999999973</v>
      </c>
      <c r="K1283" s="7">
        <f t="shared" si="134"/>
        <v>200</v>
      </c>
      <c r="L1283" s="7">
        <f t="shared" si="135"/>
        <v>429.54999999999973</v>
      </c>
      <c r="M1283" s="7">
        <f t="shared" si="136"/>
        <v>0</v>
      </c>
      <c r="N1283" s="7" t="str">
        <f t="shared" si="137"/>
        <v>n.a.</v>
      </c>
      <c r="O1283" s="7" t="str">
        <f t="shared" si="138"/>
        <v>n.a.</v>
      </c>
      <c r="P1283" s="15" t="str">
        <f t="shared" si="139"/>
        <v>n.a.</v>
      </c>
      <c r="Q1283" s="7">
        <f>J1283*'Model inputs'!$B$8</f>
        <v>-22954.999999999971</v>
      </c>
      <c r="R1283" s="1" t="s">
        <v>163</v>
      </c>
      <c r="S1283" s="1">
        <v>97</v>
      </c>
      <c r="T1283" s="1">
        <v>116</v>
      </c>
    </row>
    <row r="1284" spans="1:20" ht="21" customHeight="1">
      <c r="A1284" s="8">
        <v>46261</v>
      </c>
      <c r="B1284" s="1" t="s">
        <v>34</v>
      </c>
      <c r="C1284" s="1" t="s">
        <v>87</v>
      </c>
      <c r="D1284" s="7">
        <v>5000</v>
      </c>
      <c r="E1284" s="7">
        <v>5200</v>
      </c>
      <c r="F1284" s="7">
        <v>5400</v>
      </c>
      <c r="G1284" s="7">
        <f>'Option source'!B83</f>
        <v>2030</v>
      </c>
      <c r="H1284" s="7">
        <f>'Option source'!B102</f>
        <v>1861.9</v>
      </c>
      <c r="I1284" s="7">
        <f>'Option source'!B121</f>
        <v>1790.79</v>
      </c>
      <c r="J1284" s="7">
        <f t="shared" si="133"/>
        <v>96.989999999999782</v>
      </c>
      <c r="K1284" s="7">
        <f t="shared" si="134"/>
        <v>200</v>
      </c>
      <c r="L1284" s="7">
        <f t="shared" si="135"/>
        <v>103.01000000000022</v>
      </c>
      <c r="M1284" s="7">
        <f t="shared" si="136"/>
        <v>96.989999999999782</v>
      </c>
      <c r="N1284" s="7">
        <f t="shared" si="137"/>
        <v>5096.99</v>
      </c>
      <c r="O1284" s="7">
        <f t="shared" si="138"/>
        <v>5303.01</v>
      </c>
      <c r="P1284" s="15">
        <f t="shared" si="139"/>
        <v>1.0620682544592273</v>
      </c>
      <c r="Q1284" s="7">
        <f>J1284*'Model inputs'!$B$8</f>
        <v>9698.9999999999782</v>
      </c>
      <c r="R1284" s="1" t="s">
        <v>164</v>
      </c>
      <c r="S1284" s="1">
        <v>78</v>
      </c>
      <c r="T1284" s="1">
        <v>97</v>
      </c>
    </row>
    <row r="1285" spans="1:20" ht="21" customHeight="1">
      <c r="A1285" s="8">
        <v>46261</v>
      </c>
      <c r="B1285" s="1" t="s">
        <v>34</v>
      </c>
      <c r="C1285" s="1" t="s">
        <v>90</v>
      </c>
      <c r="D1285" s="7">
        <v>8300</v>
      </c>
      <c r="E1285" s="7">
        <v>8600</v>
      </c>
      <c r="F1285" s="7">
        <v>8900</v>
      </c>
      <c r="G1285" s="7">
        <f>'Option source'!B871</f>
        <v>1291.94</v>
      </c>
      <c r="H1285" s="7">
        <f>'Option source'!B890</f>
        <v>1725</v>
      </c>
      <c r="I1285" s="7">
        <f>'Option source'!B905</f>
        <v>2022.5</v>
      </c>
      <c r="J1285" s="7">
        <f t="shared" si="133"/>
        <v>-135.55999999999995</v>
      </c>
      <c r="K1285" s="7">
        <f t="shared" si="134"/>
        <v>300</v>
      </c>
      <c r="L1285" s="7">
        <f t="shared" si="135"/>
        <v>435.55999999999995</v>
      </c>
      <c r="M1285" s="7">
        <f t="shared" si="136"/>
        <v>0</v>
      </c>
      <c r="N1285" s="7" t="str">
        <f t="shared" si="137"/>
        <v>n.a.</v>
      </c>
      <c r="O1285" s="7" t="str">
        <f t="shared" si="138"/>
        <v>n.a.</v>
      </c>
      <c r="P1285" s="15" t="str">
        <f t="shared" si="139"/>
        <v>n.a.</v>
      </c>
      <c r="Q1285" s="7">
        <f>J1285*'Model inputs'!$B$8</f>
        <v>-13555.999999999995</v>
      </c>
      <c r="R1285" s="1" t="s">
        <v>163</v>
      </c>
      <c r="S1285" s="1">
        <v>866</v>
      </c>
      <c r="T1285" s="1">
        <v>885</v>
      </c>
    </row>
    <row r="1286" spans="1:20" ht="21" customHeight="1">
      <c r="A1286" s="8">
        <v>46261</v>
      </c>
      <c r="B1286" s="1" t="s">
        <v>34</v>
      </c>
      <c r="C1286" s="1" t="s">
        <v>87</v>
      </c>
      <c r="D1286" s="7">
        <v>4800</v>
      </c>
      <c r="E1286" s="7">
        <v>5000</v>
      </c>
      <c r="F1286" s="7">
        <v>5200</v>
      </c>
      <c r="G1286" s="7">
        <f>'Option source'!B66</f>
        <v>2186.6</v>
      </c>
      <c r="H1286" s="7">
        <f>'Option source'!B83</f>
        <v>2030</v>
      </c>
      <c r="I1286" s="7">
        <f>'Option source'!B102</f>
        <v>1861.9</v>
      </c>
      <c r="J1286" s="7">
        <f t="shared" si="133"/>
        <v>-11.5</v>
      </c>
      <c r="K1286" s="7">
        <f t="shared" si="134"/>
        <v>200</v>
      </c>
      <c r="L1286" s="7">
        <f t="shared" si="135"/>
        <v>211.5</v>
      </c>
      <c r="M1286" s="7">
        <f t="shared" si="136"/>
        <v>0</v>
      </c>
      <c r="N1286" s="7" t="str">
        <f t="shared" si="137"/>
        <v>n.a.</v>
      </c>
      <c r="O1286" s="7" t="str">
        <f t="shared" si="138"/>
        <v>n.a.</v>
      </c>
      <c r="P1286" s="15" t="str">
        <f t="shared" si="139"/>
        <v>n.a.</v>
      </c>
      <c r="Q1286" s="7">
        <f>J1286*'Model inputs'!$B$8</f>
        <v>-1150</v>
      </c>
      <c r="R1286" s="1" t="s">
        <v>163</v>
      </c>
      <c r="S1286" s="1">
        <v>61</v>
      </c>
      <c r="T1286" s="1">
        <v>78</v>
      </c>
    </row>
    <row r="1287" spans="1:20" ht="21" customHeight="1">
      <c r="A1287" s="8">
        <v>46261</v>
      </c>
      <c r="B1287" s="1" t="s">
        <v>34</v>
      </c>
      <c r="C1287" s="1" t="s">
        <v>87</v>
      </c>
      <c r="D1287" s="7">
        <v>4600</v>
      </c>
      <c r="E1287" s="7">
        <v>4800</v>
      </c>
      <c r="F1287" s="7">
        <v>5000</v>
      </c>
      <c r="G1287" s="7">
        <f>'Option source'!B49</f>
        <v>2400.31</v>
      </c>
      <c r="H1287" s="7">
        <f>'Option source'!B66</f>
        <v>2186.6</v>
      </c>
      <c r="I1287" s="7">
        <f>'Option source'!B83</f>
        <v>2030</v>
      </c>
      <c r="J1287" s="7">
        <f t="shared" ref="J1287:J1350" si="140">G1287-2*H1287+IF(B1287="Butterfly",I1287,0)</f>
        <v>57.110000000000127</v>
      </c>
      <c r="K1287" s="7">
        <f t="shared" ref="K1287:K1350" si="141">ABS(E1287-D1287)</f>
        <v>200</v>
      </c>
      <c r="L1287" s="7">
        <f t="shared" ref="L1287:L1350" si="142">K1287-J1287</f>
        <v>142.88999999999987</v>
      </c>
      <c r="M1287" s="7">
        <f t="shared" ref="M1287:M1350" si="143">IF(B1287="Butterfly",MAX(J1287,0),IF(C1287="call","Unlimited",MAX(2*E1287-D1287+J1287,J1287,0)))</f>
        <v>57.110000000000127</v>
      </c>
      <c r="N1287" s="7">
        <f t="shared" ref="N1287:N1350" si="144">IF(B1287="Butterfly",IF(AND(J1287&gt;0,J1287&lt;K1287),D1287+J1287,"n.a."),IF(C1287="call",IF(AND(J1287&gt;0,J1287&lt;K1287),D1287+J1287,"n.a."),IF(AND(K1287&gt;J1287,2*E1287-D1287+J1287&gt;=0),2*E1287-D1287+J1287,"n.a.")))</f>
        <v>4657.1100000000006</v>
      </c>
      <c r="O1287" s="7">
        <f t="shared" ref="O1287:O1350" si="145">IF(B1287="Butterfly",IF(AND(J1287&gt;0,J1287&lt;K1287),F1287-J1287,"n.a."),IF(C1287="call",IF(K1287&gt;J1287,2*E1287-D1287-J1287,"n.a."),IF(AND(J1287&gt;0,J1287&lt;K1287),D1287-J1287,"n.a.")))</f>
        <v>4942.8899999999994</v>
      </c>
      <c r="P1287" s="15">
        <f t="shared" ref="P1287:P1350" si="146">IF(AND(B1287="Butterfly",J1287&gt;0,J1287&lt;K1287),L1287/J1287,"n.a.")</f>
        <v>2.5020136578532579</v>
      </c>
      <c r="Q1287" s="7">
        <f>J1287*'Model inputs'!$B$8</f>
        <v>5711.0000000000127</v>
      </c>
      <c r="R1287" s="1" t="s">
        <v>164</v>
      </c>
      <c r="S1287" s="1">
        <v>44</v>
      </c>
      <c r="T1287" s="1">
        <v>61</v>
      </c>
    </row>
    <row r="1288" spans="1:20" ht="21" customHeight="1">
      <c r="A1288" s="8">
        <v>46261</v>
      </c>
      <c r="B1288" s="1" t="s">
        <v>34</v>
      </c>
      <c r="C1288" s="1" t="s">
        <v>87</v>
      </c>
      <c r="D1288" s="7">
        <v>4400</v>
      </c>
      <c r="E1288" s="7">
        <v>4600</v>
      </c>
      <c r="F1288" s="7">
        <v>4800</v>
      </c>
      <c r="G1288" s="7">
        <f>'Option source'!B30</f>
        <v>2387.12</v>
      </c>
      <c r="H1288" s="7">
        <f>'Option source'!B49</f>
        <v>2400.31</v>
      </c>
      <c r="I1288" s="7">
        <f>'Option source'!B66</f>
        <v>2186.6</v>
      </c>
      <c r="J1288" s="7">
        <f t="shared" si="140"/>
        <v>-226.90000000000009</v>
      </c>
      <c r="K1288" s="7">
        <f t="shared" si="141"/>
        <v>200</v>
      </c>
      <c r="L1288" s="7">
        <f t="shared" si="142"/>
        <v>426.90000000000009</v>
      </c>
      <c r="M1288" s="7">
        <f t="shared" si="143"/>
        <v>0</v>
      </c>
      <c r="N1288" s="7" t="str">
        <f t="shared" si="144"/>
        <v>n.a.</v>
      </c>
      <c r="O1288" s="7" t="str">
        <f t="shared" si="145"/>
        <v>n.a.</v>
      </c>
      <c r="P1288" s="15" t="str">
        <f t="shared" si="146"/>
        <v>n.a.</v>
      </c>
      <c r="Q1288" s="7">
        <f>J1288*'Model inputs'!$B$8</f>
        <v>-22690.000000000007</v>
      </c>
      <c r="R1288" s="1" t="s">
        <v>163</v>
      </c>
      <c r="S1288" s="1">
        <v>25</v>
      </c>
      <c r="T1288" s="1">
        <v>44</v>
      </c>
    </row>
    <row r="1289" spans="1:20" ht="21" customHeight="1">
      <c r="A1289" s="8">
        <v>46261</v>
      </c>
      <c r="B1289" s="1" t="s">
        <v>34</v>
      </c>
      <c r="C1289" s="1" t="s">
        <v>87</v>
      </c>
      <c r="D1289" s="7">
        <v>4200</v>
      </c>
      <c r="E1289" s="7">
        <v>4400</v>
      </c>
      <c r="F1289" s="7">
        <v>4600</v>
      </c>
      <c r="G1289" s="7">
        <f>'Option source'!B11</f>
        <v>2815</v>
      </c>
      <c r="H1289" s="7">
        <f>'Option source'!B30</f>
        <v>2387.12</v>
      </c>
      <c r="I1289" s="7">
        <f>'Option source'!B49</f>
        <v>2400.31</v>
      </c>
      <c r="J1289" s="7">
        <f t="shared" si="140"/>
        <v>441.07000000000016</v>
      </c>
      <c r="K1289" s="7">
        <f t="shared" si="141"/>
        <v>200</v>
      </c>
      <c r="L1289" s="7">
        <f t="shared" si="142"/>
        <v>-241.07000000000016</v>
      </c>
      <c r="M1289" s="7">
        <f t="shared" si="143"/>
        <v>441.07000000000016</v>
      </c>
      <c r="N1289" s="7" t="str">
        <f t="shared" si="144"/>
        <v>n.a.</v>
      </c>
      <c r="O1289" s="7" t="str">
        <f t="shared" si="145"/>
        <v>n.a.</v>
      </c>
      <c r="P1289" s="15" t="str">
        <f t="shared" si="146"/>
        <v>n.a.</v>
      </c>
      <c r="Q1289" s="7">
        <f>J1289*'Model inputs'!$B$8</f>
        <v>44107.000000000015</v>
      </c>
      <c r="R1289" s="1" t="s">
        <v>163</v>
      </c>
      <c r="S1289" s="1">
        <v>6</v>
      </c>
      <c r="T1289" s="1">
        <v>25</v>
      </c>
    </row>
    <row r="1290" spans="1:20" ht="21" customHeight="1">
      <c r="A1290" s="8">
        <v>46261</v>
      </c>
      <c r="B1290" s="1" t="s">
        <v>36</v>
      </c>
      <c r="C1290" s="1" t="s">
        <v>87</v>
      </c>
      <c r="D1290" s="7">
        <v>6600</v>
      </c>
      <c r="E1290" s="7">
        <v>6800</v>
      </c>
      <c r="F1290" s="7"/>
      <c r="G1290" s="7">
        <f>'Option source'!B225</f>
        <v>706.67</v>
      </c>
      <c r="H1290" s="7">
        <f>'Option source'!B244</f>
        <v>587.6</v>
      </c>
      <c r="I1290" s="7"/>
      <c r="J1290" s="7">
        <f t="shared" si="140"/>
        <v>-468.53000000000009</v>
      </c>
      <c r="K1290" s="7">
        <f t="shared" si="141"/>
        <v>200</v>
      </c>
      <c r="L1290" s="7">
        <f t="shared" si="142"/>
        <v>668.53000000000009</v>
      </c>
      <c r="M1290" s="7" t="str">
        <f t="shared" si="143"/>
        <v>Unlimited</v>
      </c>
      <c r="N1290" s="7" t="str">
        <f t="shared" si="144"/>
        <v>n.a.</v>
      </c>
      <c r="O1290" s="7">
        <f t="shared" si="145"/>
        <v>7468.53</v>
      </c>
      <c r="P1290" s="15" t="str">
        <f t="shared" si="146"/>
        <v>n.a.</v>
      </c>
      <c r="Q1290" s="7">
        <f>J1290*'Model inputs'!$B$8</f>
        <v>-46853.000000000007</v>
      </c>
      <c r="R1290" s="1" t="s">
        <v>162</v>
      </c>
      <c r="S1290" s="1">
        <v>220</v>
      </c>
      <c r="T1290" s="1">
        <v>239</v>
      </c>
    </row>
    <row r="1291" spans="1:20" ht="21" customHeight="1">
      <c r="A1291" s="8">
        <v>46261</v>
      </c>
      <c r="B1291" s="1" t="s">
        <v>36</v>
      </c>
      <c r="C1291" s="1" t="s">
        <v>90</v>
      </c>
      <c r="D1291" s="7">
        <v>7000</v>
      </c>
      <c r="E1291" s="7">
        <v>6800</v>
      </c>
      <c r="F1291" s="7"/>
      <c r="G1291" s="7">
        <f>'Option source'!B757</f>
        <v>414.3</v>
      </c>
      <c r="H1291" s="7">
        <f>'Option source'!B738</f>
        <v>319.7</v>
      </c>
      <c r="I1291" s="7"/>
      <c r="J1291" s="7">
        <f t="shared" si="140"/>
        <v>-225.09999999999997</v>
      </c>
      <c r="K1291" s="7">
        <f t="shared" si="141"/>
        <v>200</v>
      </c>
      <c r="L1291" s="7">
        <f t="shared" si="142"/>
        <v>425.09999999999997</v>
      </c>
      <c r="M1291" s="7">
        <f t="shared" si="143"/>
        <v>6374.9</v>
      </c>
      <c r="N1291" s="7">
        <f t="shared" si="144"/>
        <v>6374.9</v>
      </c>
      <c r="O1291" s="7" t="str">
        <f t="shared" si="145"/>
        <v>n.a.</v>
      </c>
      <c r="P1291" s="15" t="str">
        <f t="shared" si="146"/>
        <v>n.a.</v>
      </c>
      <c r="Q1291" s="7">
        <f>J1291*'Model inputs'!$B$8</f>
        <v>-22509.999999999996</v>
      </c>
      <c r="R1291" s="1" t="s">
        <v>162</v>
      </c>
      <c r="S1291" s="1">
        <v>752</v>
      </c>
      <c r="T1291" s="1">
        <v>733</v>
      </c>
    </row>
    <row r="1292" spans="1:20" ht="21" customHeight="1">
      <c r="A1292" s="8">
        <v>46261</v>
      </c>
      <c r="B1292" s="1" t="s">
        <v>36</v>
      </c>
      <c r="C1292" s="1" t="s">
        <v>87</v>
      </c>
      <c r="D1292" s="7">
        <v>6800</v>
      </c>
      <c r="E1292" s="7">
        <v>7000</v>
      </c>
      <c r="F1292" s="7"/>
      <c r="G1292" s="7">
        <f>'Option source'!B244</f>
        <v>587.6</v>
      </c>
      <c r="H1292" s="7">
        <f>'Option source'!B263</f>
        <v>484.8</v>
      </c>
      <c r="I1292" s="7"/>
      <c r="J1292" s="7">
        <f t="shared" si="140"/>
        <v>-382</v>
      </c>
      <c r="K1292" s="7">
        <f t="shared" si="141"/>
        <v>200</v>
      </c>
      <c r="L1292" s="7">
        <f t="shared" si="142"/>
        <v>582</v>
      </c>
      <c r="M1292" s="7" t="str">
        <f t="shared" si="143"/>
        <v>Unlimited</v>
      </c>
      <c r="N1292" s="7" t="str">
        <f t="shared" si="144"/>
        <v>n.a.</v>
      </c>
      <c r="O1292" s="7">
        <f t="shared" si="145"/>
        <v>7582</v>
      </c>
      <c r="P1292" s="15" t="str">
        <f t="shared" si="146"/>
        <v>n.a.</v>
      </c>
      <c r="Q1292" s="7">
        <f>J1292*'Model inputs'!$B$8</f>
        <v>-38200</v>
      </c>
      <c r="R1292" s="1" t="s">
        <v>162</v>
      </c>
      <c r="S1292" s="1">
        <v>239</v>
      </c>
      <c r="T1292" s="1">
        <v>258</v>
      </c>
    </row>
    <row r="1293" spans="1:20" ht="21" customHeight="1">
      <c r="A1293" s="8">
        <v>46261</v>
      </c>
      <c r="B1293" s="1" t="s">
        <v>36</v>
      </c>
      <c r="C1293" s="1" t="s">
        <v>90</v>
      </c>
      <c r="D1293" s="7">
        <v>7200</v>
      </c>
      <c r="E1293" s="7">
        <v>7000</v>
      </c>
      <c r="F1293" s="7"/>
      <c r="G1293" s="7">
        <f>'Option source'!B776</f>
        <v>525.21</v>
      </c>
      <c r="H1293" s="7">
        <f>'Option source'!B757</f>
        <v>414.3</v>
      </c>
      <c r="I1293" s="7"/>
      <c r="J1293" s="7">
        <f t="shared" si="140"/>
        <v>-303.39</v>
      </c>
      <c r="K1293" s="7">
        <f t="shared" si="141"/>
        <v>200</v>
      </c>
      <c r="L1293" s="7">
        <f t="shared" si="142"/>
        <v>503.39</v>
      </c>
      <c r="M1293" s="7">
        <f t="shared" si="143"/>
        <v>6496.61</v>
      </c>
      <c r="N1293" s="7">
        <f t="shared" si="144"/>
        <v>6496.61</v>
      </c>
      <c r="O1293" s="7" t="str">
        <f t="shared" si="145"/>
        <v>n.a.</v>
      </c>
      <c r="P1293" s="15" t="str">
        <f t="shared" si="146"/>
        <v>n.a.</v>
      </c>
      <c r="Q1293" s="7">
        <f>J1293*'Model inputs'!$B$8</f>
        <v>-30339</v>
      </c>
      <c r="R1293" s="1" t="s">
        <v>162</v>
      </c>
      <c r="S1293" s="1">
        <v>771</v>
      </c>
      <c r="T1293" s="1">
        <v>752</v>
      </c>
    </row>
    <row r="1294" spans="1:20" ht="21" customHeight="1">
      <c r="A1294" s="8">
        <v>46261</v>
      </c>
      <c r="B1294" s="1" t="s">
        <v>36</v>
      </c>
      <c r="C1294" s="1" t="s">
        <v>87</v>
      </c>
      <c r="D1294" s="7">
        <v>6400</v>
      </c>
      <c r="E1294" s="7">
        <v>6600</v>
      </c>
      <c r="F1294" s="7"/>
      <c r="G1294" s="7">
        <f>'Option source'!B206</f>
        <v>843.84</v>
      </c>
      <c r="H1294" s="7">
        <f>'Option source'!B225</f>
        <v>706.67</v>
      </c>
      <c r="I1294" s="7"/>
      <c r="J1294" s="7">
        <f t="shared" si="140"/>
        <v>-569.49999999999989</v>
      </c>
      <c r="K1294" s="7">
        <f t="shared" si="141"/>
        <v>200</v>
      </c>
      <c r="L1294" s="7">
        <f t="shared" si="142"/>
        <v>769.49999999999989</v>
      </c>
      <c r="M1294" s="7" t="str">
        <f t="shared" si="143"/>
        <v>Unlimited</v>
      </c>
      <c r="N1294" s="7" t="str">
        <f t="shared" si="144"/>
        <v>n.a.</v>
      </c>
      <c r="O1294" s="7">
        <f t="shared" si="145"/>
        <v>7369.5</v>
      </c>
      <c r="P1294" s="15" t="str">
        <f t="shared" si="146"/>
        <v>n.a.</v>
      </c>
      <c r="Q1294" s="7">
        <f>J1294*'Model inputs'!$B$8</f>
        <v>-56949.999999999985</v>
      </c>
      <c r="R1294" s="1" t="s">
        <v>162</v>
      </c>
      <c r="S1294" s="1">
        <v>201</v>
      </c>
      <c r="T1294" s="1">
        <v>220</v>
      </c>
    </row>
    <row r="1295" spans="1:20" ht="21" customHeight="1">
      <c r="A1295" s="8">
        <v>46261</v>
      </c>
      <c r="B1295" s="1" t="s">
        <v>36</v>
      </c>
      <c r="C1295" s="1" t="s">
        <v>90</v>
      </c>
      <c r="D1295" s="7">
        <v>6800</v>
      </c>
      <c r="E1295" s="7">
        <v>6600</v>
      </c>
      <c r="F1295" s="7"/>
      <c r="G1295" s="7">
        <f>'Option source'!B738</f>
        <v>319.7</v>
      </c>
      <c r="H1295" s="7">
        <f>'Option source'!B719</f>
        <v>237.9</v>
      </c>
      <c r="I1295" s="7"/>
      <c r="J1295" s="7">
        <f t="shared" si="140"/>
        <v>-156.10000000000002</v>
      </c>
      <c r="K1295" s="7">
        <f t="shared" si="141"/>
        <v>200</v>
      </c>
      <c r="L1295" s="7">
        <f t="shared" si="142"/>
        <v>356.1</v>
      </c>
      <c r="M1295" s="7">
        <f t="shared" si="143"/>
        <v>6243.9</v>
      </c>
      <c r="N1295" s="7">
        <f t="shared" si="144"/>
        <v>6243.9</v>
      </c>
      <c r="O1295" s="7" t="str">
        <f t="shared" si="145"/>
        <v>n.a.</v>
      </c>
      <c r="P1295" s="15" t="str">
        <f t="shared" si="146"/>
        <v>n.a.</v>
      </c>
      <c r="Q1295" s="7">
        <f>J1295*'Model inputs'!$B$8</f>
        <v>-15610.000000000002</v>
      </c>
      <c r="R1295" s="1" t="s">
        <v>162</v>
      </c>
      <c r="S1295" s="1">
        <v>733</v>
      </c>
      <c r="T1295" s="1">
        <v>714</v>
      </c>
    </row>
    <row r="1296" spans="1:20" ht="21" customHeight="1">
      <c r="A1296" s="8">
        <v>46261</v>
      </c>
      <c r="B1296" s="1" t="s">
        <v>36</v>
      </c>
      <c r="C1296" s="1" t="s">
        <v>87</v>
      </c>
      <c r="D1296" s="7">
        <v>7000</v>
      </c>
      <c r="E1296" s="7">
        <v>7200</v>
      </c>
      <c r="F1296" s="7"/>
      <c r="G1296" s="7">
        <f>'Option source'!B263</f>
        <v>484.8</v>
      </c>
      <c r="H1296" s="7">
        <f>'Option source'!B282</f>
        <v>393.33</v>
      </c>
      <c r="I1296" s="7"/>
      <c r="J1296" s="7">
        <f t="shared" si="140"/>
        <v>-301.85999999999996</v>
      </c>
      <c r="K1296" s="7">
        <f t="shared" si="141"/>
        <v>200</v>
      </c>
      <c r="L1296" s="7">
        <f t="shared" si="142"/>
        <v>501.85999999999996</v>
      </c>
      <c r="M1296" s="7" t="str">
        <f t="shared" si="143"/>
        <v>Unlimited</v>
      </c>
      <c r="N1296" s="7" t="str">
        <f t="shared" si="144"/>
        <v>n.a.</v>
      </c>
      <c r="O1296" s="7">
        <f t="shared" si="145"/>
        <v>7701.86</v>
      </c>
      <c r="P1296" s="15" t="str">
        <f t="shared" si="146"/>
        <v>n.a.</v>
      </c>
      <c r="Q1296" s="7">
        <f>J1296*'Model inputs'!$B$8</f>
        <v>-30185.999999999996</v>
      </c>
      <c r="R1296" s="1" t="s">
        <v>162</v>
      </c>
      <c r="S1296" s="1">
        <v>258</v>
      </c>
      <c r="T1296" s="1">
        <v>277</v>
      </c>
    </row>
    <row r="1297" spans="1:20" ht="21" customHeight="1">
      <c r="A1297" s="8">
        <v>46261</v>
      </c>
      <c r="B1297" s="1" t="s">
        <v>36</v>
      </c>
      <c r="C1297" s="1" t="s">
        <v>90</v>
      </c>
      <c r="D1297" s="7">
        <v>7400</v>
      </c>
      <c r="E1297" s="7">
        <v>7200</v>
      </c>
      <c r="F1297" s="7"/>
      <c r="G1297" s="7">
        <f>'Option source'!B795</f>
        <v>630.02</v>
      </c>
      <c r="H1297" s="7">
        <f>'Option source'!B776</f>
        <v>525.21</v>
      </c>
      <c r="I1297" s="7"/>
      <c r="J1297" s="7">
        <f t="shared" si="140"/>
        <v>-420.40000000000009</v>
      </c>
      <c r="K1297" s="7">
        <f t="shared" si="141"/>
        <v>200</v>
      </c>
      <c r="L1297" s="7">
        <f t="shared" si="142"/>
        <v>620.40000000000009</v>
      </c>
      <c r="M1297" s="7">
        <f t="shared" si="143"/>
        <v>6579.6</v>
      </c>
      <c r="N1297" s="7">
        <f t="shared" si="144"/>
        <v>6579.6</v>
      </c>
      <c r="O1297" s="7" t="str">
        <f t="shared" si="145"/>
        <v>n.a.</v>
      </c>
      <c r="P1297" s="15" t="str">
        <f t="shared" si="146"/>
        <v>n.a.</v>
      </c>
      <c r="Q1297" s="7">
        <f>J1297*'Model inputs'!$B$8</f>
        <v>-42040.000000000007</v>
      </c>
      <c r="R1297" s="1" t="s">
        <v>162</v>
      </c>
      <c r="S1297" s="1">
        <v>790</v>
      </c>
      <c r="T1297" s="1">
        <v>771</v>
      </c>
    </row>
    <row r="1298" spans="1:20" ht="21" customHeight="1">
      <c r="A1298" s="8">
        <v>46261</v>
      </c>
      <c r="B1298" s="1" t="s">
        <v>36</v>
      </c>
      <c r="C1298" s="1" t="s">
        <v>87</v>
      </c>
      <c r="D1298" s="7">
        <v>6200</v>
      </c>
      <c r="E1298" s="7">
        <v>6400</v>
      </c>
      <c r="F1298" s="7"/>
      <c r="G1298" s="7">
        <f>'Option source'!B187</f>
        <v>1000</v>
      </c>
      <c r="H1298" s="7">
        <f>'Option source'!B206</f>
        <v>843.84</v>
      </c>
      <c r="I1298" s="7"/>
      <c r="J1298" s="7">
        <f t="shared" si="140"/>
        <v>-687.68000000000006</v>
      </c>
      <c r="K1298" s="7">
        <f t="shared" si="141"/>
        <v>200</v>
      </c>
      <c r="L1298" s="7">
        <f t="shared" si="142"/>
        <v>887.68000000000006</v>
      </c>
      <c r="M1298" s="7" t="str">
        <f t="shared" si="143"/>
        <v>Unlimited</v>
      </c>
      <c r="N1298" s="7" t="str">
        <f t="shared" si="144"/>
        <v>n.a.</v>
      </c>
      <c r="O1298" s="7">
        <f t="shared" si="145"/>
        <v>7287.68</v>
      </c>
      <c r="P1298" s="15" t="str">
        <f t="shared" si="146"/>
        <v>n.a.</v>
      </c>
      <c r="Q1298" s="7">
        <f>J1298*'Model inputs'!$B$8</f>
        <v>-68768</v>
      </c>
      <c r="R1298" s="1" t="s">
        <v>162</v>
      </c>
      <c r="S1298" s="1">
        <v>182</v>
      </c>
      <c r="T1298" s="1">
        <v>201</v>
      </c>
    </row>
    <row r="1299" spans="1:20" ht="21" customHeight="1">
      <c r="A1299" s="8">
        <v>46261</v>
      </c>
      <c r="B1299" s="1" t="s">
        <v>36</v>
      </c>
      <c r="C1299" s="1" t="s">
        <v>90</v>
      </c>
      <c r="D1299" s="7">
        <v>6600</v>
      </c>
      <c r="E1299" s="7">
        <v>6400</v>
      </c>
      <c r="F1299" s="7"/>
      <c r="G1299" s="7">
        <f>'Option source'!B719</f>
        <v>237.9</v>
      </c>
      <c r="H1299" s="7">
        <f>'Option source'!B700</f>
        <v>172.27</v>
      </c>
      <c r="I1299" s="7"/>
      <c r="J1299" s="7">
        <f t="shared" si="140"/>
        <v>-106.64000000000001</v>
      </c>
      <c r="K1299" s="7">
        <f t="shared" si="141"/>
        <v>200</v>
      </c>
      <c r="L1299" s="7">
        <f t="shared" si="142"/>
        <v>306.64</v>
      </c>
      <c r="M1299" s="7">
        <f t="shared" si="143"/>
        <v>6093.36</v>
      </c>
      <c r="N1299" s="7">
        <f t="shared" si="144"/>
        <v>6093.36</v>
      </c>
      <c r="O1299" s="7" t="str">
        <f t="shared" si="145"/>
        <v>n.a.</v>
      </c>
      <c r="P1299" s="15" t="str">
        <f t="shared" si="146"/>
        <v>n.a.</v>
      </c>
      <c r="Q1299" s="7">
        <f>J1299*'Model inputs'!$B$8</f>
        <v>-10664.000000000002</v>
      </c>
      <c r="R1299" s="1" t="s">
        <v>162</v>
      </c>
      <c r="S1299" s="1">
        <v>714</v>
      </c>
      <c r="T1299" s="1">
        <v>695</v>
      </c>
    </row>
    <row r="1300" spans="1:20" ht="21" customHeight="1">
      <c r="A1300" s="8">
        <v>46261</v>
      </c>
      <c r="B1300" s="1" t="s">
        <v>36</v>
      </c>
      <c r="C1300" s="1" t="s">
        <v>87</v>
      </c>
      <c r="D1300" s="7">
        <v>7200</v>
      </c>
      <c r="E1300" s="7">
        <v>7400</v>
      </c>
      <c r="F1300" s="7"/>
      <c r="G1300" s="7">
        <f>'Option source'!B282</f>
        <v>393.33</v>
      </c>
      <c r="H1300" s="7">
        <f>'Option source'!B301</f>
        <v>310.39</v>
      </c>
      <c r="I1300" s="7"/>
      <c r="J1300" s="7">
        <f t="shared" si="140"/>
        <v>-227.45</v>
      </c>
      <c r="K1300" s="7">
        <f t="shared" si="141"/>
        <v>200</v>
      </c>
      <c r="L1300" s="7">
        <f t="shared" si="142"/>
        <v>427.45</v>
      </c>
      <c r="M1300" s="7" t="str">
        <f t="shared" si="143"/>
        <v>Unlimited</v>
      </c>
      <c r="N1300" s="7" t="str">
        <f t="shared" si="144"/>
        <v>n.a.</v>
      </c>
      <c r="O1300" s="7">
        <f t="shared" si="145"/>
        <v>7827.45</v>
      </c>
      <c r="P1300" s="15" t="str">
        <f t="shared" si="146"/>
        <v>n.a.</v>
      </c>
      <c r="Q1300" s="7">
        <f>J1300*'Model inputs'!$B$8</f>
        <v>-22745</v>
      </c>
      <c r="R1300" s="1" t="s">
        <v>162</v>
      </c>
      <c r="S1300" s="1">
        <v>277</v>
      </c>
      <c r="T1300" s="1">
        <v>296</v>
      </c>
    </row>
    <row r="1301" spans="1:20" ht="21" customHeight="1">
      <c r="A1301" s="8">
        <v>46261</v>
      </c>
      <c r="B1301" s="1" t="s">
        <v>36</v>
      </c>
      <c r="C1301" s="1" t="s">
        <v>87</v>
      </c>
      <c r="D1301" s="7">
        <v>6000</v>
      </c>
      <c r="E1301" s="7">
        <v>6200</v>
      </c>
      <c r="F1301" s="7"/>
      <c r="G1301" s="7">
        <f>'Option source'!B168</f>
        <v>1178.78</v>
      </c>
      <c r="H1301" s="7">
        <f>'Option source'!B187</f>
        <v>1000</v>
      </c>
      <c r="I1301" s="7"/>
      <c r="J1301" s="7">
        <f t="shared" si="140"/>
        <v>-821.22</v>
      </c>
      <c r="K1301" s="7">
        <f t="shared" si="141"/>
        <v>200</v>
      </c>
      <c r="L1301" s="7">
        <f t="shared" si="142"/>
        <v>1021.22</v>
      </c>
      <c r="M1301" s="7" t="str">
        <f t="shared" si="143"/>
        <v>Unlimited</v>
      </c>
      <c r="N1301" s="7" t="str">
        <f t="shared" si="144"/>
        <v>n.a.</v>
      </c>
      <c r="O1301" s="7">
        <f t="shared" si="145"/>
        <v>7221.22</v>
      </c>
      <c r="P1301" s="15" t="str">
        <f t="shared" si="146"/>
        <v>n.a.</v>
      </c>
      <c r="Q1301" s="7">
        <f>J1301*'Model inputs'!$B$8</f>
        <v>-82122</v>
      </c>
      <c r="R1301" s="1" t="s">
        <v>162</v>
      </c>
      <c r="S1301" s="1">
        <v>163</v>
      </c>
      <c r="T1301" s="1">
        <v>182</v>
      </c>
    </row>
    <row r="1302" spans="1:20" ht="21" customHeight="1">
      <c r="A1302" s="8">
        <v>46261</v>
      </c>
      <c r="B1302" s="1" t="s">
        <v>36</v>
      </c>
      <c r="C1302" s="1" t="s">
        <v>90</v>
      </c>
      <c r="D1302" s="7">
        <v>6400</v>
      </c>
      <c r="E1302" s="7">
        <v>6200</v>
      </c>
      <c r="F1302" s="7"/>
      <c r="G1302" s="7">
        <f>'Option source'!B700</f>
        <v>172.27</v>
      </c>
      <c r="H1302" s="7">
        <f>'Option source'!B681</f>
        <v>119.95</v>
      </c>
      <c r="I1302" s="7"/>
      <c r="J1302" s="7">
        <f t="shared" si="140"/>
        <v>-67.63</v>
      </c>
      <c r="K1302" s="7">
        <f t="shared" si="141"/>
        <v>200</v>
      </c>
      <c r="L1302" s="7">
        <f t="shared" si="142"/>
        <v>267.63</v>
      </c>
      <c r="M1302" s="7">
        <f t="shared" si="143"/>
        <v>5932.37</v>
      </c>
      <c r="N1302" s="7">
        <f t="shared" si="144"/>
        <v>5932.37</v>
      </c>
      <c r="O1302" s="7" t="str">
        <f t="shared" si="145"/>
        <v>n.a.</v>
      </c>
      <c r="P1302" s="15" t="str">
        <f t="shared" si="146"/>
        <v>n.a.</v>
      </c>
      <c r="Q1302" s="7">
        <f>J1302*'Model inputs'!$B$8</f>
        <v>-6763</v>
      </c>
      <c r="R1302" s="1" t="s">
        <v>162</v>
      </c>
      <c r="S1302" s="1">
        <v>695</v>
      </c>
      <c r="T1302" s="1">
        <v>676</v>
      </c>
    </row>
    <row r="1303" spans="1:20" ht="21" customHeight="1">
      <c r="A1303" s="8">
        <v>46261</v>
      </c>
      <c r="B1303" s="1" t="s">
        <v>36</v>
      </c>
      <c r="C1303" s="1" t="s">
        <v>87</v>
      </c>
      <c r="D1303" s="7">
        <v>7400</v>
      </c>
      <c r="E1303" s="7">
        <v>7600</v>
      </c>
      <c r="F1303" s="7"/>
      <c r="G1303" s="7">
        <f>'Option source'!B301</f>
        <v>310.39</v>
      </c>
      <c r="H1303" s="7">
        <f>'Option source'!B320</f>
        <v>247.62</v>
      </c>
      <c r="I1303" s="7"/>
      <c r="J1303" s="7">
        <f t="shared" si="140"/>
        <v>-184.85000000000002</v>
      </c>
      <c r="K1303" s="7">
        <f t="shared" si="141"/>
        <v>200</v>
      </c>
      <c r="L1303" s="7">
        <f t="shared" si="142"/>
        <v>384.85</v>
      </c>
      <c r="M1303" s="7" t="str">
        <f t="shared" si="143"/>
        <v>Unlimited</v>
      </c>
      <c r="N1303" s="7" t="str">
        <f t="shared" si="144"/>
        <v>n.a.</v>
      </c>
      <c r="O1303" s="7">
        <f t="shared" si="145"/>
        <v>7984.85</v>
      </c>
      <c r="P1303" s="15" t="str">
        <f t="shared" si="146"/>
        <v>n.a.</v>
      </c>
      <c r="Q1303" s="7">
        <f>J1303*'Model inputs'!$B$8</f>
        <v>-18485.000000000004</v>
      </c>
      <c r="R1303" s="1" t="s">
        <v>162</v>
      </c>
      <c r="S1303" s="1">
        <v>296</v>
      </c>
      <c r="T1303" s="1">
        <v>315</v>
      </c>
    </row>
    <row r="1304" spans="1:20" ht="21" customHeight="1">
      <c r="A1304" s="8">
        <v>46261</v>
      </c>
      <c r="B1304" s="1" t="s">
        <v>36</v>
      </c>
      <c r="C1304" s="1" t="s">
        <v>90</v>
      </c>
      <c r="D1304" s="7">
        <v>6200</v>
      </c>
      <c r="E1304" s="7">
        <v>6000</v>
      </c>
      <c r="F1304" s="7"/>
      <c r="G1304" s="7">
        <f>'Option source'!B681</f>
        <v>119.95</v>
      </c>
      <c r="H1304" s="7">
        <f>'Option source'!B662</f>
        <v>81.77</v>
      </c>
      <c r="I1304" s="7"/>
      <c r="J1304" s="7">
        <f t="shared" si="140"/>
        <v>-43.589999999999989</v>
      </c>
      <c r="K1304" s="7">
        <f t="shared" si="141"/>
        <v>200</v>
      </c>
      <c r="L1304" s="7">
        <f t="shared" si="142"/>
        <v>243.58999999999997</v>
      </c>
      <c r="M1304" s="7">
        <f t="shared" si="143"/>
        <v>5756.41</v>
      </c>
      <c r="N1304" s="7">
        <f t="shared" si="144"/>
        <v>5756.41</v>
      </c>
      <c r="O1304" s="7" t="str">
        <f t="shared" si="145"/>
        <v>n.a.</v>
      </c>
      <c r="P1304" s="15" t="str">
        <f t="shared" si="146"/>
        <v>n.a.</v>
      </c>
      <c r="Q1304" s="7">
        <f>J1304*'Model inputs'!$B$8</f>
        <v>-4358.9999999999991</v>
      </c>
      <c r="R1304" s="1" t="s">
        <v>162</v>
      </c>
      <c r="S1304" s="1">
        <v>676</v>
      </c>
      <c r="T1304" s="1">
        <v>657</v>
      </c>
    </row>
    <row r="1305" spans="1:20" ht="21" customHeight="1">
      <c r="A1305" s="8">
        <v>46261</v>
      </c>
      <c r="B1305" s="1" t="s">
        <v>36</v>
      </c>
      <c r="C1305" s="1" t="s">
        <v>87</v>
      </c>
      <c r="D1305" s="7">
        <v>7600</v>
      </c>
      <c r="E1305" s="7">
        <v>7800</v>
      </c>
      <c r="F1305" s="7"/>
      <c r="G1305" s="7">
        <f>'Option source'!B320</f>
        <v>247.62</v>
      </c>
      <c r="H1305" s="7">
        <f>'Option source'!B339</f>
        <v>190.51</v>
      </c>
      <c r="I1305" s="7"/>
      <c r="J1305" s="7">
        <f t="shared" si="140"/>
        <v>-133.39999999999998</v>
      </c>
      <c r="K1305" s="7">
        <f t="shared" si="141"/>
        <v>200</v>
      </c>
      <c r="L1305" s="7">
        <f t="shared" si="142"/>
        <v>333.4</v>
      </c>
      <c r="M1305" s="7" t="str">
        <f t="shared" si="143"/>
        <v>Unlimited</v>
      </c>
      <c r="N1305" s="7" t="str">
        <f t="shared" si="144"/>
        <v>n.a.</v>
      </c>
      <c r="O1305" s="7">
        <f t="shared" si="145"/>
        <v>8133.4</v>
      </c>
      <c r="P1305" s="15" t="str">
        <f t="shared" si="146"/>
        <v>n.a.</v>
      </c>
      <c r="Q1305" s="7">
        <f>J1305*'Model inputs'!$B$8</f>
        <v>-13339.999999999998</v>
      </c>
      <c r="R1305" s="1" t="s">
        <v>162</v>
      </c>
      <c r="S1305" s="1">
        <v>315</v>
      </c>
      <c r="T1305" s="1">
        <v>334</v>
      </c>
    </row>
    <row r="1306" spans="1:20" ht="21" customHeight="1">
      <c r="A1306" s="8">
        <v>46261</v>
      </c>
      <c r="B1306" s="1" t="s">
        <v>36</v>
      </c>
      <c r="C1306" s="1" t="s">
        <v>90</v>
      </c>
      <c r="D1306" s="7">
        <v>6000</v>
      </c>
      <c r="E1306" s="7">
        <v>5800</v>
      </c>
      <c r="F1306" s="7"/>
      <c r="G1306" s="7">
        <f>'Option source'!B662</f>
        <v>81.77</v>
      </c>
      <c r="H1306" s="7">
        <f>'Option source'!B643</f>
        <v>52.63</v>
      </c>
      <c r="I1306" s="7"/>
      <c r="J1306" s="7">
        <f t="shared" si="140"/>
        <v>-23.490000000000009</v>
      </c>
      <c r="K1306" s="7">
        <f t="shared" si="141"/>
        <v>200</v>
      </c>
      <c r="L1306" s="7">
        <f t="shared" si="142"/>
        <v>223.49</v>
      </c>
      <c r="M1306" s="7">
        <f t="shared" si="143"/>
        <v>5576.51</v>
      </c>
      <c r="N1306" s="7">
        <f t="shared" si="144"/>
        <v>5576.51</v>
      </c>
      <c r="O1306" s="7" t="str">
        <f t="shared" si="145"/>
        <v>n.a.</v>
      </c>
      <c r="P1306" s="15" t="str">
        <f t="shared" si="146"/>
        <v>n.a.</v>
      </c>
      <c r="Q1306" s="7">
        <f>J1306*'Model inputs'!$B$8</f>
        <v>-2349.0000000000009</v>
      </c>
      <c r="R1306" s="1" t="s">
        <v>162</v>
      </c>
      <c r="S1306" s="1">
        <v>657</v>
      </c>
      <c r="T1306" s="1">
        <v>638</v>
      </c>
    </row>
    <row r="1307" spans="1:20" ht="21" customHeight="1">
      <c r="A1307" s="8">
        <v>46261</v>
      </c>
      <c r="B1307" s="1" t="s">
        <v>36</v>
      </c>
      <c r="C1307" s="1" t="s">
        <v>87</v>
      </c>
      <c r="D1307" s="7">
        <v>7800</v>
      </c>
      <c r="E1307" s="7">
        <v>8000</v>
      </c>
      <c r="F1307" s="7"/>
      <c r="G1307" s="7">
        <f>'Option source'!B339</f>
        <v>190.51</v>
      </c>
      <c r="H1307" s="7">
        <f>'Option source'!B358</f>
        <v>151.28</v>
      </c>
      <c r="I1307" s="7"/>
      <c r="J1307" s="7">
        <f t="shared" si="140"/>
        <v>-112.05000000000001</v>
      </c>
      <c r="K1307" s="7">
        <f t="shared" si="141"/>
        <v>200</v>
      </c>
      <c r="L1307" s="7">
        <f t="shared" si="142"/>
        <v>312.05</v>
      </c>
      <c r="M1307" s="7" t="str">
        <f t="shared" si="143"/>
        <v>Unlimited</v>
      </c>
      <c r="N1307" s="7" t="str">
        <f t="shared" si="144"/>
        <v>n.a.</v>
      </c>
      <c r="O1307" s="7">
        <f t="shared" si="145"/>
        <v>8312.0499999999993</v>
      </c>
      <c r="P1307" s="15" t="str">
        <f t="shared" si="146"/>
        <v>n.a.</v>
      </c>
      <c r="Q1307" s="7">
        <f>J1307*'Model inputs'!$B$8</f>
        <v>-11205.000000000002</v>
      </c>
      <c r="R1307" s="1" t="s">
        <v>162</v>
      </c>
      <c r="S1307" s="1">
        <v>334</v>
      </c>
      <c r="T1307" s="1">
        <v>353</v>
      </c>
    </row>
    <row r="1308" spans="1:20" ht="21" customHeight="1">
      <c r="A1308" s="8">
        <v>46261</v>
      </c>
      <c r="B1308" s="1" t="s">
        <v>36</v>
      </c>
      <c r="C1308" s="1" t="s">
        <v>90</v>
      </c>
      <c r="D1308" s="7">
        <v>5800</v>
      </c>
      <c r="E1308" s="7">
        <v>5600</v>
      </c>
      <c r="F1308" s="7"/>
      <c r="G1308" s="7">
        <f>'Option source'!B643</f>
        <v>52.63</v>
      </c>
      <c r="H1308" s="7">
        <f>'Option source'!B624</f>
        <v>30.86</v>
      </c>
      <c r="I1308" s="7"/>
      <c r="J1308" s="7">
        <f t="shared" si="140"/>
        <v>-9.0899999999999963</v>
      </c>
      <c r="K1308" s="7">
        <f t="shared" si="141"/>
        <v>200</v>
      </c>
      <c r="L1308" s="7">
        <f t="shared" si="142"/>
        <v>209.09</v>
      </c>
      <c r="M1308" s="7">
        <f t="shared" si="143"/>
        <v>5390.91</v>
      </c>
      <c r="N1308" s="7">
        <f t="shared" si="144"/>
        <v>5390.91</v>
      </c>
      <c r="O1308" s="7" t="str">
        <f t="shared" si="145"/>
        <v>n.a.</v>
      </c>
      <c r="P1308" s="15" t="str">
        <f t="shared" si="146"/>
        <v>n.a.</v>
      </c>
      <c r="Q1308" s="7">
        <f>J1308*'Model inputs'!$B$8</f>
        <v>-908.99999999999966</v>
      </c>
      <c r="R1308" s="1" t="s">
        <v>162</v>
      </c>
      <c r="S1308" s="1">
        <v>638</v>
      </c>
      <c r="T1308" s="1">
        <v>619</v>
      </c>
    </row>
    <row r="1309" spans="1:20" ht="21" customHeight="1">
      <c r="A1309" s="8">
        <v>46261</v>
      </c>
      <c r="B1309" s="1" t="s">
        <v>36</v>
      </c>
      <c r="C1309" s="1" t="s">
        <v>87</v>
      </c>
      <c r="D1309" s="7">
        <v>8000</v>
      </c>
      <c r="E1309" s="7">
        <v>8300</v>
      </c>
      <c r="F1309" s="7"/>
      <c r="G1309" s="7">
        <f>'Option source'!B358</f>
        <v>151.28</v>
      </c>
      <c r="H1309" s="7">
        <f>'Option source'!B377</f>
        <v>101.58</v>
      </c>
      <c r="I1309" s="7"/>
      <c r="J1309" s="7">
        <f t="shared" si="140"/>
        <v>-51.879999999999995</v>
      </c>
      <c r="K1309" s="7">
        <f t="shared" si="141"/>
        <v>300</v>
      </c>
      <c r="L1309" s="7">
        <f t="shared" si="142"/>
        <v>351.88</v>
      </c>
      <c r="M1309" s="7" t="str">
        <f t="shared" si="143"/>
        <v>Unlimited</v>
      </c>
      <c r="N1309" s="7" t="str">
        <f t="shared" si="144"/>
        <v>n.a.</v>
      </c>
      <c r="O1309" s="7">
        <f t="shared" si="145"/>
        <v>8651.8799999999992</v>
      </c>
      <c r="P1309" s="15" t="str">
        <f t="shared" si="146"/>
        <v>n.a.</v>
      </c>
      <c r="Q1309" s="7">
        <f>J1309*'Model inputs'!$B$8</f>
        <v>-5188</v>
      </c>
      <c r="R1309" s="1" t="s">
        <v>162</v>
      </c>
      <c r="S1309" s="1">
        <v>353</v>
      </c>
      <c r="T1309" s="1">
        <v>372</v>
      </c>
    </row>
    <row r="1310" spans="1:20" ht="21" customHeight="1">
      <c r="A1310" s="8">
        <v>46261</v>
      </c>
      <c r="B1310" s="1" t="s">
        <v>36</v>
      </c>
      <c r="C1310" s="1" t="s">
        <v>90</v>
      </c>
      <c r="D1310" s="7">
        <v>5600</v>
      </c>
      <c r="E1310" s="7">
        <v>5400</v>
      </c>
      <c r="F1310" s="7"/>
      <c r="G1310" s="7">
        <f>'Option source'!B624</f>
        <v>30.86</v>
      </c>
      <c r="H1310" s="7">
        <f>'Option source'!B605</f>
        <v>18.93</v>
      </c>
      <c r="I1310" s="7"/>
      <c r="J1310" s="7">
        <f t="shared" si="140"/>
        <v>-7</v>
      </c>
      <c r="K1310" s="7">
        <f t="shared" si="141"/>
        <v>200</v>
      </c>
      <c r="L1310" s="7">
        <f t="shared" si="142"/>
        <v>207</v>
      </c>
      <c r="M1310" s="7">
        <f t="shared" si="143"/>
        <v>5193</v>
      </c>
      <c r="N1310" s="7">
        <f t="shared" si="144"/>
        <v>5193</v>
      </c>
      <c r="O1310" s="7" t="str">
        <f t="shared" si="145"/>
        <v>n.a.</v>
      </c>
      <c r="P1310" s="15" t="str">
        <f t="shared" si="146"/>
        <v>n.a.</v>
      </c>
      <c r="Q1310" s="7">
        <f>J1310*'Model inputs'!$B$8</f>
        <v>-700</v>
      </c>
      <c r="R1310" s="1" t="s">
        <v>162</v>
      </c>
      <c r="S1310" s="1">
        <v>619</v>
      </c>
      <c r="T1310" s="1">
        <v>600</v>
      </c>
    </row>
    <row r="1311" spans="1:20" ht="21" customHeight="1">
      <c r="A1311" s="8">
        <v>46261</v>
      </c>
      <c r="B1311" s="1" t="s">
        <v>36</v>
      </c>
      <c r="C1311" s="1" t="s">
        <v>90</v>
      </c>
      <c r="D1311" s="7">
        <v>5400</v>
      </c>
      <c r="E1311" s="7">
        <v>5200</v>
      </c>
      <c r="F1311" s="7"/>
      <c r="G1311" s="7">
        <f>'Option source'!B605</f>
        <v>18.93</v>
      </c>
      <c r="H1311" s="7">
        <f>'Option source'!B586</f>
        <v>12.17</v>
      </c>
      <c r="I1311" s="7"/>
      <c r="J1311" s="7">
        <f t="shared" si="140"/>
        <v>-5.41</v>
      </c>
      <c r="K1311" s="7">
        <f t="shared" si="141"/>
        <v>200</v>
      </c>
      <c r="L1311" s="7">
        <f t="shared" si="142"/>
        <v>205.41</v>
      </c>
      <c r="M1311" s="7">
        <f t="shared" si="143"/>
        <v>4994.59</v>
      </c>
      <c r="N1311" s="7">
        <f t="shared" si="144"/>
        <v>4994.59</v>
      </c>
      <c r="O1311" s="7" t="str">
        <f t="shared" si="145"/>
        <v>n.a.</v>
      </c>
      <c r="P1311" s="15" t="str">
        <f t="shared" si="146"/>
        <v>n.a.</v>
      </c>
      <c r="Q1311" s="7">
        <f>J1311*'Model inputs'!$B$8</f>
        <v>-541</v>
      </c>
      <c r="R1311" s="1" t="s">
        <v>162</v>
      </c>
      <c r="S1311" s="1">
        <v>600</v>
      </c>
      <c r="T1311" s="1">
        <v>581</v>
      </c>
    </row>
    <row r="1312" spans="1:20" ht="21" customHeight="1">
      <c r="A1312" s="8">
        <v>46261</v>
      </c>
      <c r="B1312" s="1" t="s">
        <v>36</v>
      </c>
      <c r="C1312" s="1" t="s">
        <v>87</v>
      </c>
      <c r="D1312" s="7">
        <v>8300</v>
      </c>
      <c r="E1312" s="7">
        <v>8600</v>
      </c>
      <c r="F1312" s="7"/>
      <c r="G1312" s="7">
        <f>'Option source'!B377</f>
        <v>101.58</v>
      </c>
      <c r="H1312" s="7">
        <f>'Option source'!B396</f>
        <v>68.22</v>
      </c>
      <c r="I1312" s="7"/>
      <c r="J1312" s="7">
        <f t="shared" si="140"/>
        <v>-34.86</v>
      </c>
      <c r="K1312" s="7">
        <f t="shared" si="141"/>
        <v>300</v>
      </c>
      <c r="L1312" s="7">
        <f t="shared" si="142"/>
        <v>334.86</v>
      </c>
      <c r="M1312" s="7" t="str">
        <f t="shared" si="143"/>
        <v>Unlimited</v>
      </c>
      <c r="N1312" s="7" t="str">
        <f t="shared" si="144"/>
        <v>n.a.</v>
      </c>
      <c r="O1312" s="7">
        <f t="shared" si="145"/>
        <v>8934.86</v>
      </c>
      <c r="P1312" s="15" t="str">
        <f t="shared" si="146"/>
        <v>n.a.</v>
      </c>
      <c r="Q1312" s="7">
        <f>J1312*'Model inputs'!$B$8</f>
        <v>-3486</v>
      </c>
      <c r="R1312" s="1" t="s">
        <v>162</v>
      </c>
      <c r="S1312" s="1">
        <v>372</v>
      </c>
      <c r="T1312" s="1">
        <v>391</v>
      </c>
    </row>
    <row r="1313" spans="1:20" ht="21" customHeight="1">
      <c r="A1313" s="8">
        <v>46261</v>
      </c>
      <c r="B1313" s="1" t="s">
        <v>36</v>
      </c>
      <c r="C1313" s="1" t="s">
        <v>90</v>
      </c>
      <c r="D1313" s="7">
        <v>5200</v>
      </c>
      <c r="E1313" s="7">
        <v>5000</v>
      </c>
      <c r="F1313" s="7"/>
      <c r="G1313" s="7">
        <f>'Option source'!B586</f>
        <v>12.17</v>
      </c>
      <c r="H1313" s="7">
        <f>'Option source'!B567</f>
        <v>7.94</v>
      </c>
      <c r="I1313" s="7"/>
      <c r="J1313" s="7">
        <f t="shared" si="140"/>
        <v>-3.7100000000000009</v>
      </c>
      <c r="K1313" s="7">
        <f t="shared" si="141"/>
        <v>200</v>
      </c>
      <c r="L1313" s="7">
        <f t="shared" si="142"/>
        <v>203.71</v>
      </c>
      <c r="M1313" s="7">
        <f t="shared" si="143"/>
        <v>4796.29</v>
      </c>
      <c r="N1313" s="7">
        <f t="shared" si="144"/>
        <v>4796.29</v>
      </c>
      <c r="O1313" s="7" t="str">
        <f t="shared" si="145"/>
        <v>n.a.</v>
      </c>
      <c r="P1313" s="15" t="str">
        <f t="shared" si="146"/>
        <v>n.a.</v>
      </c>
      <c r="Q1313" s="7">
        <f>J1313*'Model inputs'!$B$8</f>
        <v>-371.00000000000011</v>
      </c>
      <c r="R1313" s="1" t="s">
        <v>162</v>
      </c>
      <c r="S1313" s="1">
        <v>581</v>
      </c>
      <c r="T1313" s="1">
        <v>562</v>
      </c>
    </row>
    <row r="1314" spans="1:20" ht="21" customHeight="1">
      <c r="A1314" s="8">
        <v>46261</v>
      </c>
      <c r="B1314" s="1" t="s">
        <v>36</v>
      </c>
      <c r="C1314" s="1" t="s">
        <v>87</v>
      </c>
      <c r="D1314" s="7">
        <v>8600</v>
      </c>
      <c r="E1314" s="7">
        <v>8900</v>
      </c>
      <c r="F1314" s="7"/>
      <c r="G1314" s="7">
        <f>'Option source'!B396</f>
        <v>68.22</v>
      </c>
      <c r="H1314" s="7">
        <f>'Option source'!B415</f>
        <v>45.5</v>
      </c>
      <c r="I1314" s="7"/>
      <c r="J1314" s="7">
        <f t="shared" si="140"/>
        <v>-22.78</v>
      </c>
      <c r="K1314" s="7">
        <f t="shared" si="141"/>
        <v>300</v>
      </c>
      <c r="L1314" s="7">
        <f t="shared" si="142"/>
        <v>322.77999999999997</v>
      </c>
      <c r="M1314" s="7" t="str">
        <f t="shared" si="143"/>
        <v>Unlimited</v>
      </c>
      <c r="N1314" s="7" t="str">
        <f t="shared" si="144"/>
        <v>n.a.</v>
      </c>
      <c r="O1314" s="7">
        <f t="shared" si="145"/>
        <v>9222.7800000000007</v>
      </c>
      <c r="P1314" s="15" t="str">
        <f t="shared" si="146"/>
        <v>n.a.</v>
      </c>
      <c r="Q1314" s="7">
        <f>J1314*'Model inputs'!$B$8</f>
        <v>-2278</v>
      </c>
      <c r="R1314" s="1" t="s">
        <v>162</v>
      </c>
      <c r="S1314" s="1">
        <v>391</v>
      </c>
      <c r="T1314" s="1">
        <v>410</v>
      </c>
    </row>
    <row r="1315" spans="1:20" ht="21" customHeight="1">
      <c r="A1315" s="8">
        <v>46261</v>
      </c>
      <c r="B1315" s="1" t="s">
        <v>36</v>
      </c>
      <c r="C1315" s="1" t="s">
        <v>90</v>
      </c>
      <c r="D1315" s="7">
        <v>5000</v>
      </c>
      <c r="E1315" s="7">
        <v>4800</v>
      </c>
      <c r="F1315" s="7"/>
      <c r="G1315" s="7">
        <f>'Option source'!B567</f>
        <v>7.94</v>
      </c>
      <c r="H1315" s="7">
        <f>'Option source'!B548</f>
        <v>5.67</v>
      </c>
      <c r="I1315" s="7"/>
      <c r="J1315" s="7">
        <f t="shared" si="140"/>
        <v>-3.3999999999999995</v>
      </c>
      <c r="K1315" s="7">
        <f t="shared" si="141"/>
        <v>200</v>
      </c>
      <c r="L1315" s="7">
        <f t="shared" si="142"/>
        <v>203.4</v>
      </c>
      <c r="M1315" s="7">
        <f t="shared" si="143"/>
        <v>4596.6000000000004</v>
      </c>
      <c r="N1315" s="7">
        <f t="shared" si="144"/>
        <v>4596.6000000000004</v>
      </c>
      <c r="O1315" s="7" t="str">
        <f t="shared" si="145"/>
        <v>n.a.</v>
      </c>
      <c r="P1315" s="15" t="str">
        <f t="shared" si="146"/>
        <v>n.a.</v>
      </c>
      <c r="Q1315" s="7">
        <f>J1315*'Model inputs'!$B$8</f>
        <v>-339.99999999999994</v>
      </c>
      <c r="R1315" s="1" t="s">
        <v>162</v>
      </c>
      <c r="S1315" s="1">
        <v>562</v>
      </c>
      <c r="T1315" s="1">
        <v>543</v>
      </c>
    </row>
    <row r="1316" spans="1:20" ht="21" customHeight="1">
      <c r="A1316" s="8">
        <v>46261</v>
      </c>
      <c r="B1316" s="1" t="s">
        <v>36</v>
      </c>
      <c r="C1316" s="1" t="s">
        <v>90</v>
      </c>
      <c r="D1316" s="7">
        <v>4800</v>
      </c>
      <c r="E1316" s="7">
        <v>4600</v>
      </c>
      <c r="F1316" s="7"/>
      <c r="G1316" s="7">
        <f>'Option source'!B548</f>
        <v>5.67</v>
      </c>
      <c r="H1316" s="7">
        <f>'Option source'!B529</f>
        <v>4.04</v>
      </c>
      <c r="I1316" s="7"/>
      <c r="J1316" s="7">
        <f t="shared" si="140"/>
        <v>-2.41</v>
      </c>
      <c r="K1316" s="7">
        <f t="shared" si="141"/>
        <v>200</v>
      </c>
      <c r="L1316" s="7">
        <f t="shared" si="142"/>
        <v>202.41</v>
      </c>
      <c r="M1316" s="7">
        <f t="shared" si="143"/>
        <v>4397.59</v>
      </c>
      <c r="N1316" s="7">
        <f t="shared" si="144"/>
        <v>4397.59</v>
      </c>
      <c r="O1316" s="7" t="str">
        <f t="shared" si="145"/>
        <v>n.a.</v>
      </c>
      <c r="P1316" s="15" t="str">
        <f t="shared" si="146"/>
        <v>n.a.</v>
      </c>
      <c r="Q1316" s="7">
        <f>J1316*'Model inputs'!$B$8</f>
        <v>-241</v>
      </c>
      <c r="R1316" s="1" t="s">
        <v>162</v>
      </c>
      <c r="S1316" s="1">
        <v>543</v>
      </c>
      <c r="T1316" s="1">
        <v>524</v>
      </c>
    </row>
    <row r="1317" spans="1:20" ht="21" customHeight="1">
      <c r="A1317" s="8">
        <v>46261</v>
      </c>
      <c r="B1317" s="1" t="s">
        <v>36</v>
      </c>
      <c r="C1317" s="1" t="s">
        <v>87</v>
      </c>
      <c r="D1317" s="7">
        <v>8900</v>
      </c>
      <c r="E1317" s="7">
        <v>9200</v>
      </c>
      <c r="F1317" s="7"/>
      <c r="G1317" s="7">
        <f>'Option source'!B415</f>
        <v>45.5</v>
      </c>
      <c r="H1317" s="7">
        <f>'Option source'!B434</f>
        <v>30.1</v>
      </c>
      <c r="I1317" s="7"/>
      <c r="J1317" s="7">
        <f t="shared" si="140"/>
        <v>-14.700000000000003</v>
      </c>
      <c r="K1317" s="7">
        <f t="shared" si="141"/>
        <v>300</v>
      </c>
      <c r="L1317" s="7">
        <f t="shared" si="142"/>
        <v>314.7</v>
      </c>
      <c r="M1317" s="7" t="str">
        <f t="shared" si="143"/>
        <v>Unlimited</v>
      </c>
      <c r="N1317" s="7" t="str">
        <f t="shared" si="144"/>
        <v>n.a.</v>
      </c>
      <c r="O1317" s="7">
        <f t="shared" si="145"/>
        <v>9514.7000000000007</v>
      </c>
      <c r="P1317" s="15" t="str">
        <f t="shared" si="146"/>
        <v>n.a.</v>
      </c>
      <c r="Q1317" s="7">
        <f>J1317*'Model inputs'!$B$8</f>
        <v>-1470.0000000000002</v>
      </c>
      <c r="R1317" s="1" t="s">
        <v>162</v>
      </c>
      <c r="S1317" s="1">
        <v>410</v>
      </c>
      <c r="T1317" s="1">
        <v>429</v>
      </c>
    </row>
    <row r="1318" spans="1:20" ht="21" customHeight="1">
      <c r="A1318" s="8">
        <v>46261</v>
      </c>
      <c r="B1318" s="1" t="s">
        <v>36</v>
      </c>
      <c r="C1318" s="1" t="s">
        <v>90</v>
      </c>
      <c r="D1318" s="7">
        <v>4600</v>
      </c>
      <c r="E1318" s="7">
        <v>4400</v>
      </c>
      <c r="F1318" s="7"/>
      <c r="G1318" s="7">
        <f>'Option source'!B529</f>
        <v>4.04</v>
      </c>
      <c r="H1318" s="7">
        <f>'Option source'!B510</f>
        <v>3.03</v>
      </c>
      <c r="I1318" s="7"/>
      <c r="J1318" s="7">
        <f t="shared" si="140"/>
        <v>-2.0199999999999996</v>
      </c>
      <c r="K1318" s="7">
        <f t="shared" si="141"/>
        <v>200</v>
      </c>
      <c r="L1318" s="7">
        <f t="shared" si="142"/>
        <v>202.02</v>
      </c>
      <c r="M1318" s="7">
        <f t="shared" si="143"/>
        <v>4197.9799999999996</v>
      </c>
      <c r="N1318" s="7">
        <f t="shared" si="144"/>
        <v>4197.9799999999996</v>
      </c>
      <c r="O1318" s="7" t="str">
        <f t="shared" si="145"/>
        <v>n.a.</v>
      </c>
      <c r="P1318" s="15" t="str">
        <f t="shared" si="146"/>
        <v>n.a.</v>
      </c>
      <c r="Q1318" s="7">
        <f>J1318*'Model inputs'!$B$8</f>
        <v>-201.99999999999994</v>
      </c>
      <c r="R1318" s="1" t="s">
        <v>162</v>
      </c>
      <c r="S1318" s="1">
        <v>524</v>
      </c>
      <c r="T1318" s="1">
        <v>505</v>
      </c>
    </row>
    <row r="1319" spans="1:20" ht="21" customHeight="1">
      <c r="A1319" s="8">
        <v>46261</v>
      </c>
      <c r="B1319" s="1" t="s">
        <v>36</v>
      </c>
      <c r="C1319" s="1" t="s">
        <v>87</v>
      </c>
      <c r="D1319" s="7">
        <v>9200</v>
      </c>
      <c r="E1319" s="7">
        <v>9500</v>
      </c>
      <c r="F1319" s="7"/>
      <c r="G1319" s="7">
        <f>'Option source'!B434</f>
        <v>30.1</v>
      </c>
      <c r="H1319" s="7">
        <f>'Option source'!B453</f>
        <v>19.97</v>
      </c>
      <c r="I1319" s="7"/>
      <c r="J1319" s="7">
        <f t="shared" si="140"/>
        <v>-9.8399999999999963</v>
      </c>
      <c r="K1319" s="7">
        <f t="shared" si="141"/>
        <v>300</v>
      </c>
      <c r="L1319" s="7">
        <f t="shared" si="142"/>
        <v>309.83999999999997</v>
      </c>
      <c r="M1319" s="7" t="str">
        <f t="shared" si="143"/>
        <v>Unlimited</v>
      </c>
      <c r="N1319" s="7" t="str">
        <f t="shared" si="144"/>
        <v>n.a.</v>
      </c>
      <c r="O1319" s="7">
        <f t="shared" si="145"/>
        <v>9809.84</v>
      </c>
      <c r="P1319" s="15" t="str">
        <f t="shared" si="146"/>
        <v>n.a.</v>
      </c>
      <c r="Q1319" s="7">
        <f>J1319*'Model inputs'!$B$8</f>
        <v>-983.99999999999966</v>
      </c>
      <c r="R1319" s="1" t="s">
        <v>162</v>
      </c>
      <c r="S1319" s="1">
        <v>429</v>
      </c>
      <c r="T1319" s="1">
        <v>448</v>
      </c>
    </row>
    <row r="1320" spans="1:20" ht="21" customHeight="1">
      <c r="A1320" s="8">
        <v>46261</v>
      </c>
      <c r="B1320" s="1" t="s">
        <v>36</v>
      </c>
      <c r="C1320" s="1" t="s">
        <v>90</v>
      </c>
      <c r="D1320" s="7">
        <v>4400</v>
      </c>
      <c r="E1320" s="7">
        <v>4200</v>
      </c>
      <c r="F1320" s="7"/>
      <c r="G1320" s="7">
        <f>'Option source'!B510</f>
        <v>3.03</v>
      </c>
      <c r="H1320" s="7">
        <f>'Option source'!B491</f>
        <v>2.86</v>
      </c>
      <c r="I1320" s="7"/>
      <c r="J1320" s="7">
        <f t="shared" si="140"/>
        <v>-2.69</v>
      </c>
      <c r="K1320" s="7">
        <f t="shared" si="141"/>
        <v>200</v>
      </c>
      <c r="L1320" s="7">
        <f t="shared" si="142"/>
        <v>202.69</v>
      </c>
      <c r="M1320" s="7">
        <f t="shared" si="143"/>
        <v>3997.31</v>
      </c>
      <c r="N1320" s="7">
        <f t="shared" si="144"/>
        <v>3997.31</v>
      </c>
      <c r="O1320" s="7" t="str">
        <f t="shared" si="145"/>
        <v>n.a.</v>
      </c>
      <c r="P1320" s="15" t="str">
        <f t="shared" si="146"/>
        <v>n.a.</v>
      </c>
      <c r="Q1320" s="7">
        <f>J1320*'Model inputs'!$B$8</f>
        <v>-269</v>
      </c>
      <c r="R1320" s="1" t="s">
        <v>162</v>
      </c>
      <c r="S1320" s="1">
        <v>505</v>
      </c>
      <c r="T1320" s="1">
        <v>486</v>
      </c>
    </row>
    <row r="1321" spans="1:20" ht="21" customHeight="1">
      <c r="A1321" s="8">
        <v>46261</v>
      </c>
      <c r="B1321" s="1" t="s">
        <v>36</v>
      </c>
      <c r="C1321" s="1" t="s">
        <v>87</v>
      </c>
      <c r="D1321" s="7">
        <v>9500</v>
      </c>
      <c r="E1321" s="7">
        <v>9900</v>
      </c>
      <c r="F1321" s="7"/>
      <c r="G1321" s="7">
        <f>'Option source'!B453</f>
        <v>19.97</v>
      </c>
      <c r="H1321" s="7">
        <f>'Option source'!B472</f>
        <v>12.25</v>
      </c>
      <c r="I1321" s="7"/>
      <c r="J1321" s="7">
        <f t="shared" si="140"/>
        <v>-4.5300000000000011</v>
      </c>
      <c r="K1321" s="7">
        <f t="shared" si="141"/>
        <v>400</v>
      </c>
      <c r="L1321" s="7">
        <f t="shared" si="142"/>
        <v>404.53</v>
      </c>
      <c r="M1321" s="7" t="str">
        <f t="shared" si="143"/>
        <v>Unlimited</v>
      </c>
      <c r="N1321" s="7" t="str">
        <f t="shared" si="144"/>
        <v>n.a.</v>
      </c>
      <c r="O1321" s="7">
        <f t="shared" si="145"/>
        <v>10304.530000000001</v>
      </c>
      <c r="P1321" s="15" t="str">
        <f t="shared" si="146"/>
        <v>n.a.</v>
      </c>
      <c r="Q1321" s="7">
        <f>J1321*'Model inputs'!$B$8</f>
        <v>-453.00000000000011</v>
      </c>
      <c r="R1321" s="1" t="s">
        <v>162</v>
      </c>
      <c r="S1321" s="1">
        <v>448</v>
      </c>
      <c r="T1321" s="1">
        <v>467</v>
      </c>
    </row>
    <row r="1322" spans="1:20" ht="21" customHeight="1">
      <c r="A1322" s="8">
        <v>46261</v>
      </c>
      <c r="B1322" s="1" t="s">
        <v>36</v>
      </c>
      <c r="C1322" s="1" t="s">
        <v>90</v>
      </c>
      <c r="D1322" s="7">
        <v>7600</v>
      </c>
      <c r="E1322" s="7">
        <v>7400</v>
      </c>
      <c r="F1322" s="7"/>
      <c r="G1322" s="7">
        <f>'Option source'!B814</f>
        <v>785</v>
      </c>
      <c r="H1322" s="7">
        <f>'Option source'!B795</f>
        <v>630.02</v>
      </c>
      <c r="I1322" s="7"/>
      <c r="J1322" s="7">
        <f t="shared" si="140"/>
        <v>-475.03999999999996</v>
      </c>
      <c r="K1322" s="7">
        <f t="shared" si="141"/>
        <v>200</v>
      </c>
      <c r="L1322" s="7">
        <f t="shared" si="142"/>
        <v>675.04</v>
      </c>
      <c r="M1322" s="7">
        <f t="shared" si="143"/>
        <v>6724.96</v>
      </c>
      <c r="N1322" s="7">
        <f t="shared" si="144"/>
        <v>6724.96</v>
      </c>
      <c r="O1322" s="7" t="str">
        <f t="shared" si="145"/>
        <v>n.a.</v>
      </c>
      <c r="P1322" s="15" t="str">
        <f t="shared" si="146"/>
        <v>n.a.</v>
      </c>
      <c r="Q1322" s="7">
        <f>J1322*'Model inputs'!$B$8</f>
        <v>-47504</v>
      </c>
      <c r="R1322" s="1" t="s">
        <v>164</v>
      </c>
      <c r="S1322" s="1">
        <v>809</v>
      </c>
      <c r="T1322" s="1">
        <v>790</v>
      </c>
    </row>
    <row r="1323" spans="1:20" ht="21" customHeight="1">
      <c r="A1323" s="8">
        <v>46261</v>
      </c>
      <c r="B1323" s="1" t="s">
        <v>36</v>
      </c>
      <c r="C1323" s="1" t="s">
        <v>90</v>
      </c>
      <c r="D1323" s="7">
        <v>7800</v>
      </c>
      <c r="E1323" s="7">
        <v>7600</v>
      </c>
      <c r="F1323" s="7"/>
      <c r="G1323" s="7">
        <f>'Option source'!B833</f>
        <v>905</v>
      </c>
      <c r="H1323" s="7">
        <f>'Option source'!B814</f>
        <v>785</v>
      </c>
      <c r="I1323" s="7"/>
      <c r="J1323" s="7">
        <f t="shared" si="140"/>
        <v>-665</v>
      </c>
      <c r="K1323" s="7">
        <f t="shared" si="141"/>
        <v>200</v>
      </c>
      <c r="L1323" s="7">
        <f t="shared" si="142"/>
        <v>865</v>
      </c>
      <c r="M1323" s="7">
        <f t="shared" si="143"/>
        <v>6735</v>
      </c>
      <c r="N1323" s="7">
        <f t="shared" si="144"/>
        <v>6735</v>
      </c>
      <c r="O1323" s="7" t="str">
        <f t="shared" si="145"/>
        <v>n.a.</v>
      </c>
      <c r="P1323" s="15" t="str">
        <f t="shared" si="146"/>
        <v>n.a.</v>
      </c>
      <c r="Q1323" s="7">
        <f>J1323*'Model inputs'!$B$8</f>
        <v>-66500</v>
      </c>
      <c r="R1323" s="1" t="s">
        <v>164</v>
      </c>
      <c r="S1323" s="1">
        <v>828</v>
      </c>
      <c r="T1323" s="1">
        <v>809</v>
      </c>
    </row>
    <row r="1324" spans="1:20" ht="21" customHeight="1">
      <c r="A1324" s="8">
        <v>46261</v>
      </c>
      <c r="B1324" s="1" t="s">
        <v>36</v>
      </c>
      <c r="C1324" s="1" t="s">
        <v>87</v>
      </c>
      <c r="D1324" s="7">
        <v>5600</v>
      </c>
      <c r="E1324" s="7">
        <v>6000</v>
      </c>
      <c r="F1324" s="7"/>
      <c r="G1324" s="7">
        <f>'Option source'!B139</f>
        <v>1490.13</v>
      </c>
      <c r="H1324" s="7">
        <f>'Option source'!B168</f>
        <v>1178.78</v>
      </c>
      <c r="I1324" s="7"/>
      <c r="J1324" s="7">
        <f t="shared" si="140"/>
        <v>-867.42999999999984</v>
      </c>
      <c r="K1324" s="7">
        <f t="shared" si="141"/>
        <v>400</v>
      </c>
      <c r="L1324" s="7">
        <f t="shared" si="142"/>
        <v>1267.4299999999998</v>
      </c>
      <c r="M1324" s="7" t="str">
        <f t="shared" si="143"/>
        <v>Unlimited</v>
      </c>
      <c r="N1324" s="7" t="str">
        <f t="shared" si="144"/>
        <v>n.a.</v>
      </c>
      <c r="O1324" s="7">
        <f t="shared" si="145"/>
        <v>7267.43</v>
      </c>
      <c r="P1324" s="15" t="str">
        <f t="shared" si="146"/>
        <v>n.a.</v>
      </c>
      <c r="Q1324" s="7">
        <f>J1324*'Model inputs'!$B$8</f>
        <v>-86742.999999999985</v>
      </c>
      <c r="R1324" s="1" t="s">
        <v>164</v>
      </c>
      <c r="S1324" s="1">
        <v>134</v>
      </c>
      <c r="T1324" s="1">
        <v>163</v>
      </c>
    </row>
    <row r="1325" spans="1:20" ht="21" customHeight="1">
      <c r="A1325" s="8">
        <v>46261</v>
      </c>
      <c r="B1325" s="1" t="s">
        <v>36</v>
      </c>
      <c r="C1325" s="1" t="s">
        <v>90</v>
      </c>
      <c r="D1325" s="7">
        <v>8000</v>
      </c>
      <c r="E1325" s="7">
        <v>7800</v>
      </c>
      <c r="F1325" s="7"/>
      <c r="G1325" s="7">
        <f>'Option source'!B852</f>
        <v>1127.1400000000001</v>
      </c>
      <c r="H1325" s="7">
        <f>'Option source'!B833</f>
        <v>905</v>
      </c>
      <c r="I1325" s="7"/>
      <c r="J1325" s="7">
        <f t="shared" si="140"/>
        <v>-682.8599999999999</v>
      </c>
      <c r="K1325" s="7">
        <f t="shared" si="141"/>
        <v>200</v>
      </c>
      <c r="L1325" s="7">
        <f t="shared" si="142"/>
        <v>882.8599999999999</v>
      </c>
      <c r="M1325" s="7">
        <f t="shared" si="143"/>
        <v>6917.14</v>
      </c>
      <c r="N1325" s="7">
        <f t="shared" si="144"/>
        <v>6917.14</v>
      </c>
      <c r="O1325" s="7" t="str">
        <f t="shared" si="145"/>
        <v>n.a.</v>
      </c>
      <c r="P1325" s="15" t="str">
        <f t="shared" si="146"/>
        <v>n.a.</v>
      </c>
      <c r="Q1325" s="7">
        <f>J1325*'Model inputs'!$B$8</f>
        <v>-68285.999999999985</v>
      </c>
      <c r="R1325" s="1" t="s">
        <v>164</v>
      </c>
      <c r="S1325" s="1">
        <v>847</v>
      </c>
      <c r="T1325" s="1">
        <v>828</v>
      </c>
    </row>
    <row r="1326" spans="1:20" ht="21" customHeight="1">
      <c r="A1326" s="8">
        <v>46261</v>
      </c>
      <c r="B1326" s="1" t="s">
        <v>36</v>
      </c>
      <c r="C1326" s="1" t="s">
        <v>90</v>
      </c>
      <c r="D1326" s="7">
        <v>8300</v>
      </c>
      <c r="E1326" s="7">
        <v>8000</v>
      </c>
      <c r="F1326" s="7"/>
      <c r="G1326" s="7">
        <f>'Option source'!B871</f>
        <v>1291.94</v>
      </c>
      <c r="H1326" s="7">
        <f>'Option source'!B852</f>
        <v>1127.1400000000001</v>
      </c>
      <c r="I1326" s="7"/>
      <c r="J1326" s="7">
        <f t="shared" si="140"/>
        <v>-962.34000000000015</v>
      </c>
      <c r="K1326" s="7">
        <f t="shared" si="141"/>
        <v>300</v>
      </c>
      <c r="L1326" s="7">
        <f t="shared" si="142"/>
        <v>1262.3400000000001</v>
      </c>
      <c r="M1326" s="7">
        <f t="shared" si="143"/>
        <v>6737.66</v>
      </c>
      <c r="N1326" s="7">
        <f t="shared" si="144"/>
        <v>6737.66</v>
      </c>
      <c r="O1326" s="7" t="str">
        <f t="shared" si="145"/>
        <v>n.a.</v>
      </c>
      <c r="P1326" s="15" t="str">
        <f t="shared" si="146"/>
        <v>n.a.</v>
      </c>
      <c r="Q1326" s="7">
        <f>J1326*'Model inputs'!$B$8</f>
        <v>-96234.000000000015</v>
      </c>
      <c r="R1326" s="1" t="s">
        <v>164</v>
      </c>
      <c r="S1326" s="1">
        <v>866</v>
      </c>
      <c r="T1326" s="1">
        <v>847</v>
      </c>
    </row>
    <row r="1327" spans="1:20" ht="21" customHeight="1">
      <c r="A1327" s="8">
        <v>46261</v>
      </c>
      <c r="B1327" s="1" t="s">
        <v>36</v>
      </c>
      <c r="C1327" s="1" t="s">
        <v>87</v>
      </c>
      <c r="D1327" s="7">
        <v>5400</v>
      </c>
      <c r="E1327" s="7">
        <v>5600</v>
      </c>
      <c r="F1327" s="7"/>
      <c r="G1327" s="7">
        <f>'Option source'!B121</f>
        <v>1790.79</v>
      </c>
      <c r="H1327" s="7">
        <f>'Option source'!B139</f>
        <v>1490.13</v>
      </c>
      <c r="I1327" s="7"/>
      <c r="J1327" s="7">
        <f t="shared" si="140"/>
        <v>-1189.4700000000003</v>
      </c>
      <c r="K1327" s="7">
        <f t="shared" si="141"/>
        <v>200</v>
      </c>
      <c r="L1327" s="7">
        <f t="shared" si="142"/>
        <v>1389.4700000000003</v>
      </c>
      <c r="M1327" s="7" t="str">
        <f t="shared" si="143"/>
        <v>Unlimited</v>
      </c>
      <c r="N1327" s="7" t="str">
        <f t="shared" si="144"/>
        <v>n.a.</v>
      </c>
      <c r="O1327" s="7">
        <f t="shared" si="145"/>
        <v>6989.47</v>
      </c>
      <c r="P1327" s="15" t="str">
        <f t="shared" si="146"/>
        <v>n.a.</v>
      </c>
      <c r="Q1327" s="7">
        <f>J1327*'Model inputs'!$B$8</f>
        <v>-118947.00000000003</v>
      </c>
      <c r="R1327" s="1" t="s">
        <v>164</v>
      </c>
      <c r="S1327" s="1">
        <v>116</v>
      </c>
      <c r="T1327" s="1">
        <v>134</v>
      </c>
    </row>
    <row r="1328" spans="1:20" ht="21" customHeight="1">
      <c r="A1328" s="8">
        <v>46261</v>
      </c>
      <c r="B1328" s="1" t="s">
        <v>36</v>
      </c>
      <c r="C1328" s="1" t="s">
        <v>90</v>
      </c>
      <c r="D1328" s="7">
        <v>8600</v>
      </c>
      <c r="E1328" s="7">
        <v>8300</v>
      </c>
      <c r="F1328" s="7"/>
      <c r="G1328" s="7">
        <f>'Option source'!B890</f>
        <v>1725</v>
      </c>
      <c r="H1328" s="7">
        <f>'Option source'!B871</f>
        <v>1291.94</v>
      </c>
      <c r="I1328" s="7"/>
      <c r="J1328" s="7">
        <f t="shared" si="140"/>
        <v>-858.88000000000011</v>
      </c>
      <c r="K1328" s="7">
        <f t="shared" si="141"/>
        <v>300</v>
      </c>
      <c r="L1328" s="7">
        <f t="shared" si="142"/>
        <v>1158.8800000000001</v>
      </c>
      <c r="M1328" s="7">
        <f t="shared" si="143"/>
        <v>7141.12</v>
      </c>
      <c r="N1328" s="7">
        <f t="shared" si="144"/>
        <v>7141.12</v>
      </c>
      <c r="O1328" s="7" t="str">
        <f t="shared" si="145"/>
        <v>n.a.</v>
      </c>
      <c r="P1328" s="15" t="str">
        <f t="shared" si="146"/>
        <v>n.a.</v>
      </c>
      <c r="Q1328" s="7">
        <f>J1328*'Model inputs'!$B$8</f>
        <v>-85888.000000000015</v>
      </c>
      <c r="R1328" s="1" t="s">
        <v>164</v>
      </c>
      <c r="S1328" s="1">
        <v>885</v>
      </c>
      <c r="T1328" s="1">
        <v>866</v>
      </c>
    </row>
    <row r="1329" spans="1:20" ht="21" customHeight="1">
      <c r="A1329" s="8">
        <v>46261</v>
      </c>
      <c r="B1329" s="1" t="s">
        <v>36</v>
      </c>
      <c r="C1329" s="1" t="s">
        <v>87</v>
      </c>
      <c r="D1329" s="7">
        <v>5200</v>
      </c>
      <c r="E1329" s="7">
        <v>5400</v>
      </c>
      <c r="F1329" s="7"/>
      <c r="G1329" s="7">
        <f>'Option source'!B102</f>
        <v>1861.9</v>
      </c>
      <c r="H1329" s="7">
        <f>'Option source'!B121</f>
        <v>1790.79</v>
      </c>
      <c r="I1329" s="7"/>
      <c r="J1329" s="7">
        <f t="shared" si="140"/>
        <v>-1719.6799999999998</v>
      </c>
      <c r="K1329" s="7">
        <f t="shared" si="141"/>
        <v>200</v>
      </c>
      <c r="L1329" s="7">
        <f t="shared" si="142"/>
        <v>1919.6799999999998</v>
      </c>
      <c r="M1329" s="7" t="str">
        <f t="shared" si="143"/>
        <v>Unlimited</v>
      </c>
      <c r="N1329" s="7" t="str">
        <f t="shared" si="144"/>
        <v>n.a.</v>
      </c>
      <c r="O1329" s="7">
        <f t="shared" si="145"/>
        <v>7319.68</v>
      </c>
      <c r="P1329" s="15" t="str">
        <f t="shared" si="146"/>
        <v>n.a.</v>
      </c>
      <c r="Q1329" s="7">
        <f>J1329*'Model inputs'!$B$8</f>
        <v>-171967.99999999997</v>
      </c>
      <c r="R1329" s="1" t="s">
        <v>164</v>
      </c>
      <c r="S1329" s="1">
        <v>97</v>
      </c>
      <c r="T1329" s="1">
        <v>116</v>
      </c>
    </row>
    <row r="1330" spans="1:20" ht="21" customHeight="1">
      <c r="A1330" s="8">
        <v>46261</v>
      </c>
      <c r="B1330" s="1" t="s">
        <v>36</v>
      </c>
      <c r="C1330" s="1" t="s">
        <v>87</v>
      </c>
      <c r="D1330" s="7">
        <v>5000</v>
      </c>
      <c r="E1330" s="7">
        <v>5200</v>
      </c>
      <c r="F1330" s="7"/>
      <c r="G1330" s="7">
        <f>'Option source'!B83</f>
        <v>2030</v>
      </c>
      <c r="H1330" s="7">
        <f>'Option source'!B102</f>
        <v>1861.9</v>
      </c>
      <c r="I1330" s="7"/>
      <c r="J1330" s="7">
        <f t="shared" si="140"/>
        <v>-1693.8000000000002</v>
      </c>
      <c r="K1330" s="7">
        <f t="shared" si="141"/>
        <v>200</v>
      </c>
      <c r="L1330" s="7">
        <f t="shared" si="142"/>
        <v>1893.8000000000002</v>
      </c>
      <c r="M1330" s="7" t="str">
        <f t="shared" si="143"/>
        <v>Unlimited</v>
      </c>
      <c r="N1330" s="7" t="str">
        <f t="shared" si="144"/>
        <v>n.a.</v>
      </c>
      <c r="O1330" s="7">
        <f t="shared" si="145"/>
        <v>7093.8</v>
      </c>
      <c r="P1330" s="15" t="str">
        <f t="shared" si="146"/>
        <v>n.a.</v>
      </c>
      <c r="Q1330" s="7">
        <f>J1330*'Model inputs'!$B$8</f>
        <v>-169380.00000000003</v>
      </c>
      <c r="R1330" s="1" t="s">
        <v>164</v>
      </c>
      <c r="S1330" s="1">
        <v>78</v>
      </c>
      <c r="T1330" s="1">
        <v>97</v>
      </c>
    </row>
    <row r="1331" spans="1:20" ht="21" customHeight="1">
      <c r="A1331" s="8">
        <v>46261</v>
      </c>
      <c r="B1331" s="1" t="s">
        <v>36</v>
      </c>
      <c r="C1331" s="1" t="s">
        <v>90</v>
      </c>
      <c r="D1331" s="7">
        <v>8900</v>
      </c>
      <c r="E1331" s="7">
        <v>8600</v>
      </c>
      <c r="F1331" s="7"/>
      <c r="G1331" s="7">
        <f>'Option source'!B905</f>
        <v>2022.5</v>
      </c>
      <c r="H1331" s="7">
        <f>'Option source'!B890</f>
        <v>1725</v>
      </c>
      <c r="I1331" s="7"/>
      <c r="J1331" s="7">
        <f t="shared" si="140"/>
        <v>-1427.5</v>
      </c>
      <c r="K1331" s="7">
        <f t="shared" si="141"/>
        <v>300</v>
      </c>
      <c r="L1331" s="7">
        <f t="shared" si="142"/>
        <v>1727.5</v>
      </c>
      <c r="M1331" s="7">
        <f t="shared" si="143"/>
        <v>6872.5</v>
      </c>
      <c r="N1331" s="7">
        <f t="shared" si="144"/>
        <v>6872.5</v>
      </c>
      <c r="O1331" s="7" t="str">
        <f t="shared" si="145"/>
        <v>n.a.</v>
      </c>
      <c r="P1331" s="15" t="str">
        <f t="shared" si="146"/>
        <v>n.a.</v>
      </c>
      <c r="Q1331" s="7">
        <f>J1331*'Model inputs'!$B$8</f>
        <v>-142750</v>
      </c>
      <c r="R1331" s="1" t="s">
        <v>164</v>
      </c>
      <c r="S1331" s="1">
        <v>900</v>
      </c>
      <c r="T1331" s="1">
        <v>885</v>
      </c>
    </row>
    <row r="1332" spans="1:20" ht="21" customHeight="1">
      <c r="A1332" s="8">
        <v>46261</v>
      </c>
      <c r="B1332" s="1" t="s">
        <v>36</v>
      </c>
      <c r="C1332" s="1" t="s">
        <v>87</v>
      </c>
      <c r="D1332" s="7">
        <v>4800</v>
      </c>
      <c r="E1332" s="7">
        <v>5000</v>
      </c>
      <c r="F1332" s="7"/>
      <c r="G1332" s="7">
        <f>'Option source'!B66</f>
        <v>2186.6</v>
      </c>
      <c r="H1332" s="7">
        <f>'Option source'!B83</f>
        <v>2030</v>
      </c>
      <c r="I1332" s="7"/>
      <c r="J1332" s="7">
        <f t="shared" si="140"/>
        <v>-1873.4</v>
      </c>
      <c r="K1332" s="7">
        <f t="shared" si="141"/>
        <v>200</v>
      </c>
      <c r="L1332" s="7">
        <f t="shared" si="142"/>
        <v>2073.4</v>
      </c>
      <c r="M1332" s="7" t="str">
        <f t="shared" si="143"/>
        <v>Unlimited</v>
      </c>
      <c r="N1332" s="7" t="str">
        <f t="shared" si="144"/>
        <v>n.a.</v>
      </c>
      <c r="O1332" s="7">
        <f t="shared" si="145"/>
        <v>7073.4</v>
      </c>
      <c r="P1332" s="15" t="str">
        <f t="shared" si="146"/>
        <v>n.a.</v>
      </c>
      <c r="Q1332" s="7">
        <f>J1332*'Model inputs'!$B$8</f>
        <v>-187340</v>
      </c>
      <c r="R1332" s="1" t="s">
        <v>164</v>
      </c>
      <c r="S1332" s="1">
        <v>61</v>
      </c>
      <c r="T1332" s="1">
        <v>78</v>
      </c>
    </row>
    <row r="1333" spans="1:20" ht="21" customHeight="1">
      <c r="A1333" s="8">
        <v>46261</v>
      </c>
      <c r="B1333" s="1" t="s">
        <v>36</v>
      </c>
      <c r="C1333" s="1" t="s">
        <v>87</v>
      </c>
      <c r="D1333" s="7">
        <v>4600</v>
      </c>
      <c r="E1333" s="7">
        <v>4800</v>
      </c>
      <c r="F1333" s="7"/>
      <c r="G1333" s="7">
        <f>'Option source'!B49</f>
        <v>2400.31</v>
      </c>
      <c r="H1333" s="7">
        <f>'Option source'!B66</f>
        <v>2186.6</v>
      </c>
      <c r="I1333" s="7"/>
      <c r="J1333" s="7">
        <f t="shared" si="140"/>
        <v>-1972.8899999999999</v>
      </c>
      <c r="K1333" s="7">
        <f t="shared" si="141"/>
        <v>200</v>
      </c>
      <c r="L1333" s="7">
        <f t="shared" si="142"/>
        <v>2172.89</v>
      </c>
      <c r="M1333" s="7" t="str">
        <f t="shared" si="143"/>
        <v>Unlimited</v>
      </c>
      <c r="N1333" s="7" t="str">
        <f t="shared" si="144"/>
        <v>n.a.</v>
      </c>
      <c r="O1333" s="7">
        <f t="shared" si="145"/>
        <v>6972.8899999999994</v>
      </c>
      <c r="P1333" s="15" t="str">
        <f t="shared" si="146"/>
        <v>n.a.</v>
      </c>
      <c r="Q1333" s="7">
        <f>J1333*'Model inputs'!$B$8</f>
        <v>-197289</v>
      </c>
      <c r="R1333" s="1" t="s">
        <v>164</v>
      </c>
      <c r="S1333" s="1">
        <v>44</v>
      </c>
      <c r="T1333" s="1">
        <v>61</v>
      </c>
    </row>
    <row r="1334" spans="1:20" ht="21" customHeight="1">
      <c r="A1334" s="8">
        <v>46261</v>
      </c>
      <c r="B1334" s="1" t="s">
        <v>36</v>
      </c>
      <c r="C1334" s="1" t="s">
        <v>87</v>
      </c>
      <c r="D1334" s="7">
        <v>4400</v>
      </c>
      <c r="E1334" s="7">
        <v>4600</v>
      </c>
      <c r="F1334" s="7"/>
      <c r="G1334" s="7">
        <f>'Option source'!B30</f>
        <v>2387.12</v>
      </c>
      <c r="H1334" s="7">
        <f>'Option source'!B49</f>
        <v>2400.31</v>
      </c>
      <c r="I1334" s="7"/>
      <c r="J1334" s="7">
        <f t="shared" si="140"/>
        <v>-2413.5</v>
      </c>
      <c r="K1334" s="7">
        <f t="shared" si="141"/>
        <v>200</v>
      </c>
      <c r="L1334" s="7">
        <f t="shared" si="142"/>
        <v>2613.5</v>
      </c>
      <c r="M1334" s="7" t="str">
        <f t="shared" si="143"/>
        <v>Unlimited</v>
      </c>
      <c r="N1334" s="7" t="str">
        <f t="shared" si="144"/>
        <v>n.a.</v>
      </c>
      <c r="O1334" s="7">
        <f t="shared" si="145"/>
        <v>7213.5</v>
      </c>
      <c r="P1334" s="15" t="str">
        <f t="shared" si="146"/>
        <v>n.a.</v>
      </c>
      <c r="Q1334" s="7">
        <f>J1334*'Model inputs'!$B$8</f>
        <v>-241350</v>
      </c>
      <c r="R1334" s="1" t="s">
        <v>164</v>
      </c>
      <c r="S1334" s="1">
        <v>25</v>
      </c>
      <c r="T1334" s="1">
        <v>44</v>
      </c>
    </row>
    <row r="1335" spans="1:20" ht="21" customHeight="1">
      <c r="A1335" s="8">
        <v>46261</v>
      </c>
      <c r="B1335" s="1" t="s">
        <v>36</v>
      </c>
      <c r="C1335" s="1" t="s">
        <v>87</v>
      </c>
      <c r="D1335" s="7">
        <v>4200</v>
      </c>
      <c r="E1335" s="7">
        <v>4400</v>
      </c>
      <c r="F1335" s="7"/>
      <c r="G1335" s="7">
        <f>'Option source'!B11</f>
        <v>2815</v>
      </c>
      <c r="H1335" s="7">
        <f>'Option source'!B30</f>
        <v>2387.12</v>
      </c>
      <c r="I1335" s="7"/>
      <c r="J1335" s="7">
        <f t="shared" si="140"/>
        <v>-1959.2399999999998</v>
      </c>
      <c r="K1335" s="7">
        <f t="shared" si="141"/>
        <v>200</v>
      </c>
      <c r="L1335" s="7">
        <f t="shared" si="142"/>
        <v>2159.2399999999998</v>
      </c>
      <c r="M1335" s="7" t="str">
        <f t="shared" si="143"/>
        <v>Unlimited</v>
      </c>
      <c r="N1335" s="7" t="str">
        <f t="shared" si="144"/>
        <v>n.a.</v>
      </c>
      <c r="O1335" s="7">
        <f t="shared" si="145"/>
        <v>6559.24</v>
      </c>
      <c r="P1335" s="15" t="str">
        <f t="shared" si="146"/>
        <v>n.a.</v>
      </c>
      <c r="Q1335" s="7">
        <f>J1335*'Model inputs'!$B$8</f>
        <v>-195923.99999999997</v>
      </c>
      <c r="R1335" s="1" t="s">
        <v>164</v>
      </c>
      <c r="S1335" s="1">
        <v>6</v>
      </c>
      <c r="T1335" s="1">
        <v>25</v>
      </c>
    </row>
    <row r="1336" spans="1:20" ht="21" customHeight="1">
      <c r="A1336" s="8">
        <v>46260</v>
      </c>
      <c r="B1336" s="1" t="s">
        <v>34</v>
      </c>
      <c r="C1336" s="1" t="s">
        <v>87</v>
      </c>
      <c r="D1336" s="7">
        <v>6800</v>
      </c>
      <c r="E1336" s="7">
        <v>7000</v>
      </c>
      <c r="F1336" s="7">
        <v>7200</v>
      </c>
      <c r="G1336" s="7">
        <f>'Option source'!B243</f>
        <v>690.84</v>
      </c>
      <c r="H1336" s="7">
        <f>'Option source'!B262</f>
        <v>565.70000000000005</v>
      </c>
      <c r="I1336" s="7">
        <f>'Option source'!B281</f>
        <v>475.76</v>
      </c>
      <c r="J1336" s="7">
        <f t="shared" si="140"/>
        <v>35.199999999999932</v>
      </c>
      <c r="K1336" s="7">
        <f t="shared" si="141"/>
        <v>200</v>
      </c>
      <c r="L1336" s="7">
        <f t="shared" si="142"/>
        <v>164.80000000000007</v>
      </c>
      <c r="M1336" s="7">
        <f t="shared" si="143"/>
        <v>35.199999999999932</v>
      </c>
      <c r="N1336" s="7">
        <f t="shared" si="144"/>
        <v>6835.2</v>
      </c>
      <c r="O1336" s="7">
        <f t="shared" si="145"/>
        <v>7164.8</v>
      </c>
      <c r="P1336" s="15">
        <f t="shared" si="146"/>
        <v>4.6818181818181932</v>
      </c>
      <c r="Q1336" s="7">
        <f>J1336*'Model inputs'!$B$8</f>
        <v>3519.9999999999932</v>
      </c>
      <c r="R1336" s="1" t="s">
        <v>162</v>
      </c>
      <c r="S1336" s="1">
        <v>238</v>
      </c>
      <c r="T1336" s="1">
        <v>257</v>
      </c>
    </row>
    <row r="1337" spans="1:20" ht="21" customHeight="1">
      <c r="A1337" s="8">
        <v>46260</v>
      </c>
      <c r="B1337" s="1" t="s">
        <v>34</v>
      </c>
      <c r="C1337" s="1" t="s">
        <v>90</v>
      </c>
      <c r="D1337" s="7">
        <v>6800</v>
      </c>
      <c r="E1337" s="7">
        <v>7000</v>
      </c>
      <c r="F1337" s="7">
        <v>7200</v>
      </c>
      <c r="G1337" s="7">
        <f>'Option source'!B737</f>
        <v>260.29000000000002</v>
      </c>
      <c r="H1337" s="7">
        <f>'Option source'!B756</f>
        <v>344.64</v>
      </c>
      <c r="I1337" s="7">
        <f>'Option source'!B775</f>
        <v>437.25</v>
      </c>
      <c r="J1337" s="7">
        <f t="shared" si="140"/>
        <v>8.2600000000000477</v>
      </c>
      <c r="K1337" s="7">
        <f t="shared" si="141"/>
        <v>200</v>
      </c>
      <c r="L1337" s="7">
        <f t="shared" si="142"/>
        <v>191.73999999999995</v>
      </c>
      <c r="M1337" s="7">
        <f t="shared" si="143"/>
        <v>8.2600000000000477</v>
      </c>
      <c r="N1337" s="7">
        <f t="shared" si="144"/>
        <v>6808.26</v>
      </c>
      <c r="O1337" s="7">
        <f t="shared" si="145"/>
        <v>7191.74</v>
      </c>
      <c r="P1337" s="15">
        <f t="shared" si="146"/>
        <v>23.213075060532546</v>
      </c>
      <c r="Q1337" s="7">
        <f>J1337*'Model inputs'!$B$8</f>
        <v>826.00000000000477</v>
      </c>
      <c r="R1337" s="1" t="s">
        <v>162</v>
      </c>
      <c r="S1337" s="1">
        <v>732</v>
      </c>
      <c r="T1337" s="1">
        <v>751</v>
      </c>
    </row>
    <row r="1338" spans="1:20" ht="21" customHeight="1">
      <c r="A1338" s="8">
        <v>46260</v>
      </c>
      <c r="B1338" s="1" t="s">
        <v>34</v>
      </c>
      <c r="C1338" s="1" t="s">
        <v>87</v>
      </c>
      <c r="D1338" s="7">
        <v>7000</v>
      </c>
      <c r="E1338" s="7">
        <v>7200</v>
      </c>
      <c r="F1338" s="7">
        <v>7400</v>
      </c>
      <c r="G1338" s="7">
        <f>'Option source'!B262</f>
        <v>565.70000000000005</v>
      </c>
      <c r="H1338" s="7">
        <f>'Option source'!B281</f>
        <v>475.76</v>
      </c>
      <c r="I1338" s="7">
        <f>'Option source'!B300</f>
        <v>391.75</v>
      </c>
      <c r="J1338" s="7">
        <f t="shared" si="140"/>
        <v>5.9300000000000637</v>
      </c>
      <c r="K1338" s="7">
        <f t="shared" si="141"/>
        <v>200</v>
      </c>
      <c r="L1338" s="7">
        <f t="shared" si="142"/>
        <v>194.06999999999994</v>
      </c>
      <c r="M1338" s="7">
        <f t="shared" si="143"/>
        <v>5.9300000000000637</v>
      </c>
      <c r="N1338" s="7">
        <f t="shared" si="144"/>
        <v>7005.93</v>
      </c>
      <c r="O1338" s="7">
        <f t="shared" si="145"/>
        <v>7394.07</v>
      </c>
      <c r="P1338" s="15">
        <f t="shared" si="146"/>
        <v>32.726812816188506</v>
      </c>
      <c r="Q1338" s="7">
        <f>J1338*'Model inputs'!$B$8</f>
        <v>593.00000000000637</v>
      </c>
      <c r="R1338" s="1" t="s">
        <v>162</v>
      </c>
      <c r="S1338" s="1">
        <v>257</v>
      </c>
      <c r="T1338" s="1">
        <v>276</v>
      </c>
    </row>
    <row r="1339" spans="1:20" ht="21" customHeight="1">
      <c r="A1339" s="8">
        <v>46260</v>
      </c>
      <c r="B1339" s="1" t="s">
        <v>34</v>
      </c>
      <c r="C1339" s="1" t="s">
        <v>90</v>
      </c>
      <c r="D1339" s="7">
        <v>7000</v>
      </c>
      <c r="E1339" s="7">
        <v>7200</v>
      </c>
      <c r="F1339" s="7">
        <v>7400</v>
      </c>
      <c r="G1339" s="7">
        <f>'Option source'!B756</f>
        <v>344.64</v>
      </c>
      <c r="H1339" s="7">
        <f>'Option source'!B775</f>
        <v>437.25</v>
      </c>
      <c r="I1339" s="7">
        <f>'Option source'!B794</f>
        <v>549.96</v>
      </c>
      <c r="J1339" s="7">
        <f t="shared" si="140"/>
        <v>20.100000000000023</v>
      </c>
      <c r="K1339" s="7">
        <f t="shared" si="141"/>
        <v>200</v>
      </c>
      <c r="L1339" s="7">
        <f t="shared" si="142"/>
        <v>179.89999999999998</v>
      </c>
      <c r="M1339" s="7">
        <f t="shared" si="143"/>
        <v>20.100000000000023</v>
      </c>
      <c r="N1339" s="7">
        <f t="shared" si="144"/>
        <v>7020.1</v>
      </c>
      <c r="O1339" s="7">
        <f t="shared" si="145"/>
        <v>7379.9</v>
      </c>
      <c r="P1339" s="15">
        <f t="shared" si="146"/>
        <v>8.9502487562188939</v>
      </c>
      <c r="Q1339" s="7">
        <f>J1339*'Model inputs'!$B$8</f>
        <v>2010.0000000000023</v>
      </c>
      <c r="R1339" s="1" t="s">
        <v>162</v>
      </c>
      <c r="S1339" s="1">
        <v>751</v>
      </c>
      <c r="T1339" s="1">
        <v>770</v>
      </c>
    </row>
    <row r="1340" spans="1:20" ht="21" customHeight="1">
      <c r="A1340" s="8">
        <v>46260</v>
      </c>
      <c r="B1340" s="1" t="s">
        <v>34</v>
      </c>
      <c r="C1340" s="1" t="s">
        <v>90</v>
      </c>
      <c r="D1340" s="7">
        <v>6600</v>
      </c>
      <c r="E1340" s="7">
        <v>6800</v>
      </c>
      <c r="F1340" s="7">
        <v>7000</v>
      </c>
      <c r="G1340" s="7">
        <f>'Option source'!B718</f>
        <v>195.14</v>
      </c>
      <c r="H1340" s="7">
        <f>'Option source'!B737</f>
        <v>260.29000000000002</v>
      </c>
      <c r="I1340" s="7">
        <f>'Option source'!B756</f>
        <v>344.64</v>
      </c>
      <c r="J1340" s="7">
        <f t="shared" si="140"/>
        <v>19.199999999999932</v>
      </c>
      <c r="K1340" s="7">
        <f t="shared" si="141"/>
        <v>200</v>
      </c>
      <c r="L1340" s="7">
        <f t="shared" si="142"/>
        <v>180.80000000000007</v>
      </c>
      <c r="M1340" s="7">
        <f t="shared" si="143"/>
        <v>19.199999999999932</v>
      </c>
      <c r="N1340" s="7">
        <f t="shared" si="144"/>
        <v>6619.2</v>
      </c>
      <c r="O1340" s="7">
        <f t="shared" si="145"/>
        <v>6980.8</v>
      </c>
      <c r="P1340" s="15">
        <f t="shared" si="146"/>
        <v>9.4166666666667034</v>
      </c>
      <c r="Q1340" s="7">
        <f>J1340*'Model inputs'!$B$8</f>
        <v>1919.9999999999932</v>
      </c>
      <c r="R1340" s="1" t="s">
        <v>162</v>
      </c>
      <c r="S1340" s="1">
        <v>713</v>
      </c>
      <c r="T1340" s="1">
        <v>732</v>
      </c>
    </row>
    <row r="1341" spans="1:20" ht="21" customHeight="1">
      <c r="A1341" s="8">
        <v>46260</v>
      </c>
      <c r="B1341" s="1" t="s">
        <v>34</v>
      </c>
      <c r="C1341" s="1" t="s">
        <v>87</v>
      </c>
      <c r="D1341" s="7">
        <v>7200</v>
      </c>
      <c r="E1341" s="7">
        <v>7400</v>
      </c>
      <c r="F1341" s="7">
        <v>7600</v>
      </c>
      <c r="G1341" s="7">
        <f>'Option source'!B281</f>
        <v>475.76</v>
      </c>
      <c r="H1341" s="7">
        <f>'Option source'!B300</f>
        <v>391.75</v>
      </c>
      <c r="I1341" s="7">
        <f>'Option source'!B319</f>
        <v>316.14999999999998</v>
      </c>
      <c r="J1341" s="7">
        <f t="shared" si="140"/>
        <v>8.4099999999999682</v>
      </c>
      <c r="K1341" s="7">
        <f t="shared" si="141"/>
        <v>200</v>
      </c>
      <c r="L1341" s="7">
        <f t="shared" si="142"/>
        <v>191.59000000000003</v>
      </c>
      <c r="M1341" s="7">
        <f t="shared" si="143"/>
        <v>8.4099999999999682</v>
      </c>
      <c r="N1341" s="7">
        <f t="shared" si="144"/>
        <v>7208.41</v>
      </c>
      <c r="O1341" s="7">
        <f t="shared" si="145"/>
        <v>7591.59</v>
      </c>
      <c r="P1341" s="15">
        <f t="shared" si="146"/>
        <v>22.781212841855023</v>
      </c>
      <c r="Q1341" s="7">
        <f>J1341*'Model inputs'!$B$8</f>
        <v>840.99999999999682</v>
      </c>
      <c r="R1341" s="1" t="s">
        <v>162</v>
      </c>
      <c r="S1341" s="1">
        <v>276</v>
      </c>
      <c r="T1341" s="1">
        <v>295</v>
      </c>
    </row>
    <row r="1342" spans="1:20" ht="21" customHeight="1">
      <c r="A1342" s="8">
        <v>46260</v>
      </c>
      <c r="B1342" s="1" t="s">
        <v>34</v>
      </c>
      <c r="C1342" s="1" t="s">
        <v>90</v>
      </c>
      <c r="D1342" s="7">
        <v>7200</v>
      </c>
      <c r="E1342" s="7">
        <v>7400</v>
      </c>
      <c r="F1342" s="7">
        <v>7600</v>
      </c>
      <c r="G1342" s="7">
        <f>'Option source'!B775</f>
        <v>437.25</v>
      </c>
      <c r="H1342" s="7">
        <f>'Option source'!B794</f>
        <v>549.96</v>
      </c>
      <c r="I1342" s="7">
        <f>'Option source'!B813</f>
        <v>665</v>
      </c>
      <c r="J1342" s="7">
        <f t="shared" si="140"/>
        <v>2.3299999999999272</v>
      </c>
      <c r="K1342" s="7">
        <f t="shared" si="141"/>
        <v>200</v>
      </c>
      <c r="L1342" s="7">
        <f t="shared" si="142"/>
        <v>197.67000000000007</v>
      </c>
      <c r="M1342" s="7">
        <f t="shared" si="143"/>
        <v>2.3299999999999272</v>
      </c>
      <c r="N1342" s="7">
        <f t="shared" si="144"/>
        <v>7202.33</v>
      </c>
      <c r="O1342" s="7">
        <f t="shared" si="145"/>
        <v>7597.67</v>
      </c>
      <c r="P1342" s="15">
        <f t="shared" si="146"/>
        <v>84.836909871247315</v>
      </c>
      <c r="Q1342" s="7">
        <f>J1342*'Model inputs'!$B$8</f>
        <v>232.99999999999272</v>
      </c>
      <c r="R1342" s="1" t="s">
        <v>162</v>
      </c>
      <c r="S1342" s="1">
        <v>770</v>
      </c>
      <c r="T1342" s="1">
        <v>789</v>
      </c>
    </row>
    <row r="1343" spans="1:20" ht="21" customHeight="1">
      <c r="A1343" s="8">
        <v>46260</v>
      </c>
      <c r="B1343" s="1" t="s">
        <v>34</v>
      </c>
      <c r="C1343" s="1" t="s">
        <v>87</v>
      </c>
      <c r="D1343" s="7">
        <v>6400</v>
      </c>
      <c r="E1343" s="7">
        <v>6600</v>
      </c>
      <c r="F1343" s="7">
        <v>6800</v>
      </c>
      <c r="G1343" s="7">
        <f>'Option source'!B205</f>
        <v>944.2</v>
      </c>
      <c r="H1343" s="7">
        <f>'Option source'!B224</f>
        <v>808.58</v>
      </c>
      <c r="I1343" s="7">
        <f>'Option source'!B243</f>
        <v>690.84</v>
      </c>
      <c r="J1343" s="7">
        <f t="shared" si="140"/>
        <v>17.879999999999995</v>
      </c>
      <c r="K1343" s="7">
        <f t="shared" si="141"/>
        <v>200</v>
      </c>
      <c r="L1343" s="7">
        <f t="shared" si="142"/>
        <v>182.12</v>
      </c>
      <c r="M1343" s="7">
        <f t="shared" si="143"/>
        <v>17.879999999999995</v>
      </c>
      <c r="N1343" s="7">
        <f t="shared" si="144"/>
        <v>6417.88</v>
      </c>
      <c r="O1343" s="7">
        <f t="shared" si="145"/>
        <v>6782.12</v>
      </c>
      <c r="P1343" s="15">
        <f t="shared" si="146"/>
        <v>10.185682326621928</v>
      </c>
      <c r="Q1343" s="7">
        <f>J1343*'Model inputs'!$B$8</f>
        <v>1787.9999999999995</v>
      </c>
      <c r="R1343" s="1" t="s">
        <v>162</v>
      </c>
      <c r="S1343" s="1">
        <v>200</v>
      </c>
      <c r="T1343" s="1">
        <v>219</v>
      </c>
    </row>
    <row r="1344" spans="1:20" ht="21" customHeight="1">
      <c r="A1344" s="8">
        <v>46260</v>
      </c>
      <c r="B1344" s="1" t="s">
        <v>34</v>
      </c>
      <c r="C1344" s="1" t="s">
        <v>90</v>
      </c>
      <c r="D1344" s="7">
        <v>6400</v>
      </c>
      <c r="E1344" s="7">
        <v>6600</v>
      </c>
      <c r="F1344" s="7">
        <v>6800</v>
      </c>
      <c r="G1344" s="7">
        <f>'Option source'!B699</f>
        <v>135.93</v>
      </c>
      <c r="H1344" s="7">
        <f>'Option source'!B718</f>
        <v>195.14</v>
      </c>
      <c r="I1344" s="7">
        <f>'Option source'!B737</f>
        <v>260.29000000000002</v>
      </c>
      <c r="J1344" s="7">
        <f t="shared" si="140"/>
        <v>5.9400000000000546</v>
      </c>
      <c r="K1344" s="7">
        <f t="shared" si="141"/>
        <v>200</v>
      </c>
      <c r="L1344" s="7">
        <f t="shared" si="142"/>
        <v>194.05999999999995</v>
      </c>
      <c r="M1344" s="7">
        <f t="shared" si="143"/>
        <v>5.9400000000000546</v>
      </c>
      <c r="N1344" s="7">
        <f t="shared" si="144"/>
        <v>6405.9400000000005</v>
      </c>
      <c r="O1344" s="7">
        <f t="shared" si="145"/>
        <v>6794.0599999999995</v>
      </c>
      <c r="P1344" s="15">
        <f t="shared" si="146"/>
        <v>32.670033670033362</v>
      </c>
      <c r="Q1344" s="7">
        <f>J1344*'Model inputs'!$B$8</f>
        <v>594.00000000000546</v>
      </c>
      <c r="R1344" s="1" t="s">
        <v>162</v>
      </c>
      <c r="S1344" s="1">
        <v>694</v>
      </c>
      <c r="T1344" s="1">
        <v>713</v>
      </c>
    </row>
    <row r="1345" spans="1:20" ht="21" customHeight="1">
      <c r="A1345" s="8">
        <v>46260</v>
      </c>
      <c r="B1345" s="1" t="s">
        <v>34</v>
      </c>
      <c r="C1345" s="1" t="s">
        <v>87</v>
      </c>
      <c r="D1345" s="7">
        <v>7400</v>
      </c>
      <c r="E1345" s="7">
        <v>7600</v>
      </c>
      <c r="F1345" s="7">
        <v>7800</v>
      </c>
      <c r="G1345" s="7">
        <f>'Option source'!B300</f>
        <v>391.75</v>
      </c>
      <c r="H1345" s="7">
        <f>'Option source'!B319</f>
        <v>316.14999999999998</v>
      </c>
      <c r="I1345" s="7">
        <f>'Option source'!B338</f>
        <v>250.53</v>
      </c>
      <c r="J1345" s="7">
        <f t="shared" si="140"/>
        <v>9.9800000000000466</v>
      </c>
      <c r="K1345" s="7">
        <f t="shared" si="141"/>
        <v>200</v>
      </c>
      <c r="L1345" s="7">
        <f t="shared" si="142"/>
        <v>190.01999999999995</v>
      </c>
      <c r="M1345" s="7">
        <f t="shared" si="143"/>
        <v>9.9800000000000466</v>
      </c>
      <c r="N1345" s="7">
        <f t="shared" si="144"/>
        <v>7409.9800000000005</v>
      </c>
      <c r="O1345" s="7">
        <f t="shared" si="145"/>
        <v>7790.0199999999995</v>
      </c>
      <c r="P1345" s="15">
        <f t="shared" si="146"/>
        <v>19.040080160320549</v>
      </c>
      <c r="Q1345" s="7">
        <f>J1345*'Model inputs'!$B$8</f>
        <v>998.00000000000466</v>
      </c>
      <c r="R1345" s="1" t="s">
        <v>162</v>
      </c>
      <c r="S1345" s="1">
        <v>295</v>
      </c>
      <c r="T1345" s="1">
        <v>314</v>
      </c>
    </row>
    <row r="1346" spans="1:20" ht="21" customHeight="1">
      <c r="A1346" s="8">
        <v>46260</v>
      </c>
      <c r="B1346" s="1" t="s">
        <v>34</v>
      </c>
      <c r="C1346" s="1" t="s">
        <v>90</v>
      </c>
      <c r="D1346" s="7">
        <v>6200</v>
      </c>
      <c r="E1346" s="7">
        <v>6400</v>
      </c>
      <c r="F1346" s="7">
        <v>6600</v>
      </c>
      <c r="G1346" s="7">
        <f>'Option source'!B680</f>
        <v>92.32</v>
      </c>
      <c r="H1346" s="7">
        <f>'Option source'!B699</f>
        <v>135.93</v>
      </c>
      <c r="I1346" s="7">
        <f>'Option source'!B718</f>
        <v>195.14</v>
      </c>
      <c r="J1346" s="7">
        <f t="shared" si="140"/>
        <v>15.599999999999966</v>
      </c>
      <c r="K1346" s="7">
        <f t="shared" si="141"/>
        <v>200</v>
      </c>
      <c r="L1346" s="7">
        <f t="shared" si="142"/>
        <v>184.40000000000003</v>
      </c>
      <c r="M1346" s="7">
        <f t="shared" si="143"/>
        <v>15.599999999999966</v>
      </c>
      <c r="N1346" s="7">
        <f t="shared" si="144"/>
        <v>6215.6</v>
      </c>
      <c r="O1346" s="7">
        <f t="shared" si="145"/>
        <v>6584.4</v>
      </c>
      <c r="P1346" s="15">
        <f t="shared" si="146"/>
        <v>11.820512820512848</v>
      </c>
      <c r="Q1346" s="7">
        <f>J1346*'Model inputs'!$B$8</f>
        <v>1559.9999999999966</v>
      </c>
      <c r="R1346" s="1" t="s">
        <v>162</v>
      </c>
      <c r="S1346" s="1">
        <v>675</v>
      </c>
      <c r="T1346" s="1">
        <v>694</v>
      </c>
    </row>
    <row r="1347" spans="1:20" ht="21" customHeight="1">
      <c r="A1347" s="8">
        <v>46260</v>
      </c>
      <c r="B1347" s="1" t="s">
        <v>34</v>
      </c>
      <c r="C1347" s="1" t="s">
        <v>87</v>
      </c>
      <c r="D1347" s="7">
        <v>7600</v>
      </c>
      <c r="E1347" s="7">
        <v>7800</v>
      </c>
      <c r="F1347" s="7">
        <v>8000</v>
      </c>
      <c r="G1347" s="7">
        <f>'Option source'!B319</f>
        <v>316.14999999999998</v>
      </c>
      <c r="H1347" s="7">
        <f>'Option source'!B338</f>
        <v>250.53</v>
      </c>
      <c r="I1347" s="7">
        <f>'Option source'!B357</f>
        <v>199.33</v>
      </c>
      <c r="J1347" s="7">
        <f t="shared" si="140"/>
        <v>14.419999999999987</v>
      </c>
      <c r="K1347" s="7">
        <f t="shared" si="141"/>
        <v>200</v>
      </c>
      <c r="L1347" s="7">
        <f t="shared" si="142"/>
        <v>185.58</v>
      </c>
      <c r="M1347" s="7">
        <f t="shared" si="143"/>
        <v>14.419999999999987</v>
      </c>
      <c r="N1347" s="7">
        <f t="shared" si="144"/>
        <v>7614.42</v>
      </c>
      <c r="O1347" s="7">
        <f t="shared" si="145"/>
        <v>7985.58</v>
      </c>
      <c r="P1347" s="15">
        <f t="shared" si="146"/>
        <v>12.869625520110969</v>
      </c>
      <c r="Q1347" s="7">
        <f>J1347*'Model inputs'!$B$8</f>
        <v>1441.9999999999986</v>
      </c>
      <c r="R1347" s="1" t="s">
        <v>162</v>
      </c>
      <c r="S1347" s="1">
        <v>314</v>
      </c>
      <c r="T1347" s="1">
        <v>333</v>
      </c>
    </row>
    <row r="1348" spans="1:20" ht="21" customHeight="1">
      <c r="A1348" s="8">
        <v>46260</v>
      </c>
      <c r="B1348" s="1" t="s">
        <v>34</v>
      </c>
      <c r="C1348" s="1" t="s">
        <v>90</v>
      </c>
      <c r="D1348" s="7">
        <v>6000</v>
      </c>
      <c r="E1348" s="7">
        <v>6200</v>
      </c>
      <c r="F1348" s="7">
        <v>6400</v>
      </c>
      <c r="G1348" s="7">
        <f>'Option source'!B661</f>
        <v>59.56</v>
      </c>
      <c r="H1348" s="7">
        <f>'Option source'!B680</f>
        <v>92.32</v>
      </c>
      <c r="I1348" s="7">
        <f>'Option source'!B699</f>
        <v>135.93</v>
      </c>
      <c r="J1348" s="7">
        <f t="shared" si="140"/>
        <v>10.850000000000023</v>
      </c>
      <c r="K1348" s="7">
        <f t="shared" si="141"/>
        <v>200</v>
      </c>
      <c r="L1348" s="7">
        <f t="shared" si="142"/>
        <v>189.14999999999998</v>
      </c>
      <c r="M1348" s="7">
        <f t="shared" si="143"/>
        <v>10.850000000000023</v>
      </c>
      <c r="N1348" s="7">
        <f t="shared" si="144"/>
        <v>6010.85</v>
      </c>
      <c r="O1348" s="7">
        <f t="shared" si="145"/>
        <v>6389.15</v>
      </c>
      <c r="P1348" s="15">
        <f t="shared" si="146"/>
        <v>17.433179723502267</v>
      </c>
      <c r="Q1348" s="7">
        <f>J1348*'Model inputs'!$B$8</f>
        <v>1085.0000000000023</v>
      </c>
      <c r="R1348" s="1" t="s">
        <v>162</v>
      </c>
      <c r="S1348" s="1">
        <v>656</v>
      </c>
      <c r="T1348" s="1">
        <v>675</v>
      </c>
    </row>
    <row r="1349" spans="1:20" ht="21" customHeight="1">
      <c r="A1349" s="8">
        <v>46260</v>
      </c>
      <c r="B1349" s="1" t="s">
        <v>34</v>
      </c>
      <c r="C1349" s="1" t="s">
        <v>90</v>
      </c>
      <c r="D1349" s="7">
        <v>5800</v>
      </c>
      <c r="E1349" s="7">
        <v>6000</v>
      </c>
      <c r="F1349" s="7">
        <v>6200</v>
      </c>
      <c r="G1349" s="7">
        <f>'Option source'!B642</f>
        <v>35.840000000000003</v>
      </c>
      <c r="H1349" s="7">
        <f>'Option source'!B661</f>
        <v>59.56</v>
      </c>
      <c r="I1349" s="7">
        <f>'Option source'!B680</f>
        <v>92.32</v>
      </c>
      <c r="J1349" s="7">
        <f t="shared" si="140"/>
        <v>9.039999999999992</v>
      </c>
      <c r="K1349" s="7">
        <f t="shared" si="141"/>
        <v>200</v>
      </c>
      <c r="L1349" s="7">
        <f t="shared" si="142"/>
        <v>190.96</v>
      </c>
      <c r="M1349" s="7">
        <f t="shared" si="143"/>
        <v>9.039999999999992</v>
      </c>
      <c r="N1349" s="7">
        <f t="shared" si="144"/>
        <v>5809.04</v>
      </c>
      <c r="O1349" s="7">
        <f t="shared" si="145"/>
        <v>6190.96</v>
      </c>
      <c r="P1349" s="15">
        <f t="shared" si="146"/>
        <v>21.123893805309756</v>
      </c>
      <c r="Q1349" s="7">
        <f>J1349*'Model inputs'!$B$8</f>
        <v>903.9999999999992</v>
      </c>
      <c r="R1349" s="1" t="s">
        <v>162</v>
      </c>
      <c r="S1349" s="1">
        <v>637</v>
      </c>
      <c r="T1349" s="1">
        <v>656</v>
      </c>
    </row>
    <row r="1350" spans="1:20" ht="21" customHeight="1">
      <c r="A1350" s="8">
        <v>46260</v>
      </c>
      <c r="B1350" s="1" t="s">
        <v>34</v>
      </c>
      <c r="C1350" s="1" t="s">
        <v>90</v>
      </c>
      <c r="D1350" s="7">
        <v>5600</v>
      </c>
      <c r="E1350" s="7">
        <v>5800</v>
      </c>
      <c r="F1350" s="7">
        <v>6000</v>
      </c>
      <c r="G1350" s="7">
        <f>'Option source'!B623</f>
        <v>22.39</v>
      </c>
      <c r="H1350" s="7">
        <f>'Option source'!B642</f>
        <v>35.840000000000003</v>
      </c>
      <c r="I1350" s="7">
        <f>'Option source'!B661</f>
        <v>59.56</v>
      </c>
      <c r="J1350" s="7">
        <f t="shared" si="140"/>
        <v>10.269999999999996</v>
      </c>
      <c r="K1350" s="7">
        <f t="shared" si="141"/>
        <v>200</v>
      </c>
      <c r="L1350" s="7">
        <f t="shared" si="142"/>
        <v>189.73000000000002</v>
      </c>
      <c r="M1350" s="7">
        <f t="shared" si="143"/>
        <v>10.269999999999996</v>
      </c>
      <c r="N1350" s="7">
        <f t="shared" si="144"/>
        <v>5610.27</v>
      </c>
      <c r="O1350" s="7">
        <f t="shared" si="145"/>
        <v>5989.73</v>
      </c>
      <c r="P1350" s="15">
        <f t="shared" si="146"/>
        <v>18.47419668938657</v>
      </c>
      <c r="Q1350" s="7">
        <f>J1350*'Model inputs'!$B$8</f>
        <v>1026.9999999999995</v>
      </c>
      <c r="R1350" s="1" t="s">
        <v>162</v>
      </c>
      <c r="S1350" s="1">
        <v>618</v>
      </c>
      <c r="T1350" s="1">
        <v>637</v>
      </c>
    </row>
    <row r="1351" spans="1:20" ht="21" customHeight="1">
      <c r="A1351" s="8">
        <v>46260</v>
      </c>
      <c r="B1351" s="1" t="s">
        <v>34</v>
      </c>
      <c r="C1351" s="1" t="s">
        <v>87</v>
      </c>
      <c r="D1351" s="7">
        <v>8000</v>
      </c>
      <c r="E1351" s="7">
        <v>8300</v>
      </c>
      <c r="F1351" s="7">
        <v>8600</v>
      </c>
      <c r="G1351" s="7">
        <f>'Option source'!B357</f>
        <v>199.33</v>
      </c>
      <c r="H1351" s="7">
        <f>'Option source'!B376</f>
        <v>139.65</v>
      </c>
      <c r="I1351" s="7">
        <f>'Option source'!B395</f>
        <v>92.25</v>
      </c>
      <c r="J1351" s="7">
        <f t="shared" ref="J1351:J1414" si="147">G1351-2*H1351+IF(B1351="Butterfly",I1351,0)</f>
        <v>12.280000000000001</v>
      </c>
      <c r="K1351" s="7">
        <f t="shared" ref="K1351:K1414" si="148">ABS(E1351-D1351)</f>
        <v>300</v>
      </c>
      <c r="L1351" s="7">
        <f t="shared" ref="L1351:L1414" si="149">K1351-J1351</f>
        <v>287.72000000000003</v>
      </c>
      <c r="M1351" s="7">
        <f t="shared" ref="M1351:M1414" si="150">IF(B1351="Butterfly",MAX(J1351,0),IF(C1351="call","Unlimited",MAX(2*E1351-D1351+J1351,J1351,0)))</f>
        <v>12.280000000000001</v>
      </c>
      <c r="N1351" s="7">
        <f t="shared" ref="N1351:N1414" si="151">IF(B1351="Butterfly",IF(AND(J1351&gt;0,J1351&lt;K1351),D1351+J1351,"n.a."),IF(C1351="call",IF(AND(J1351&gt;0,J1351&lt;K1351),D1351+J1351,"n.a."),IF(AND(K1351&gt;J1351,2*E1351-D1351+J1351&gt;=0),2*E1351-D1351+J1351,"n.a.")))</f>
        <v>8012.28</v>
      </c>
      <c r="O1351" s="7">
        <f t="shared" ref="O1351:O1414" si="152">IF(B1351="Butterfly",IF(AND(J1351&gt;0,J1351&lt;K1351),F1351-J1351,"n.a."),IF(C1351="call",IF(K1351&gt;J1351,2*E1351-D1351-J1351,"n.a."),IF(AND(J1351&gt;0,J1351&lt;K1351),D1351-J1351,"n.a.")))</f>
        <v>8587.7199999999993</v>
      </c>
      <c r="P1351" s="15">
        <f t="shared" ref="P1351:P1414" si="153">IF(AND(B1351="Butterfly",J1351&gt;0,J1351&lt;K1351),L1351/J1351,"n.a.")</f>
        <v>23.429967426710096</v>
      </c>
      <c r="Q1351" s="7">
        <f>J1351*'Model inputs'!$B$8</f>
        <v>1228</v>
      </c>
      <c r="R1351" s="1" t="s">
        <v>162</v>
      </c>
      <c r="S1351" s="1">
        <v>352</v>
      </c>
      <c r="T1351" s="1">
        <v>371</v>
      </c>
    </row>
    <row r="1352" spans="1:20" ht="21" customHeight="1">
      <c r="A1352" s="8">
        <v>46260</v>
      </c>
      <c r="B1352" s="1" t="s">
        <v>34</v>
      </c>
      <c r="C1352" s="1" t="s">
        <v>90</v>
      </c>
      <c r="D1352" s="7">
        <v>5400</v>
      </c>
      <c r="E1352" s="7">
        <v>5600</v>
      </c>
      <c r="F1352" s="7">
        <v>5800</v>
      </c>
      <c r="G1352" s="7">
        <f>'Option source'!B604</f>
        <v>13.97</v>
      </c>
      <c r="H1352" s="7">
        <f>'Option source'!B623</f>
        <v>22.39</v>
      </c>
      <c r="I1352" s="7">
        <f>'Option source'!B642</f>
        <v>35.840000000000003</v>
      </c>
      <c r="J1352" s="7">
        <f t="shared" si="147"/>
        <v>5.0300000000000011</v>
      </c>
      <c r="K1352" s="7">
        <f t="shared" si="148"/>
        <v>200</v>
      </c>
      <c r="L1352" s="7">
        <f t="shared" si="149"/>
        <v>194.97</v>
      </c>
      <c r="M1352" s="7">
        <f t="shared" si="150"/>
        <v>5.0300000000000011</v>
      </c>
      <c r="N1352" s="7">
        <f t="shared" si="151"/>
        <v>5405.03</v>
      </c>
      <c r="O1352" s="7">
        <f t="shared" si="152"/>
        <v>5794.97</v>
      </c>
      <c r="P1352" s="15">
        <f t="shared" si="153"/>
        <v>38.761431411530808</v>
      </c>
      <c r="Q1352" s="7">
        <f>J1352*'Model inputs'!$B$8</f>
        <v>503.00000000000011</v>
      </c>
      <c r="R1352" s="1" t="s">
        <v>162</v>
      </c>
      <c r="S1352" s="1">
        <v>599</v>
      </c>
      <c r="T1352" s="1">
        <v>618</v>
      </c>
    </row>
    <row r="1353" spans="1:20" ht="21" customHeight="1">
      <c r="A1353" s="8">
        <v>46260</v>
      </c>
      <c r="B1353" s="1" t="s">
        <v>34</v>
      </c>
      <c r="C1353" s="1" t="s">
        <v>87</v>
      </c>
      <c r="D1353" s="7">
        <v>8300</v>
      </c>
      <c r="E1353" s="7">
        <v>8600</v>
      </c>
      <c r="F1353" s="7">
        <v>8900</v>
      </c>
      <c r="G1353" s="7">
        <f>'Option source'!B376</f>
        <v>139.65</v>
      </c>
      <c r="H1353" s="7">
        <f>'Option source'!B395</f>
        <v>92.25</v>
      </c>
      <c r="I1353" s="7">
        <f>'Option source'!B414</f>
        <v>66.03</v>
      </c>
      <c r="J1353" s="7">
        <f t="shared" si="147"/>
        <v>21.180000000000007</v>
      </c>
      <c r="K1353" s="7">
        <f t="shared" si="148"/>
        <v>300</v>
      </c>
      <c r="L1353" s="7">
        <f t="shared" si="149"/>
        <v>278.82</v>
      </c>
      <c r="M1353" s="7">
        <f t="shared" si="150"/>
        <v>21.180000000000007</v>
      </c>
      <c r="N1353" s="7">
        <f t="shared" si="151"/>
        <v>8321.18</v>
      </c>
      <c r="O1353" s="7">
        <f t="shared" si="152"/>
        <v>8878.82</v>
      </c>
      <c r="P1353" s="15">
        <f t="shared" si="153"/>
        <v>13.164305949008494</v>
      </c>
      <c r="Q1353" s="7">
        <f>J1353*'Model inputs'!$B$8</f>
        <v>2118.0000000000009</v>
      </c>
      <c r="R1353" s="1" t="s">
        <v>162</v>
      </c>
      <c r="S1353" s="1">
        <v>371</v>
      </c>
      <c r="T1353" s="1">
        <v>390</v>
      </c>
    </row>
    <row r="1354" spans="1:20" ht="21" customHeight="1">
      <c r="A1354" s="8">
        <v>46260</v>
      </c>
      <c r="B1354" s="1" t="s">
        <v>34</v>
      </c>
      <c r="C1354" s="1" t="s">
        <v>90</v>
      </c>
      <c r="D1354" s="7">
        <v>5200</v>
      </c>
      <c r="E1354" s="7">
        <v>5400</v>
      </c>
      <c r="F1354" s="7">
        <v>5600</v>
      </c>
      <c r="G1354" s="7">
        <f>'Option source'!B585</f>
        <v>8.81</v>
      </c>
      <c r="H1354" s="7">
        <f>'Option source'!B604</f>
        <v>13.97</v>
      </c>
      <c r="I1354" s="7">
        <f>'Option source'!B623</f>
        <v>22.39</v>
      </c>
      <c r="J1354" s="7">
        <f t="shared" si="147"/>
        <v>3.259999999999998</v>
      </c>
      <c r="K1354" s="7">
        <f t="shared" si="148"/>
        <v>200</v>
      </c>
      <c r="L1354" s="7">
        <f t="shared" si="149"/>
        <v>196.74</v>
      </c>
      <c r="M1354" s="7">
        <f t="shared" si="150"/>
        <v>3.259999999999998</v>
      </c>
      <c r="N1354" s="7">
        <f t="shared" si="151"/>
        <v>5203.26</v>
      </c>
      <c r="O1354" s="7">
        <f t="shared" si="152"/>
        <v>5596.74</v>
      </c>
      <c r="P1354" s="15">
        <f t="shared" si="153"/>
        <v>60.349693251533779</v>
      </c>
      <c r="Q1354" s="7">
        <f>J1354*'Model inputs'!$B$8</f>
        <v>325.99999999999977</v>
      </c>
      <c r="R1354" s="1" t="s">
        <v>162</v>
      </c>
      <c r="S1354" s="1">
        <v>580</v>
      </c>
      <c r="T1354" s="1">
        <v>599</v>
      </c>
    </row>
    <row r="1355" spans="1:20" ht="21" customHeight="1">
      <c r="A1355" s="8">
        <v>46260</v>
      </c>
      <c r="B1355" s="1" t="s">
        <v>34</v>
      </c>
      <c r="C1355" s="1" t="s">
        <v>90</v>
      </c>
      <c r="D1355" s="7">
        <v>5000</v>
      </c>
      <c r="E1355" s="7">
        <v>5200</v>
      </c>
      <c r="F1355" s="7">
        <v>5400</v>
      </c>
      <c r="G1355" s="7">
        <f>'Option source'!B566</f>
        <v>6.06</v>
      </c>
      <c r="H1355" s="7">
        <f>'Option source'!B585</f>
        <v>8.81</v>
      </c>
      <c r="I1355" s="7">
        <f>'Option source'!B604</f>
        <v>13.97</v>
      </c>
      <c r="J1355" s="7">
        <f t="shared" si="147"/>
        <v>2.4099999999999984</v>
      </c>
      <c r="K1355" s="7">
        <f t="shared" si="148"/>
        <v>200</v>
      </c>
      <c r="L1355" s="7">
        <f t="shared" si="149"/>
        <v>197.59</v>
      </c>
      <c r="M1355" s="7">
        <f t="shared" si="150"/>
        <v>2.4099999999999984</v>
      </c>
      <c r="N1355" s="7">
        <f t="shared" si="151"/>
        <v>5002.41</v>
      </c>
      <c r="O1355" s="7">
        <f t="shared" si="152"/>
        <v>5397.59</v>
      </c>
      <c r="P1355" s="15">
        <f t="shared" si="153"/>
        <v>81.987551867219977</v>
      </c>
      <c r="Q1355" s="7">
        <f>J1355*'Model inputs'!$B$8</f>
        <v>240.99999999999983</v>
      </c>
      <c r="R1355" s="1" t="s">
        <v>162</v>
      </c>
      <c r="S1355" s="1">
        <v>561</v>
      </c>
      <c r="T1355" s="1">
        <v>580</v>
      </c>
    </row>
    <row r="1356" spans="1:20" ht="21" customHeight="1">
      <c r="A1356" s="8">
        <v>46260</v>
      </c>
      <c r="B1356" s="1" t="s">
        <v>34</v>
      </c>
      <c r="C1356" s="1" t="s">
        <v>87</v>
      </c>
      <c r="D1356" s="7">
        <v>8600</v>
      </c>
      <c r="E1356" s="7">
        <v>8900</v>
      </c>
      <c r="F1356" s="7">
        <v>9200</v>
      </c>
      <c r="G1356" s="7">
        <f>'Option source'!B395</f>
        <v>92.25</v>
      </c>
      <c r="H1356" s="7">
        <f>'Option source'!B414</f>
        <v>66.03</v>
      </c>
      <c r="I1356" s="7">
        <f>'Option source'!B433</f>
        <v>41.09</v>
      </c>
      <c r="J1356" s="7">
        <f t="shared" si="147"/>
        <v>1.2800000000000011</v>
      </c>
      <c r="K1356" s="7">
        <f t="shared" si="148"/>
        <v>300</v>
      </c>
      <c r="L1356" s="7">
        <f t="shared" si="149"/>
        <v>298.72000000000003</v>
      </c>
      <c r="M1356" s="7">
        <f t="shared" si="150"/>
        <v>1.2800000000000011</v>
      </c>
      <c r="N1356" s="7">
        <f t="shared" si="151"/>
        <v>8601.2800000000007</v>
      </c>
      <c r="O1356" s="7">
        <f t="shared" si="152"/>
        <v>9198.7199999999993</v>
      </c>
      <c r="P1356" s="15">
        <f t="shared" si="153"/>
        <v>233.3749999999998</v>
      </c>
      <c r="Q1356" s="7">
        <f>J1356*'Model inputs'!$B$8</f>
        <v>128.00000000000011</v>
      </c>
      <c r="R1356" s="1" t="s">
        <v>162</v>
      </c>
      <c r="S1356" s="1">
        <v>390</v>
      </c>
      <c r="T1356" s="1">
        <v>409</v>
      </c>
    </row>
    <row r="1357" spans="1:20" ht="21" customHeight="1">
      <c r="A1357" s="8">
        <v>46260</v>
      </c>
      <c r="B1357" s="1" t="s">
        <v>34</v>
      </c>
      <c r="C1357" s="1" t="s">
        <v>90</v>
      </c>
      <c r="D1357" s="7">
        <v>4800</v>
      </c>
      <c r="E1357" s="7">
        <v>5000</v>
      </c>
      <c r="F1357" s="7">
        <v>5200</v>
      </c>
      <c r="G1357" s="7">
        <f>'Option source'!B547</f>
        <v>4.0999999999999996</v>
      </c>
      <c r="H1357" s="7">
        <f>'Option source'!B566</f>
        <v>6.06</v>
      </c>
      <c r="I1357" s="7">
        <f>'Option source'!B585</f>
        <v>8.81</v>
      </c>
      <c r="J1357" s="7">
        <f t="shared" si="147"/>
        <v>0.79000000000000092</v>
      </c>
      <c r="K1357" s="7">
        <f t="shared" si="148"/>
        <v>200</v>
      </c>
      <c r="L1357" s="7">
        <f t="shared" si="149"/>
        <v>199.21</v>
      </c>
      <c r="M1357" s="7">
        <f t="shared" si="150"/>
        <v>0.79000000000000092</v>
      </c>
      <c r="N1357" s="7">
        <f t="shared" si="151"/>
        <v>4800.79</v>
      </c>
      <c r="O1357" s="7">
        <f t="shared" si="152"/>
        <v>5199.21</v>
      </c>
      <c r="P1357" s="15">
        <f t="shared" si="153"/>
        <v>252.16455696202505</v>
      </c>
      <c r="Q1357" s="7">
        <f>J1357*'Model inputs'!$B$8</f>
        <v>79.000000000000085</v>
      </c>
      <c r="R1357" s="1" t="s">
        <v>162</v>
      </c>
      <c r="S1357" s="1">
        <v>542</v>
      </c>
      <c r="T1357" s="1">
        <v>561</v>
      </c>
    </row>
    <row r="1358" spans="1:20" ht="21" customHeight="1">
      <c r="A1358" s="8">
        <v>46260</v>
      </c>
      <c r="B1358" s="1" t="s">
        <v>34</v>
      </c>
      <c r="C1358" s="1" t="s">
        <v>87</v>
      </c>
      <c r="D1358" s="7">
        <v>8900</v>
      </c>
      <c r="E1358" s="7">
        <v>9200</v>
      </c>
      <c r="F1358" s="7">
        <v>9500</v>
      </c>
      <c r="G1358" s="7">
        <f>'Option source'!B414</f>
        <v>66.03</v>
      </c>
      <c r="H1358" s="7">
        <f>'Option source'!B433</f>
        <v>41.09</v>
      </c>
      <c r="I1358" s="7">
        <f>'Option source'!B452</f>
        <v>27.58</v>
      </c>
      <c r="J1358" s="7">
        <f t="shared" si="147"/>
        <v>11.429999999999993</v>
      </c>
      <c r="K1358" s="7">
        <f t="shared" si="148"/>
        <v>300</v>
      </c>
      <c r="L1358" s="7">
        <f t="shared" si="149"/>
        <v>288.57</v>
      </c>
      <c r="M1358" s="7">
        <f t="shared" si="150"/>
        <v>11.429999999999993</v>
      </c>
      <c r="N1358" s="7">
        <f t="shared" si="151"/>
        <v>8911.43</v>
      </c>
      <c r="O1358" s="7">
        <f t="shared" si="152"/>
        <v>9488.57</v>
      </c>
      <c r="P1358" s="15">
        <f t="shared" si="153"/>
        <v>25.246719160105002</v>
      </c>
      <c r="Q1358" s="7">
        <f>J1358*'Model inputs'!$B$8</f>
        <v>1142.9999999999993</v>
      </c>
      <c r="R1358" s="1" t="s">
        <v>162</v>
      </c>
      <c r="S1358" s="1">
        <v>409</v>
      </c>
      <c r="T1358" s="1">
        <v>428</v>
      </c>
    </row>
    <row r="1359" spans="1:20" ht="21" customHeight="1">
      <c r="A1359" s="8">
        <v>46260</v>
      </c>
      <c r="B1359" s="1" t="s">
        <v>34</v>
      </c>
      <c r="C1359" s="1" t="s">
        <v>90</v>
      </c>
      <c r="D1359" s="7">
        <v>4600</v>
      </c>
      <c r="E1359" s="7">
        <v>4800</v>
      </c>
      <c r="F1359" s="7">
        <v>5000</v>
      </c>
      <c r="G1359" s="7">
        <f>'Option source'!B528</f>
        <v>3.41</v>
      </c>
      <c r="H1359" s="7">
        <f>'Option source'!B547</f>
        <v>4.0999999999999996</v>
      </c>
      <c r="I1359" s="7">
        <f>'Option source'!B566</f>
        <v>6.06</v>
      </c>
      <c r="J1359" s="7">
        <f t="shared" si="147"/>
        <v>1.2700000000000005</v>
      </c>
      <c r="K1359" s="7">
        <f t="shared" si="148"/>
        <v>200</v>
      </c>
      <c r="L1359" s="7">
        <f t="shared" si="149"/>
        <v>198.73</v>
      </c>
      <c r="M1359" s="7">
        <f t="shared" si="150"/>
        <v>1.2700000000000005</v>
      </c>
      <c r="N1359" s="7">
        <f t="shared" si="151"/>
        <v>4601.2700000000004</v>
      </c>
      <c r="O1359" s="7">
        <f t="shared" si="152"/>
        <v>4998.7299999999996</v>
      </c>
      <c r="P1359" s="15">
        <f t="shared" si="153"/>
        <v>156.48031496062987</v>
      </c>
      <c r="Q1359" s="7">
        <f>J1359*'Model inputs'!$B$8</f>
        <v>127.00000000000004</v>
      </c>
      <c r="R1359" s="1" t="s">
        <v>162</v>
      </c>
      <c r="S1359" s="1">
        <v>523</v>
      </c>
      <c r="T1359" s="1">
        <v>542</v>
      </c>
    </row>
    <row r="1360" spans="1:20" ht="21" customHeight="1">
      <c r="A1360" s="8">
        <v>46260</v>
      </c>
      <c r="B1360" s="1" t="s">
        <v>34</v>
      </c>
      <c r="C1360" s="1" t="s">
        <v>90</v>
      </c>
      <c r="D1360" s="7">
        <v>4200</v>
      </c>
      <c r="E1360" s="7">
        <v>4400</v>
      </c>
      <c r="F1360" s="7">
        <v>4600</v>
      </c>
      <c r="G1360" s="7">
        <f>'Option source'!B490</f>
        <v>2.59</v>
      </c>
      <c r="H1360" s="7">
        <f>'Option source'!B509</f>
        <v>2.68</v>
      </c>
      <c r="I1360" s="7">
        <f>'Option source'!B528</f>
        <v>3.41</v>
      </c>
      <c r="J1360" s="7">
        <f t="shared" si="147"/>
        <v>0.63999999999999968</v>
      </c>
      <c r="K1360" s="7">
        <f t="shared" si="148"/>
        <v>200</v>
      </c>
      <c r="L1360" s="7">
        <f t="shared" si="149"/>
        <v>199.36</v>
      </c>
      <c r="M1360" s="7">
        <f t="shared" si="150"/>
        <v>0.63999999999999968</v>
      </c>
      <c r="N1360" s="7">
        <f t="shared" si="151"/>
        <v>4200.6400000000003</v>
      </c>
      <c r="O1360" s="7">
        <f t="shared" si="152"/>
        <v>4599.3599999999997</v>
      </c>
      <c r="P1360" s="15">
        <f t="shared" si="153"/>
        <v>311.50000000000017</v>
      </c>
      <c r="Q1360" s="7">
        <f>J1360*'Model inputs'!$B$8</f>
        <v>63.999999999999972</v>
      </c>
      <c r="R1360" s="1" t="s">
        <v>162</v>
      </c>
      <c r="S1360" s="1">
        <v>485</v>
      </c>
      <c r="T1360" s="1">
        <v>504</v>
      </c>
    </row>
    <row r="1361" spans="1:20" ht="21" customHeight="1">
      <c r="A1361" s="8">
        <v>46260</v>
      </c>
      <c r="B1361" s="1" t="s">
        <v>34</v>
      </c>
      <c r="C1361" s="1" t="s">
        <v>87</v>
      </c>
      <c r="D1361" s="7">
        <v>6600</v>
      </c>
      <c r="E1361" s="7">
        <v>6800</v>
      </c>
      <c r="F1361" s="7">
        <v>7000</v>
      </c>
      <c r="G1361" s="7">
        <f>'Option source'!B224</f>
        <v>808.58</v>
      </c>
      <c r="H1361" s="7">
        <f>'Option source'!B243</f>
        <v>690.84</v>
      </c>
      <c r="I1361" s="7">
        <f>'Option source'!B262</f>
        <v>565.70000000000005</v>
      </c>
      <c r="J1361" s="7">
        <f t="shared" si="147"/>
        <v>-7.3999999999999773</v>
      </c>
      <c r="K1361" s="7">
        <f t="shared" si="148"/>
        <v>200</v>
      </c>
      <c r="L1361" s="7">
        <f t="shared" si="149"/>
        <v>207.39999999999998</v>
      </c>
      <c r="M1361" s="7">
        <f t="shared" si="150"/>
        <v>0</v>
      </c>
      <c r="N1361" s="7" t="str">
        <f t="shared" si="151"/>
        <v>n.a.</v>
      </c>
      <c r="O1361" s="7" t="str">
        <f t="shared" si="152"/>
        <v>n.a.</v>
      </c>
      <c r="P1361" s="15" t="str">
        <f t="shared" si="153"/>
        <v>n.a.</v>
      </c>
      <c r="Q1361" s="7">
        <f>J1361*'Model inputs'!$B$8</f>
        <v>-739.99999999999773</v>
      </c>
      <c r="R1361" s="1" t="s">
        <v>163</v>
      </c>
      <c r="S1361" s="1">
        <v>219</v>
      </c>
      <c r="T1361" s="1">
        <v>238</v>
      </c>
    </row>
    <row r="1362" spans="1:20" ht="21" customHeight="1">
      <c r="A1362" s="8">
        <v>46260</v>
      </c>
      <c r="B1362" s="1" t="s">
        <v>34</v>
      </c>
      <c r="C1362" s="1" t="s">
        <v>90</v>
      </c>
      <c r="D1362" s="7">
        <v>7400</v>
      </c>
      <c r="E1362" s="7">
        <v>7600</v>
      </c>
      <c r="F1362" s="7">
        <v>7800</v>
      </c>
      <c r="G1362" s="7">
        <f>'Option source'!B794</f>
        <v>549.96</v>
      </c>
      <c r="H1362" s="7">
        <f>'Option source'!B813</f>
        <v>665</v>
      </c>
      <c r="I1362" s="7">
        <f>'Option source'!B832</f>
        <v>800</v>
      </c>
      <c r="J1362" s="7">
        <f t="shared" si="147"/>
        <v>19.960000000000036</v>
      </c>
      <c r="K1362" s="7">
        <f t="shared" si="148"/>
        <v>200</v>
      </c>
      <c r="L1362" s="7">
        <f t="shared" si="149"/>
        <v>180.03999999999996</v>
      </c>
      <c r="M1362" s="7">
        <f t="shared" si="150"/>
        <v>19.960000000000036</v>
      </c>
      <c r="N1362" s="7">
        <f t="shared" si="151"/>
        <v>7419.96</v>
      </c>
      <c r="O1362" s="7">
        <f t="shared" si="152"/>
        <v>7780.04</v>
      </c>
      <c r="P1362" s="15">
        <f t="shared" si="153"/>
        <v>9.0200400801603031</v>
      </c>
      <c r="Q1362" s="7">
        <f>J1362*'Model inputs'!$B$8</f>
        <v>1996.0000000000036</v>
      </c>
      <c r="R1362" s="1" t="s">
        <v>164</v>
      </c>
      <c r="S1362" s="1">
        <v>789</v>
      </c>
      <c r="T1362" s="1">
        <v>808</v>
      </c>
    </row>
    <row r="1363" spans="1:20" ht="21" customHeight="1">
      <c r="A1363" s="8">
        <v>46260</v>
      </c>
      <c r="B1363" s="1" t="s">
        <v>34</v>
      </c>
      <c r="C1363" s="1" t="s">
        <v>87</v>
      </c>
      <c r="D1363" s="7">
        <v>6200</v>
      </c>
      <c r="E1363" s="7">
        <v>6400</v>
      </c>
      <c r="F1363" s="7">
        <v>6600</v>
      </c>
      <c r="G1363" s="7">
        <f>'Option source'!B186</f>
        <v>1000</v>
      </c>
      <c r="H1363" s="7">
        <f>'Option source'!B205</f>
        <v>944.2</v>
      </c>
      <c r="I1363" s="7">
        <f>'Option source'!B224</f>
        <v>808.58</v>
      </c>
      <c r="J1363" s="7">
        <f t="shared" si="147"/>
        <v>-79.82000000000005</v>
      </c>
      <c r="K1363" s="7">
        <f t="shared" si="148"/>
        <v>200</v>
      </c>
      <c r="L1363" s="7">
        <f t="shared" si="149"/>
        <v>279.82000000000005</v>
      </c>
      <c r="M1363" s="7">
        <f t="shared" si="150"/>
        <v>0</v>
      </c>
      <c r="N1363" s="7" t="str">
        <f t="shared" si="151"/>
        <v>n.a.</v>
      </c>
      <c r="O1363" s="7" t="str">
        <f t="shared" si="152"/>
        <v>n.a.</v>
      </c>
      <c r="P1363" s="15" t="str">
        <f t="shared" si="153"/>
        <v>n.a.</v>
      </c>
      <c r="Q1363" s="7">
        <f>J1363*'Model inputs'!$B$8</f>
        <v>-7982.0000000000055</v>
      </c>
      <c r="R1363" s="1" t="s">
        <v>163</v>
      </c>
      <c r="S1363" s="1">
        <v>181</v>
      </c>
      <c r="T1363" s="1">
        <v>200</v>
      </c>
    </row>
    <row r="1364" spans="1:20" ht="21" customHeight="1">
      <c r="A1364" s="8">
        <v>46260</v>
      </c>
      <c r="B1364" s="1" t="s">
        <v>34</v>
      </c>
      <c r="C1364" s="1" t="s">
        <v>90</v>
      </c>
      <c r="D1364" s="7">
        <v>7600</v>
      </c>
      <c r="E1364" s="7">
        <v>7800</v>
      </c>
      <c r="F1364" s="7">
        <v>8000</v>
      </c>
      <c r="G1364" s="7">
        <f>'Option source'!B813</f>
        <v>665</v>
      </c>
      <c r="H1364" s="7">
        <f>'Option source'!B832</f>
        <v>800</v>
      </c>
      <c r="I1364" s="7">
        <f>'Option source'!B851</f>
        <v>990</v>
      </c>
      <c r="J1364" s="7">
        <f t="shared" si="147"/>
        <v>55</v>
      </c>
      <c r="K1364" s="7">
        <f t="shared" si="148"/>
        <v>200</v>
      </c>
      <c r="L1364" s="7">
        <f t="shared" si="149"/>
        <v>145</v>
      </c>
      <c r="M1364" s="7">
        <f t="shared" si="150"/>
        <v>55</v>
      </c>
      <c r="N1364" s="7">
        <f t="shared" si="151"/>
        <v>7655</v>
      </c>
      <c r="O1364" s="7">
        <f t="shared" si="152"/>
        <v>7945</v>
      </c>
      <c r="P1364" s="15">
        <f t="shared" si="153"/>
        <v>2.6363636363636362</v>
      </c>
      <c r="Q1364" s="7">
        <f>J1364*'Model inputs'!$B$8</f>
        <v>5500</v>
      </c>
      <c r="R1364" s="1" t="s">
        <v>164</v>
      </c>
      <c r="S1364" s="1">
        <v>808</v>
      </c>
      <c r="T1364" s="1">
        <v>827</v>
      </c>
    </row>
    <row r="1365" spans="1:20" ht="21" customHeight="1">
      <c r="A1365" s="8">
        <v>46260</v>
      </c>
      <c r="B1365" s="1" t="s">
        <v>34</v>
      </c>
      <c r="C1365" s="1" t="s">
        <v>87</v>
      </c>
      <c r="D1365" s="7">
        <v>6000</v>
      </c>
      <c r="E1365" s="7">
        <v>6200</v>
      </c>
      <c r="F1365" s="7">
        <v>6400</v>
      </c>
      <c r="G1365" s="7">
        <f>'Option source'!B167</f>
        <v>1439.96</v>
      </c>
      <c r="H1365" s="7">
        <f>'Option source'!B186</f>
        <v>1000</v>
      </c>
      <c r="I1365" s="7">
        <f>'Option source'!B205</f>
        <v>944.2</v>
      </c>
      <c r="J1365" s="7">
        <f t="shared" si="147"/>
        <v>384.16000000000008</v>
      </c>
      <c r="K1365" s="7">
        <f t="shared" si="148"/>
        <v>200</v>
      </c>
      <c r="L1365" s="7">
        <f t="shared" si="149"/>
        <v>-184.16000000000008</v>
      </c>
      <c r="M1365" s="7">
        <f t="shared" si="150"/>
        <v>384.16000000000008</v>
      </c>
      <c r="N1365" s="7" t="str">
        <f t="shared" si="151"/>
        <v>n.a.</v>
      </c>
      <c r="O1365" s="7" t="str">
        <f t="shared" si="152"/>
        <v>n.a.</v>
      </c>
      <c r="P1365" s="15" t="str">
        <f t="shared" si="153"/>
        <v>n.a.</v>
      </c>
      <c r="Q1365" s="7">
        <f>J1365*'Model inputs'!$B$8</f>
        <v>38416.000000000007</v>
      </c>
      <c r="R1365" s="1" t="s">
        <v>163</v>
      </c>
      <c r="S1365" s="1">
        <v>162</v>
      </c>
      <c r="T1365" s="1">
        <v>181</v>
      </c>
    </row>
    <row r="1366" spans="1:20" ht="21" customHeight="1">
      <c r="A1366" s="8">
        <v>46260</v>
      </c>
      <c r="B1366" s="1" t="s">
        <v>34</v>
      </c>
      <c r="C1366" s="1" t="s">
        <v>90</v>
      </c>
      <c r="D1366" s="7">
        <v>8000</v>
      </c>
      <c r="E1366" s="7">
        <v>8300</v>
      </c>
      <c r="F1366" s="7">
        <v>8600</v>
      </c>
      <c r="G1366" s="7">
        <f>'Option source'!B851</f>
        <v>990</v>
      </c>
      <c r="H1366" s="7">
        <f>'Option source'!B870</f>
        <v>1274.9000000000001</v>
      </c>
      <c r="I1366" s="7">
        <f>'Option source'!B889</f>
        <v>1630</v>
      </c>
      <c r="J1366" s="7">
        <f t="shared" si="147"/>
        <v>70.199999999999818</v>
      </c>
      <c r="K1366" s="7">
        <f t="shared" si="148"/>
        <v>300</v>
      </c>
      <c r="L1366" s="7">
        <f t="shared" si="149"/>
        <v>229.80000000000018</v>
      </c>
      <c r="M1366" s="7">
        <f t="shared" si="150"/>
        <v>70.199999999999818</v>
      </c>
      <c r="N1366" s="7">
        <f t="shared" si="151"/>
        <v>8070.2</v>
      </c>
      <c r="O1366" s="7">
        <f t="shared" si="152"/>
        <v>8529.7999999999993</v>
      </c>
      <c r="P1366" s="15">
        <f t="shared" si="153"/>
        <v>3.2735042735042845</v>
      </c>
      <c r="Q1366" s="7">
        <f>J1366*'Model inputs'!$B$8</f>
        <v>7019.9999999999818</v>
      </c>
      <c r="R1366" s="1" t="s">
        <v>164</v>
      </c>
      <c r="S1366" s="1">
        <v>846</v>
      </c>
      <c r="T1366" s="1">
        <v>865</v>
      </c>
    </row>
    <row r="1367" spans="1:20" ht="21" customHeight="1">
      <c r="A1367" s="8">
        <v>46260</v>
      </c>
      <c r="B1367" s="1" t="s">
        <v>34</v>
      </c>
      <c r="C1367" s="1" t="s">
        <v>87</v>
      </c>
      <c r="D1367" s="7">
        <v>5200</v>
      </c>
      <c r="E1367" s="7">
        <v>5400</v>
      </c>
      <c r="F1367" s="7">
        <v>5600</v>
      </c>
      <c r="G1367" s="7">
        <f>'Option source'!B101</f>
        <v>1981.15</v>
      </c>
      <c r="H1367" s="7">
        <f>'Option source'!B120</f>
        <v>1752.86</v>
      </c>
      <c r="I1367" s="7">
        <f>'Option source'!B138</f>
        <v>1645</v>
      </c>
      <c r="J1367" s="7">
        <f t="shared" si="147"/>
        <v>120.43000000000029</v>
      </c>
      <c r="K1367" s="7">
        <f t="shared" si="148"/>
        <v>200</v>
      </c>
      <c r="L1367" s="7">
        <f t="shared" si="149"/>
        <v>79.569999999999709</v>
      </c>
      <c r="M1367" s="7">
        <f t="shared" si="150"/>
        <v>120.43000000000029</v>
      </c>
      <c r="N1367" s="7">
        <f t="shared" si="151"/>
        <v>5320.43</v>
      </c>
      <c r="O1367" s="7">
        <f t="shared" si="152"/>
        <v>5479.57</v>
      </c>
      <c r="P1367" s="15">
        <f t="shared" si="153"/>
        <v>0.66071576849621783</v>
      </c>
      <c r="Q1367" s="7">
        <f>J1367*'Model inputs'!$B$8</f>
        <v>12043.000000000029</v>
      </c>
      <c r="R1367" s="1" t="s">
        <v>164</v>
      </c>
      <c r="S1367" s="1">
        <v>96</v>
      </c>
      <c r="T1367" s="1">
        <v>115</v>
      </c>
    </row>
    <row r="1368" spans="1:20" ht="21" customHeight="1">
      <c r="A1368" s="8">
        <v>46260</v>
      </c>
      <c r="B1368" s="1" t="s">
        <v>34</v>
      </c>
      <c r="C1368" s="1" t="s">
        <v>87</v>
      </c>
      <c r="D1368" s="7">
        <v>5000</v>
      </c>
      <c r="E1368" s="7">
        <v>5200</v>
      </c>
      <c r="F1368" s="7">
        <v>5400</v>
      </c>
      <c r="G1368" s="7">
        <f>'Option source'!B82</f>
        <v>2232.7600000000002</v>
      </c>
      <c r="H1368" s="7">
        <f>'Option source'!B101</f>
        <v>1981.15</v>
      </c>
      <c r="I1368" s="7">
        <f>'Option source'!B120</f>
        <v>1752.86</v>
      </c>
      <c r="J1368" s="7">
        <f t="shared" si="147"/>
        <v>23.319999999999936</v>
      </c>
      <c r="K1368" s="7">
        <f t="shared" si="148"/>
        <v>200</v>
      </c>
      <c r="L1368" s="7">
        <f t="shared" si="149"/>
        <v>176.68000000000006</v>
      </c>
      <c r="M1368" s="7">
        <f t="shared" si="150"/>
        <v>23.319999999999936</v>
      </c>
      <c r="N1368" s="7">
        <f t="shared" si="151"/>
        <v>5023.32</v>
      </c>
      <c r="O1368" s="7">
        <f t="shared" si="152"/>
        <v>5376.68</v>
      </c>
      <c r="P1368" s="15">
        <f t="shared" si="153"/>
        <v>7.5763293310463355</v>
      </c>
      <c r="Q1368" s="7">
        <f>J1368*'Model inputs'!$B$8</f>
        <v>2331.9999999999936</v>
      </c>
      <c r="R1368" s="1" t="s">
        <v>164</v>
      </c>
      <c r="S1368" s="1">
        <v>77</v>
      </c>
      <c r="T1368" s="1">
        <v>96</v>
      </c>
    </row>
    <row r="1369" spans="1:20" ht="21" customHeight="1">
      <c r="A1369" s="8">
        <v>46260</v>
      </c>
      <c r="B1369" s="1" t="s">
        <v>34</v>
      </c>
      <c r="C1369" s="1" t="s">
        <v>87</v>
      </c>
      <c r="D1369" s="7">
        <v>4800</v>
      </c>
      <c r="E1369" s="7">
        <v>5000</v>
      </c>
      <c r="F1369" s="7">
        <v>5200</v>
      </c>
      <c r="G1369" s="7">
        <f>'Option source'!B65</f>
        <v>2280</v>
      </c>
      <c r="H1369" s="7">
        <f>'Option source'!B82</f>
        <v>2232.7600000000002</v>
      </c>
      <c r="I1369" s="7">
        <f>'Option source'!B101</f>
        <v>1981.15</v>
      </c>
      <c r="J1369" s="7">
        <f t="shared" si="147"/>
        <v>-204.37000000000035</v>
      </c>
      <c r="K1369" s="7">
        <f t="shared" si="148"/>
        <v>200</v>
      </c>
      <c r="L1369" s="7">
        <f t="shared" si="149"/>
        <v>404.37000000000035</v>
      </c>
      <c r="M1369" s="7">
        <f t="shared" si="150"/>
        <v>0</v>
      </c>
      <c r="N1369" s="7" t="str">
        <f t="shared" si="151"/>
        <v>n.a.</v>
      </c>
      <c r="O1369" s="7" t="str">
        <f t="shared" si="152"/>
        <v>n.a.</v>
      </c>
      <c r="P1369" s="15" t="str">
        <f t="shared" si="153"/>
        <v>n.a.</v>
      </c>
      <c r="Q1369" s="7">
        <f>J1369*'Model inputs'!$B$8</f>
        <v>-20437.000000000036</v>
      </c>
      <c r="R1369" s="1" t="s">
        <v>163</v>
      </c>
      <c r="S1369" s="1">
        <v>60</v>
      </c>
      <c r="T1369" s="1">
        <v>77</v>
      </c>
    </row>
    <row r="1370" spans="1:20" ht="21" customHeight="1">
      <c r="A1370" s="8">
        <v>46260</v>
      </c>
      <c r="B1370" s="1" t="s">
        <v>34</v>
      </c>
      <c r="C1370" s="1" t="s">
        <v>87</v>
      </c>
      <c r="D1370" s="7">
        <v>4600</v>
      </c>
      <c r="E1370" s="7">
        <v>4800</v>
      </c>
      <c r="F1370" s="7">
        <v>5000</v>
      </c>
      <c r="G1370" s="7">
        <f>'Option source'!B48</f>
        <v>2493.23</v>
      </c>
      <c r="H1370" s="7">
        <f>'Option source'!B65</f>
        <v>2280</v>
      </c>
      <c r="I1370" s="7">
        <f>'Option source'!B82</f>
        <v>2232.7600000000002</v>
      </c>
      <c r="J1370" s="7">
        <f t="shared" si="147"/>
        <v>165.99000000000024</v>
      </c>
      <c r="K1370" s="7">
        <f t="shared" si="148"/>
        <v>200</v>
      </c>
      <c r="L1370" s="7">
        <f t="shared" si="149"/>
        <v>34.009999999999764</v>
      </c>
      <c r="M1370" s="7">
        <f t="shared" si="150"/>
        <v>165.99000000000024</v>
      </c>
      <c r="N1370" s="7">
        <f t="shared" si="151"/>
        <v>4765.99</v>
      </c>
      <c r="O1370" s="7">
        <f t="shared" si="152"/>
        <v>4834.01</v>
      </c>
      <c r="P1370" s="15">
        <f t="shared" si="153"/>
        <v>0.20489186095547754</v>
      </c>
      <c r="Q1370" s="7">
        <f>J1370*'Model inputs'!$B$8</f>
        <v>16599.000000000022</v>
      </c>
      <c r="R1370" s="1" t="s">
        <v>164</v>
      </c>
      <c r="S1370" s="1">
        <v>43</v>
      </c>
      <c r="T1370" s="1">
        <v>60</v>
      </c>
    </row>
    <row r="1371" spans="1:20" ht="21" customHeight="1">
      <c r="A1371" s="8">
        <v>46260</v>
      </c>
      <c r="B1371" s="1" t="s">
        <v>34</v>
      </c>
      <c r="C1371" s="1" t="s">
        <v>87</v>
      </c>
      <c r="D1371" s="7">
        <v>4400</v>
      </c>
      <c r="E1371" s="7">
        <v>4600</v>
      </c>
      <c r="F1371" s="7">
        <v>4800</v>
      </c>
      <c r="G1371" s="7">
        <f>'Option source'!B29</f>
        <v>2387.12</v>
      </c>
      <c r="H1371" s="7">
        <f>'Option source'!B48</f>
        <v>2493.23</v>
      </c>
      <c r="I1371" s="7">
        <f>'Option source'!B65</f>
        <v>2280</v>
      </c>
      <c r="J1371" s="7">
        <f t="shared" si="147"/>
        <v>-319.34000000000015</v>
      </c>
      <c r="K1371" s="7">
        <f t="shared" si="148"/>
        <v>200</v>
      </c>
      <c r="L1371" s="7">
        <f t="shared" si="149"/>
        <v>519.34000000000015</v>
      </c>
      <c r="M1371" s="7">
        <f t="shared" si="150"/>
        <v>0</v>
      </c>
      <c r="N1371" s="7" t="str">
        <f t="shared" si="151"/>
        <v>n.a.</v>
      </c>
      <c r="O1371" s="7" t="str">
        <f t="shared" si="152"/>
        <v>n.a.</v>
      </c>
      <c r="P1371" s="15" t="str">
        <f t="shared" si="153"/>
        <v>n.a.</v>
      </c>
      <c r="Q1371" s="7">
        <f>J1371*'Model inputs'!$B$8</f>
        <v>-31934.000000000015</v>
      </c>
      <c r="R1371" s="1" t="s">
        <v>163</v>
      </c>
      <c r="S1371" s="1">
        <v>24</v>
      </c>
      <c r="T1371" s="1">
        <v>43</v>
      </c>
    </row>
    <row r="1372" spans="1:20" ht="21" customHeight="1">
      <c r="A1372" s="8">
        <v>46260</v>
      </c>
      <c r="B1372" s="1" t="s">
        <v>34</v>
      </c>
      <c r="C1372" s="1" t="s">
        <v>90</v>
      </c>
      <c r="D1372" s="7">
        <v>4400</v>
      </c>
      <c r="E1372" s="7">
        <v>4600</v>
      </c>
      <c r="F1372" s="7">
        <v>4800</v>
      </c>
      <c r="G1372" s="7">
        <f>'Option source'!B509</f>
        <v>2.68</v>
      </c>
      <c r="H1372" s="7">
        <f>'Option source'!B528</f>
        <v>3.41</v>
      </c>
      <c r="I1372" s="7">
        <f>'Option source'!B547</f>
        <v>4.0999999999999996</v>
      </c>
      <c r="J1372" s="7">
        <f t="shared" si="147"/>
        <v>-4.0000000000000924E-2</v>
      </c>
      <c r="K1372" s="7">
        <f t="shared" si="148"/>
        <v>200</v>
      </c>
      <c r="L1372" s="7">
        <f t="shared" si="149"/>
        <v>200.04</v>
      </c>
      <c r="M1372" s="7">
        <f t="shared" si="150"/>
        <v>0</v>
      </c>
      <c r="N1372" s="7" t="str">
        <f t="shared" si="151"/>
        <v>n.a.</v>
      </c>
      <c r="O1372" s="7" t="str">
        <f t="shared" si="152"/>
        <v>n.a.</v>
      </c>
      <c r="P1372" s="15" t="str">
        <f t="shared" si="153"/>
        <v>n.a.</v>
      </c>
      <c r="Q1372" s="7">
        <f>J1372*'Model inputs'!$B$8</f>
        <v>-4.0000000000000924</v>
      </c>
      <c r="R1372" s="1" t="s">
        <v>163</v>
      </c>
      <c r="S1372" s="1">
        <v>504</v>
      </c>
      <c r="T1372" s="1">
        <v>523</v>
      </c>
    </row>
    <row r="1373" spans="1:20" ht="21" customHeight="1">
      <c r="A1373" s="8">
        <v>46260</v>
      </c>
      <c r="B1373" s="1" t="s">
        <v>34</v>
      </c>
      <c r="C1373" s="1" t="s">
        <v>87</v>
      </c>
      <c r="D1373" s="7">
        <v>4200</v>
      </c>
      <c r="E1373" s="7">
        <v>4400</v>
      </c>
      <c r="F1373" s="7">
        <v>4600</v>
      </c>
      <c r="G1373" s="7">
        <f>'Option source'!B10</f>
        <v>2914.64</v>
      </c>
      <c r="H1373" s="7">
        <f>'Option source'!B29</f>
        <v>2387.12</v>
      </c>
      <c r="I1373" s="7">
        <f>'Option source'!B48</f>
        <v>2493.23</v>
      </c>
      <c r="J1373" s="7">
        <f t="shared" si="147"/>
        <v>633.63000000000011</v>
      </c>
      <c r="K1373" s="7">
        <f t="shared" si="148"/>
        <v>200</v>
      </c>
      <c r="L1373" s="7">
        <f t="shared" si="149"/>
        <v>-433.63000000000011</v>
      </c>
      <c r="M1373" s="7">
        <f t="shared" si="150"/>
        <v>633.63000000000011</v>
      </c>
      <c r="N1373" s="7" t="str">
        <f t="shared" si="151"/>
        <v>n.a.</v>
      </c>
      <c r="O1373" s="7" t="str">
        <f t="shared" si="152"/>
        <v>n.a.</v>
      </c>
      <c r="P1373" s="15" t="str">
        <f t="shared" si="153"/>
        <v>n.a.</v>
      </c>
      <c r="Q1373" s="7">
        <f>J1373*'Model inputs'!$B$8</f>
        <v>63363.000000000015</v>
      </c>
      <c r="R1373" s="1" t="s">
        <v>163</v>
      </c>
      <c r="S1373" s="1">
        <v>5</v>
      </c>
      <c r="T1373" s="1">
        <v>24</v>
      </c>
    </row>
    <row r="1374" spans="1:20" ht="21" customHeight="1">
      <c r="A1374" s="8">
        <v>46260</v>
      </c>
      <c r="B1374" s="1" t="s">
        <v>36</v>
      </c>
      <c r="C1374" s="1" t="s">
        <v>87</v>
      </c>
      <c r="D1374" s="7">
        <v>6800</v>
      </c>
      <c r="E1374" s="7">
        <v>7000</v>
      </c>
      <c r="F1374" s="7"/>
      <c r="G1374" s="7">
        <f>'Option source'!B243</f>
        <v>690.84</v>
      </c>
      <c r="H1374" s="7">
        <f>'Option source'!B262</f>
        <v>565.70000000000005</v>
      </c>
      <c r="I1374" s="7"/>
      <c r="J1374" s="7">
        <f t="shared" si="147"/>
        <v>-440.56000000000006</v>
      </c>
      <c r="K1374" s="7">
        <f t="shared" si="148"/>
        <v>200</v>
      </c>
      <c r="L1374" s="7">
        <f t="shared" si="149"/>
        <v>640.56000000000006</v>
      </c>
      <c r="M1374" s="7" t="str">
        <f t="shared" si="150"/>
        <v>Unlimited</v>
      </c>
      <c r="N1374" s="7" t="str">
        <f t="shared" si="151"/>
        <v>n.a.</v>
      </c>
      <c r="O1374" s="7">
        <f t="shared" si="152"/>
        <v>7640.56</v>
      </c>
      <c r="P1374" s="15" t="str">
        <f t="shared" si="153"/>
        <v>n.a.</v>
      </c>
      <c r="Q1374" s="7">
        <f>J1374*'Model inputs'!$B$8</f>
        <v>-44056.000000000007</v>
      </c>
      <c r="R1374" s="1" t="s">
        <v>162</v>
      </c>
      <c r="S1374" s="1">
        <v>238</v>
      </c>
      <c r="T1374" s="1">
        <v>257</v>
      </c>
    </row>
    <row r="1375" spans="1:20" ht="21" customHeight="1">
      <c r="A1375" s="8">
        <v>46260</v>
      </c>
      <c r="B1375" s="1" t="s">
        <v>36</v>
      </c>
      <c r="C1375" s="1" t="s">
        <v>90</v>
      </c>
      <c r="D1375" s="7">
        <v>7200</v>
      </c>
      <c r="E1375" s="7">
        <v>7000</v>
      </c>
      <c r="F1375" s="7"/>
      <c r="G1375" s="7">
        <f>'Option source'!B775</f>
        <v>437.25</v>
      </c>
      <c r="H1375" s="7">
        <f>'Option source'!B756</f>
        <v>344.64</v>
      </c>
      <c r="I1375" s="7"/>
      <c r="J1375" s="7">
        <f t="shared" si="147"/>
        <v>-252.02999999999997</v>
      </c>
      <c r="K1375" s="7">
        <f t="shared" si="148"/>
        <v>200</v>
      </c>
      <c r="L1375" s="7">
        <f t="shared" si="149"/>
        <v>452.03</v>
      </c>
      <c r="M1375" s="7">
        <f t="shared" si="150"/>
        <v>6547.97</v>
      </c>
      <c r="N1375" s="7">
        <f t="shared" si="151"/>
        <v>6547.97</v>
      </c>
      <c r="O1375" s="7" t="str">
        <f t="shared" si="152"/>
        <v>n.a.</v>
      </c>
      <c r="P1375" s="15" t="str">
        <f t="shared" si="153"/>
        <v>n.a.</v>
      </c>
      <c r="Q1375" s="7">
        <f>J1375*'Model inputs'!$B$8</f>
        <v>-25202.999999999996</v>
      </c>
      <c r="R1375" s="1" t="s">
        <v>162</v>
      </c>
      <c r="S1375" s="1">
        <v>770</v>
      </c>
      <c r="T1375" s="1">
        <v>751</v>
      </c>
    </row>
    <row r="1376" spans="1:20" ht="21" customHeight="1">
      <c r="A1376" s="8">
        <v>46260</v>
      </c>
      <c r="B1376" s="1" t="s">
        <v>36</v>
      </c>
      <c r="C1376" s="1" t="s">
        <v>87</v>
      </c>
      <c r="D1376" s="7">
        <v>7000</v>
      </c>
      <c r="E1376" s="7">
        <v>7200</v>
      </c>
      <c r="F1376" s="7"/>
      <c r="G1376" s="7">
        <f>'Option source'!B262</f>
        <v>565.70000000000005</v>
      </c>
      <c r="H1376" s="7">
        <f>'Option source'!B281</f>
        <v>475.76</v>
      </c>
      <c r="I1376" s="7"/>
      <c r="J1376" s="7">
        <f t="shared" si="147"/>
        <v>-385.81999999999994</v>
      </c>
      <c r="K1376" s="7">
        <f t="shared" si="148"/>
        <v>200</v>
      </c>
      <c r="L1376" s="7">
        <f t="shared" si="149"/>
        <v>585.81999999999994</v>
      </c>
      <c r="M1376" s="7" t="str">
        <f t="shared" si="150"/>
        <v>Unlimited</v>
      </c>
      <c r="N1376" s="7" t="str">
        <f t="shared" si="151"/>
        <v>n.a.</v>
      </c>
      <c r="O1376" s="7">
        <f t="shared" si="152"/>
        <v>7785.82</v>
      </c>
      <c r="P1376" s="15" t="str">
        <f t="shared" si="153"/>
        <v>n.a.</v>
      </c>
      <c r="Q1376" s="7">
        <f>J1376*'Model inputs'!$B$8</f>
        <v>-38581.999999999993</v>
      </c>
      <c r="R1376" s="1" t="s">
        <v>162</v>
      </c>
      <c r="S1376" s="1">
        <v>257</v>
      </c>
      <c r="T1376" s="1">
        <v>276</v>
      </c>
    </row>
    <row r="1377" spans="1:20" ht="21" customHeight="1">
      <c r="A1377" s="8">
        <v>46260</v>
      </c>
      <c r="B1377" s="1" t="s">
        <v>36</v>
      </c>
      <c r="C1377" s="1" t="s">
        <v>90</v>
      </c>
      <c r="D1377" s="7">
        <v>7400</v>
      </c>
      <c r="E1377" s="7">
        <v>7200</v>
      </c>
      <c r="F1377" s="7"/>
      <c r="G1377" s="7">
        <f>'Option source'!B794</f>
        <v>549.96</v>
      </c>
      <c r="H1377" s="7">
        <f>'Option source'!B775</f>
        <v>437.25</v>
      </c>
      <c r="I1377" s="7"/>
      <c r="J1377" s="7">
        <f t="shared" si="147"/>
        <v>-324.53999999999996</v>
      </c>
      <c r="K1377" s="7">
        <f t="shared" si="148"/>
        <v>200</v>
      </c>
      <c r="L1377" s="7">
        <f t="shared" si="149"/>
        <v>524.54</v>
      </c>
      <c r="M1377" s="7">
        <f t="shared" si="150"/>
        <v>6675.46</v>
      </c>
      <c r="N1377" s="7">
        <f t="shared" si="151"/>
        <v>6675.46</v>
      </c>
      <c r="O1377" s="7" t="str">
        <f t="shared" si="152"/>
        <v>n.a.</v>
      </c>
      <c r="P1377" s="15" t="str">
        <f t="shared" si="153"/>
        <v>n.a.</v>
      </c>
      <c r="Q1377" s="7">
        <f>J1377*'Model inputs'!$B$8</f>
        <v>-32453.999999999996</v>
      </c>
      <c r="R1377" s="1" t="s">
        <v>162</v>
      </c>
      <c r="S1377" s="1">
        <v>789</v>
      </c>
      <c r="T1377" s="1">
        <v>770</v>
      </c>
    </row>
    <row r="1378" spans="1:20" ht="21" customHeight="1">
      <c r="A1378" s="8">
        <v>46260</v>
      </c>
      <c r="B1378" s="1" t="s">
        <v>36</v>
      </c>
      <c r="C1378" s="1" t="s">
        <v>87</v>
      </c>
      <c r="D1378" s="7">
        <v>6600</v>
      </c>
      <c r="E1378" s="7">
        <v>6800</v>
      </c>
      <c r="F1378" s="7"/>
      <c r="G1378" s="7">
        <f>'Option source'!B224</f>
        <v>808.58</v>
      </c>
      <c r="H1378" s="7">
        <f>'Option source'!B243</f>
        <v>690.84</v>
      </c>
      <c r="I1378" s="7"/>
      <c r="J1378" s="7">
        <f t="shared" si="147"/>
        <v>-573.1</v>
      </c>
      <c r="K1378" s="7">
        <f t="shared" si="148"/>
        <v>200</v>
      </c>
      <c r="L1378" s="7">
        <f t="shared" si="149"/>
        <v>773.1</v>
      </c>
      <c r="M1378" s="7" t="str">
        <f t="shared" si="150"/>
        <v>Unlimited</v>
      </c>
      <c r="N1378" s="7" t="str">
        <f t="shared" si="151"/>
        <v>n.a.</v>
      </c>
      <c r="O1378" s="7">
        <f t="shared" si="152"/>
        <v>7573.1</v>
      </c>
      <c r="P1378" s="15" t="str">
        <f t="shared" si="153"/>
        <v>n.a.</v>
      </c>
      <c r="Q1378" s="7">
        <f>J1378*'Model inputs'!$B$8</f>
        <v>-57310</v>
      </c>
      <c r="R1378" s="1" t="s">
        <v>162</v>
      </c>
      <c r="S1378" s="1">
        <v>219</v>
      </c>
      <c r="T1378" s="1">
        <v>238</v>
      </c>
    </row>
    <row r="1379" spans="1:20" ht="21" customHeight="1">
      <c r="A1379" s="8">
        <v>46260</v>
      </c>
      <c r="B1379" s="1" t="s">
        <v>36</v>
      </c>
      <c r="C1379" s="1" t="s">
        <v>90</v>
      </c>
      <c r="D1379" s="7">
        <v>7000</v>
      </c>
      <c r="E1379" s="7">
        <v>6800</v>
      </c>
      <c r="F1379" s="7"/>
      <c r="G1379" s="7">
        <f>'Option source'!B756</f>
        <v>344.64</v>
      </c>
      <c r="H1379" s="7">
        <f>'Option source'!B737</f>
        <v>260.29000000000002</v>
      </c>
      <c r="I1379" s="7"/>
      <c r="J1379" s="7">
        <f t="shared" si="147"/>
        <v>-175.94000000000005</v>
      </c>
      <c r="K1379" s="7">
        <f t="shared" si="148"/>
        <v>200</v>
      </c>
      <c r="L1379" s="7">
        <f t="shared" si="149"/>
        <v>375.94000000000005</v>
      </c>
      <c r="M1379" s="7">
        <f t="shared" si="150"/>
        <v>6424.0599999999995</v>
      </c>
      <c r="N1379" s="7">
        <f t="shared" si="151"/>
        <v>6424.0599999999995</v>
      </c>
      <c r="O1379" s="7" t="str">
        <f t="shared" si="152"/>
        <v>n.a.</v>
      </c>
      <c r="P1379" s="15" t="str">
        <f t="shared" si="153"/>
        <v>n.a.</v>
      </c>
      <c r="Q1379" s="7">
        <f>J1379*'Model inputs'!$B$8</f>
        <v>-17594.000000000007</v>
      </c>
      <c r="R1379" s="1" t="s">
        <v>162</v>
      </c>
      <c r="S1379" s="1">
        <v>751</v>
      </c>
      <c r="T1379" s="1">
        <v>732</v>
      </c>
    </row>
    <row r="1380" spans="1:20" ht="21" customHeight="1">
      <c r="A1380" s="8">
        <v>46260</v>
      </c>
      <c r="B1380" s="1" t="s">
        <v>36</v>
      </c>
      <c r="C1380" s="1" t="s">
        <v>87</v>
      </c>
      <c r="D1380" s="7">
        <v>7200</v>
      </c>
      <c r="E1380" s="7">
        <v>7400</v>
      </c>
      <c r="F1380" s="7"/>
      <c r="G1380" s="7">
        <f>'Option source'!B281</f>
        <v>475.76</v>
      </c>
      <c r="H1380" s="7">
        <f>'Option source'!B300</f>
        <v>391.75</v>
      </c>
      <c r="I1380" s="7"/>
      <c r="J1380" s="7">
        <f t="shared" si="147"/>
        <v>-307.74</v>
      </c>
      <c r="K1380" s="7">
        <f t="shared" si="148"/>
        <v>200</v>
      </c>
      <c r="L1380" s="7">
        <f t="shared" si="149"/>
        <v>507.74</v>
      </c>
      <c r="M1380" s="7" t="str">
        <f t="shared" si="150"/>
        <v>Unlimited</v>
      </c>
      <c r="N1380" s="7" t="str">
        <f t="shared" si="151"/>
        <v>n.a.</v>
      </c>
      <c r="O1380" s="7">
        <f t="shared" si="152"/>
        <v>7907.74</v>
      </c>
      <c r="P1380" s="15" t="str">
        <f t="shared" si="153"/>
        <v>n.a.</v>
      </c>
      <c r="Q1380" s="7">
        <f>J1380*'Model inputs'!$B$8</f>
        <v>-30774</v>
      </c>
      <c r="R1380" s="1" t="s">
        <v>162</v>
      </c>
      <c r="S1380" s="1">
        <v>276</v>
      </c>
      <c r="T1380" s="1">
        <v>295</v>
      </c>
    </row>
    <row r="1381" spans="1:20" ht="21" customHeight="1">
      <c r="A1381" s="8">
        <v>46260</v>
      </c>
      <c r="B1381" s="1" t="s">
        <v>36</v>
      </c>
      <c r="C1381" s="1" t="s">
        <v>90</v>
      </c>
      <c r="D1381" s="7">
        <v>7600</v>
      </c>
      <c r="E1381" s="7">
        <v>7400</v>
      </c>
      <c r="F1381" s="7"/>
      <c r="G1381" s="7">
        <f>'Option source'!B813</f>
        <v>665</v>
      </c>
      <c r="H1381" s="7">
        <f>'Option source'!B794</f>
        <v>549.96</v>
      </c>
      <c r="I1381" s="7"/>
      <c r="J1381" s="7">
        <f t="shared" si="147"/>
        <v>-434.92000000000007</v>
      </c>
      <c r="K1381" s="7">
        <f t="shared" si="148"/>
        <v>200</v>
      </c>
      <c r="L1381" s="7">
        <f t="shared" si="149"/>
        <v>634.92000000000007</v>
      </c>
      <c r="M1381" s="7">
        <f t="shared" si="150"/>
        <v>6765.08</v>
      </c>
      <c r="N1381" s="7">
        <f t="shared" si="151"/>
        <v>6765.08</v>
      </c>
      <c r="O1381" s="7" t="str">
        <f t="shared" si="152"/>
        <v>n.a.</v>
      </c>
      <c r="P1381" s="15" t="str">
        <f t="shared" si="153"/>
        <v>n.a.</v>
      </c>
      <c r="Q1381" s="7">
        <f>J1381*'Model inputs'!$B$8</f>
        <v>-43492.000000000007</v>
      </c>
      <c r="R1381" s="1" t="s">
        <v>162</v>
      </c>
      <c r="S1381" s="1">
        <v>808</v>
      </c>
      <c r="T1381" s="1">
        <v>789</v>
      </c>
    </row>
    <row r="1382" spans="1:20" ht="21" customHeight="1">
      <c r="A1382" s="8">
        <v>46260</v>
      </c>
      <c r="B1382" s="1" t="s">
        <v>36</v>
      </c>
      <c r="C1382" s="1" t="s">
        <v>87</v>
      </c>
      <c r="D1382" s="7">
        <v>6400</v>
      </c>
      <c r="E1382" s="7">
        <v>6600</v>
      </c>
      <c r="F1382" s="7"/>
      <c r="G1382" s="7">
        <f>'Option source'!B205</f>
        <v>944.2</v>
      </c>
      <c r="H1382" s="7">
        <f>'Option source'!B224</f>
        <v>808.58</v>
      </c>
      <c r="I1382" s="7"/>
      <c r="J1382" s="7">
        <f t="shared" si="147"/>
        <v>-672.96</v>
      </c>
      <c r="K1382" s="7">
        <f t="shared" si="148"/>
        <v>200</v>
      </c>
      <c r="L1382" s="7">
        <f t="shared" si="149"/>
        <v>872.96</v>
      </c>
      <c r="M1382" s="7" t="str">
        <f t="shared" si="150"/>
        <v>Unlimited</v>
      </c>
      <c r="N1382" s="7" t="str">
        <f t="shared" si="151"/>
        <v>n.a.</v>
      </c>
      <c r="O1382" s="7">
        <f t="shared" si="152"/>
        <v>7472.96</v>
      </c>
      <c r="P1382" s="15" t="str">
        <f t="shared" si="153"/>
        <v>n.a.</v>
      </c>
      <c r="Q1382" s="7">
        <f>J1382*'Model inputs'!$B$8</f>
        <v>-67296</v>
      </c>
      <c r="R1382" s="1" t="s">
        <v>162</v>
      </c>
      <c r="S1382" s="1">
        <v>200</v>
      </c>
      <c r="T1382" s="1">
        <v>219</v>
      </c>
    </row>
    <row r="1383" spans="1:20" ht="21" customHeight="1">
      <c r="A1383" s="8">
        <v>46260</v>
      </c>
      <c r="B1383" s="1" t="s">
        <v>36</v>
      </c>
      <c r="C1383" s="1" t="s">
        <v>90</v>
      </c>
      <c r="D1383" s="7">
        <v>6800</v>
      </c>
      <c r="E1383" s="7">
        <v>6600</v>
      </c>
      <c r="F1383" s="7"/>
      <c r="G1383" s="7">
        <f>'Option source'!B737</f>
        <v>260.29000000000002</v>
      </c>
      <c r="H1383" s="7">
        <f>'Option source'!B718</f>
        <v>195.14</v>
      </c>
      <c r="I1383" s="7"/>
      <c r="J1383" s="7">
        <f t="shared" si="147"/>
        <v>-129.98999999999995</v>
      </c>
      <c r="K1383" s="7">
        <f t="shared" si="148"/>
        <v>200</v>
      </c>
      <c r="L1383" s="7">
        <f t="shared" si="149"/>
        <v>329.98999999999995</v>
      </c>
      <c r="M1383" s="7">
        <f t="shared" si="150"/>
        <v>6270.01</v>
      </c>
      <c r="N1383" s="7">
        <f t="shared" si="151"/>
        <v>6270.01</v>
      </c>
      <c r="O1383" s="7" t="str">
        <f t="shared" si="152"/>
        <v>n.a.</v>
      </c>
      <c r="P1383" s="15" t="str">
        <f t="shared" si="153"/>
        <v>n.a.</v>
      </c>
      <c r="Q1383" s="7">
        <f>J1383*'Model inputs'!$B$8</f>
        <v>-12998.999999999995</v>
      </c>
      <c r="R1383" s="1" t="s">
        <v>162</v>
      </c>
      <c r="S1383" s="1">
        <v>732</v>
      </c>
      <c r="T1383" s="1">
        <v>713</v>
      </c>
    </row>
    <row r="1384" spans="1:20" ht="21" customHeight="1">
      <c r="A1384" s="8">
        <v>46260</v>
      </c>
      <c r="B1384" s="1" t="s">
        <v>36</v>
      </c>
      <c r="C1384" s="1" t="s">
        <v>87</v>
      </c>
      <c r="D1384" s="7">
        <v>7400</v>
      </c>
      <c r="E1384" s="7">
        <v>7600</v>
      </c>
      <c r="F1384" s="7"/>
      <c r="G1384" s="7">
        <f>'Option source'!B300</f>
        <v>391.75</v>
      </c>
      <c r="H1384" s="7">
        <f>'Option source'!B319</f>
        <v>316.14999999999998</v>
      </c>
      <c r="I1384" s="7"/>
      <c r="J1384" s="7">
        <f t="shared" si="147"/>
        <v>-240.54999999999995</v>
      </c>
      <c r="K1384" s="7">
        <f t="shared" si="148"/>
        <v>200</v>
      </c>
      <c r="L1384" s="7">
        <f t="shared" si="149"/>
        <v>440.54999999999995</v>
      </c>
      <c r="M1384" s="7" t="str">
        <f t="shared" si="150"/>
        <v>Unlimited</v>
      </c>
      <c r="N1384" s="7" t="str">
        <f t="shared" si="151"/>
        <v>n.a.</v>
      </c>
      <c r="O1384" s="7">
        <f t="shared" si="152"/>
        <v>8040.55</v>
      </c>
      <c r="P1384" s="15" t="str">
        <f t="shared" si="153"/>
        <v>n.a.</v>
      </c>
      <c r="Q1384" s="7">
        <f>J1384*'Model inputs'!$B$8</f>
        <v>-24054.999999999996</v>
      </c>
      <c r="R1384" s="1" t="s">
        <v>162</v>
      </c>
      <c r="S1384" s="1">
        <v>295</v>
      </c>
      <c r="T1384" s="1">
        <v>314</v>
      </c>
    </row>
    <row r="1385" spans="1:20" ht="21" customHeight="1">
      <c r="A1385" s="8">
        <v>46260</v>
      </c>
      <c r="B1385" s="1" t="s">
        <v>36</v>
      </c>
      <c r="C1385" s="1" t="s">
        <v>90</v>
      </c>
      <c r="D1385" s="7">
        <v>6600</v>
      </c>
      <c r="E1385" s="7">
        <v>6400</v>
      </c>
      <c r="F1385" s="7"/>
      <c r="G1385" s="7">
        <f>'Option source'!B718</f>
        <v>195.14</v>
      </c>
      <c r="H1385" s="7">
        <f>'Option source'!B699</f>
        <v>135.93</v>
      </c>
      <c r="I1385" s="7"/>
      <c r="J1385" s="7">
        <f t="shared" si="147"/>
        <v>-76.720000000000027</v>
      </c>
      <c r="K1385" s="7">
        <f t="shared" si="148"/>
        <v>200</v>
      </c>
      <c r="L1385" s="7">
        <f t="shared" si="149"/>
        <v>276.72000000000003</v>
      </c>
      <c r="M1385" s="7">
        <f t="shared" si="150"/>
        <v>6123.28</v>
      </c>
      <c r="N1385" s="7">
        <f t="shared" si="151"/>
        <v>6123.28</v>
      </c>
      <c r="O1385" s="7" t="str">
        <f t="shared" si="152"/>
        <v>n.a.</v>
      </c>
      <c r="P1385" s="15" t="str">
        <f t="shared" si="153"/>
        <v>n.a.</v>
      </c>
      <c r="Q1385" s="7">
        <f>J1385*'Model inputs'!$B$8</f>
        <v>-7672.0000000000027</v>
      </c>
      <c r="R1385" s="1" t="s">
        <v>162</v>
      </c>
      <c r="S1385" s="1">
        <v>713</v>
      </c>
      <c r="T1385" s="1">
        <v>694</v>
      </c>
    </row>
    <row r="1386" spans="1:20" ht="21" customHeight="1">
      <c r="A1386" s="8">
        <v>46260</v>
      </c>
      <c r="B1386" s="1" t="s">
        <v>36</v>
      </c>
      <c r="C1386" s="1" t="s">
        <v>87</v>
      </c>
      <c r="D1386" s="7">
        <v>7600</v>
      </c>
      <c r="E1386" s="7">
        <v>7800</v>
      </c>
      <c r="F1386" s="7"/>
      <c r="G1386" s="7">
        <f>'Option source'!B319</f>
        <v>316.14999999999998</v>
      </c>
      <c r="H1386" s="7">
        <f>'Option source'!B338</f>
        <v>250.53</v>
      </c>
      <c r="I1386" s="7"/>
      <c r="J1386" s="7">
        <f t="shared" si="147"/>
        <v>-184.91000000000003</v>
      </c>
      <c r="K1386" s="7">
        <f t="shared" si="148"/>
        <v>200</v>
      </c>
      <c r="L1386" s="7">
        <f t="shared" si="149"/>
        <v>384.91</v>
      </c>
      <c r="M1386" s="7" t="str">
        <f t="shared" si="150"/>
        <v>Unlimited</v>
      </c>
      <c r="N1386" s="7" t="str">
        <f t="shared" si="151"/>
        <v>n.a.</v>
      </c>
      <c r="O1386" s="7">
        <f t="shared" si="152"/>
        <v>8184.91</v>
      </c>
      <c r="P1386" s="15" t="str">
        <f t="shared" si="153"/>
        <v>n.a.</v>
      </c>
      <c r="Q1386" s="7">
        <f>J1386*'Model inputs'!$B$8</f>
        <v>-18491.000000000004</v>
      </c>
      <c r="R1386" s="1" t="s">
        <v>162</v>
      </c>
      <c r="S1386" s="1">
        <v>314</v>
      </c>
      <c r="T1386" s="1">
        <v>333</v>
      </c>
    </row>
    <row r="1387" spans="1:20" ht="21" customHeight="1">
      <c r="A1387" s="8">
        <v>46260</v>
      </c>
      <c r="B1387" s="1" t="s">
        <v>36</v>
      </c>
      <c r="C1387" s="1" t="s">
        <v>90</v>
      </c>
      <c r="D1387" s="7">
        <v>6400</v>
      </c>
      <c r="E1387" s="7">
        <v>6200</v>
      </c>
      <c r="F1387" s="7"/>
      <c r="G1387" s="7">
        <f>'Option source'!B699</f>
        <v>135.93</v>
      </c>
      <c r="H1387" s="7">
        <f>'Option source'!B680</f>
        <v>92.32</v>
      </c>
      <c r="I1387" s="7"/>
      <c r="J1387" s="7">
        <f t="shared" si="147"/>
        <v>-48.70999999999998</v>
      </c>
      <c r="K1387" s="7">
        <f t="shared" si="148"/>
        <v>200</v>
      </c>
      <c r="L1387" s="7">
        <f t="shared" si="149"/>
        <v>248.70999999999998</v>
      </c>
      <c r="M1387" s="7">
        <f t="shared" si="150"/>
        <v>5951.29</v>
      </c>
      <c r="N1387" s="7">
        <f t="shared" si="151"/>
        <v>5951.29</v>
      </c>
      <c r="O1387" s="7" t="str">
        <f t="shared" si="152"/>
        <v>n.a.</v>
      </c>
      <c r="P1387" s="15" t="str">
        <f t="shared" si="153"/>
        <v>n.a.</v>
      </c>
      <c r="Q1387" s="7">
        <f>J1387*'Model inputs'!$B$8</f>
        <v>-4870.9999999999982</v>
      </c>
      <c r="R1387" s="1" t="s">
        <v>162</v>
      </c>
      <c r="S1387" s="1">
        <v>694</v>
      </c>
      <c r="T1387" s="1">
        <v>675</v>
      </c>
    </row>
    <row r="1388" spans="1:20" ht="21" customHeight="1">
      <c r="A1388" s="8">
        <v>46260</v>
      </c>
      <c r="B1388" s="1" t="s">
        <v>36</v>
      </c>
      <c r="C1388" s="1" t="s">
        <v>87</v>
      </c>
      <c r="D1388" s="7">
        <v>7800</v>
      </c>
      <c r="E1388" s="7">
        <v>8000</v>
      </c>
      <c r="F1388" s="7"/>
      <c r="G1388" s="7">
        <f>'Option source'!B338</f>
        <v>250.53</v>
      </c>
      <c r="H1388" s="7">
        <f>'Option source'!B357</f>
        <v>199.33</v>
      </c>
      <c r="I1388" s="7"/>
      <c r="J1388" s="7">
        <f t="shared" si="147"/>
        <v>-148.13000000000002</v>
      </c>
      <c r="K1388" s="7">
        <f t="shared" si="148"/>
        <v>200</v>
      </c>
      <c r="L1388" s="7">
        <f t="shared" si="149"/>
        <v>348.13</v>
      </c>
      <c r="M1388" s="7" t="str">
        <f t="shared" si="150"/>
        <v>Unlimited</v>
      </c>
      <c r="N1388" s="7" t="str">
        <f t="shared" si="151"/>
        <v>n.a.</v>
      </c>
      <c r="O1388" s="7">
        <f t="shared" si="152"/>
        <v>8348.1299999999992</v>
      </c>
      <c r="P1388" s="15" t="str">
        <f t="shared" si="153"/>
        <v>n.a.</v>
      </c>
      <c r="Q1388" s="7">
        <f>J1388*'Model inputs'!$B$8</f>
        <v>-14813.000000000002</v>
      </c>
      <c r="R1388" s="1" t="s">
        <v>162</v>
      </c>
      <c r="S1388" s="1">
        <v>333</v>
      </c>
      <c r="T1388" s="1">
        <v>352</v>
      </c>
    </row>
    <row r="1389" spans="1:20" ht="21" customHeight="1">
      <c r="A1389" s="8">
        <v>46260</v>
      </c>
      <c r="B1389" s="1" t="s">
        <v>36</v>
      </c>
      <c r="C1389" s="1" t="s">
        <v>90</v>
      </c>
      <c r="D1389" s="7">
        <v>6200</v>
      </c>
      <c r="E1389" s="7">
        <v>6000</v>
      </c>
      <c r="F1389" s="7"/>
      <c r="G1389" s="7">
        <f>'Option source'!B680</f>
        <v>92.32</v>
      </c>
      <c r="H1389" s="7">
        <f>'Option source'!B661</f>
        <v>59.56</v>
      </c>
      <c r="I1389" s="7"/>
      <c r="J1389" s="7">
        <f t="shared" si="147"/>
        <v>-26.800000000000011</v>
      </c>
      <c r="K1389" s="7">
        <f t="shared" si="148"/>
        <v>200</v>
      </c>
      <c r="L1389" s="7">
        <f t="shared" si="149"/>
        <v>226.8</v>
      </c>
      <c r="M1389" s="7">
        <f t="shared" si="150"/>
        <v>5773.2</v>
      </c>
      <c r="N1389" s="7">
        <f t="shared" si="151"/>
        <v>5773.2</v>
      </c>
      <c r="O1389" s="7" t="str">
        <f t="shared" si="152"/>
        <v>n.a.</v>
      </c>
      <c r="P1389" s="15" t="str">
        <f t="shared" si="153"/>
        <v>n.a.</v>
      </c>
      <c r="Q1389" s="7">
        <f>J1389*'Model inputs'!$B$8</f>
        <v>-2680.0000000000009</v>
      </c>
      <c r="R1389" s="1" t="s">
        <v>162</v>
      </c>
      <c r="S1389" s="1">
        <v>675</v>
      </c>
      <c r="T1389" s="1">
        <v>656</v>
      </c>
    </row>
    <row r="1390" spans="1:20" ht="21" customHeight="1">
      <c r="A1390" s="8">
        <v>46260</v>
      </c>
      <c r="B1390" s="1" t="s">
        <v>36</v>
      </c>
      <c r="C1390" s="1" t="s">
        <v>90</v>
      </c>
      <c r="D1390" s="7">
        <v>6000</v>
      </c>
      <c r="E1390" s="7">
        <v>5800</v>
      </c>
      <c r="F1390" s="7"/>
      <c r="G1390" s="7">
        <f>'Option source'!B661</f>
        <v>59.56</v>
      </c>
      <c r="H1390" s="7">
        <f>'Option source'!B642</f>
        <v>35.840000000000003</v>
      </c>
      <c r="I1390" s="7"/>
      <c r="J1390" s="7">
        <f t="shared" si="147"/>
        <v>-12.120000000000005</v>
      </c>
      <c r="K1390" s="7">
        <f t="shared" si="148"/>
        <v>200</v>
      </c>
      <c r="L1390" s="7">
        <f t="shared" si="149"/>
        <v>212.12</v>
      </c>
      <c r="M1390" s="7">
        <f t="shared" si="150"/>
        <v>5587.88</v>
      </c>
      <c r="N1390" s="7">
        <f t="shared" si="151"/>
        <v>5587.88</v>
      </c>
      <c r="O1390" s="7" t="str">
        <f t="shared" si="152"/>
        <v>n.a.</v>
      </c>
      <c r="P1390" s="15" t="str">
        <f t="shared" si="153"/>
        <v>n.a.</v>
      </c>
      <c r="Q1390" s="7">
        <f>J1390*'Model inputs'!$B$8</f>
        <v>-1212.0000000000005</v>
      </c>
      <c r="R1390" s="1" t="s">
        <v>162</v>
      </c>
      <c r="S1390" s="1">
        <v>656</v>
      </c>
      <c r="T1390" s="1">
        <v>637</v>
      </c>
    </row>
    <row r="1391" spans="1:20" ht="21" customHeight="1">
      <c r="A1391" s="8">
        <v>46260</v>
      </c>
      <c r="B1391" s="1" t="s">
        <v>36</v>
      </c>
      <c r="C1391" s="1" t="s">
        <v>87</v>
      </c>
      <c r="D1391" s="7">
        <v>8000</v>
      </c>
      <c r="E1391" s="7">
        <v>8300</v>
      </c>
      <c r="F1391" s="7"/>
      <c r="G1391" s="7">
        <f>'Option source'!B357</f>
        <v>199.33</v>
      </c>
      <c r="H1391" s="7">
        <f>'Option source'!B376</f>
        <v>139.65</v>
      </c>
      <c r="I1391" s="7"/>
      <c r="J1391" s="7">
        <f t="shared" si="147"/>
        <v>-79.97</v>
      </c>
      <c r="K1391" s="7">
        <f t="shared" si="148"/>
        <v>300</v>
      </c>
      <c r="L1391" s="7">
        <f t="shared" si="149"/>
        <v>379.97</v>
      </c>
      <c r="M1391" s="7" t="str">
        <f t="shared" si="150"/>
        <v>Unlimited</v>
      </c>
      <c r="N1391" s="7" t="str">
        <f t="shared" si="151"/>
        <v>n.a.</v>
      </c>
      <c r="O1391" s="7">
        <f t="shared" si="152"/>
        <v>8679.9699999999993</v>
      </c>
      <c r="P1391" s="15" t="str">
        <f t="shared" si="153"/>
        <v>n.a.</v>
      </c>
      <c r="Q1391" s="7">
        <f>J1391*'Model inputs'!$B$8</f>
        <v>-7997</v>
      </c>
      <c r="R1391" s="1" t="s">
        <v>162</v>
      </c>
      <c r="S1391" s="1">
        <v>352</v>
      </c>
      <c r="T1391" s="1">
        <v>371</v>
      </c>
    </row>
    <row r="1392" spans="1:20" ht="21" customHeight="1">
      <c r="A1392" s="8">
        <v>46260</v>
      </c>
      <c r="B1392" s="1" t="s">
        <v>36</v>
      </c>
      <c r="C1392" s="1" t="s">
        <v>90</v>
      </c>
      <c r="D1392" s="7">
        <v>5800</v>
      </c>
      <c r="E1392" s="7">
        <v>5600</v>
      </c>
      <c r="F1392" s="7"/>
      <c r="G1392" s="7">
        <f>'Option source'!B642</f>
        <v>35.840000000000003</v>
      </c>
      <c r="H1392" s="7">
        <f>'Option source'!B623</f>
        <v>22.39</v>
      </c>
      <c r="I1392" s="7"/>
      <c r="J1392" s="7">
        <f t="shared" si="147"/>
        <v>-8.9399999999999977</v>
      </c>
      <c r="K1392" s="7">
        <f t="shared" si="148"/>
        <v>200</v>
      </c>
      <c r="L1392" s="7">
        <f t="shared" si="149"/>
        <v>208.94</v>
      </c>
      <c r="M1392" s="7">
        <f t="shared" si="150"/>
        <v>5391.06</v>
      </c>
      <c r="N1392" s="7">
        <f t="shared" si="151"/>
        <v>5391.06</v>
      </c>
      <c r="O1392" s="7" t="str">
        <f t="shared" si="152"/>
        <v>n.a.</v>
      </c>
      <c r="P1392" s="15" t="str">
        <f t="shared" si="153"/>
        <v>n.a.</v>
      </c>
      <c r="Q1392" s="7">
        <f>J1392*'Model inputs'!$B$8</f>
        <v>-893.99999999999977</v>
      </c>
      <c r="R1392" s="1" t="s">
        <v>162</v>
      </c>
      <c r="S1392" s="1">
        <v>637</v>
      </c>
      <c r="T1392" s="1">
        <v>618</v>
      </c>
    </row>
    <row r="1393" spans="1:20" ht="21" customHeight="1">
      <c r="A1393" s="8">
        <v>46260</v>
      </c>
      <c r="B1393" s="1" t="s">
        <v>36</v>
      </c>
      <c r="C1393" s="1" t="s">
        <v>87</v>
      </c>
      <c r="D1393" s="7">
        <v>8300</v>
      </c>
      <c r="E1393" s="7">
        <v>8600</v>
      </c>
      <c r="F1393" s="7"/>
      <c r="G1393" s="7">
        <f>'Option source'!B376</f>
        <v>139.65</v>
      </c>
      <c r="H1393" s="7">
        <f>'Option source'!B395</f>
        <v>92.25</v>
      </c>
      <c r="I1393" s="7"/>
      <c r="J1393" s="7">
        <f t="shared" si="147"/>
        <v>-44.849999999999994</v>
      </c>
      <c r="K1393" s="7">
        <f t="shared" si="148"/>
        <v>300</v>
      </c>
      <c r="L1393" s="7">
        <f t="shared" si="149"/>
        <v>344.85</v>
      </c>
      <c r="M1393" s="7" t="str">
        <f t="shared" si="150"/>
        <v>Unlimited</v>
      </c>
      <c r="N1393" s="7" t="str">
        <f t="shared" si="151"/>
        <v>n.a.</v>
      </c>
      <c r="O1393" s="7">
        <f t="shared" si="152"/>
        <v>8944.85</v>
      </c>
      <c r="P1393" s="15" t="str">
        <f t="shared" si="153"/>
        <v>n.a.</v>
      </c>
      <c r="Q1393" s="7">
        <f>J1393*'Model inputs'!$B$8</f>
        <v>-4484.9999999999991</v>
      </c>
      <c r="R1393" s="1" t="s">
        <v>162</v>
      </c>
      <c r="S1393" s="1">
        <v>371</v>
      </c>
      <c r="T1393" s="1">
        <v>390</v>
      </c>
    </row>
    <row r="1394" spans="1:20" ht="21" customHeight="1">
      <c r="A1394" s="8">
        <v>46260</v>
      </c>
      <c r="B1394" s="1" t="s">
        <v>36</v>
      </c>
      <c r="C1394" s="1" t="s">
        <v>90</v>
      </c>
      <c r="D1394" s="7">
        <v>5600</v>
      </c>
      <c r="E1394" s="7">
        <v>5400</v>
      </c>
      <c r="F1394" s="7"/>
      <c r="G1394" s="7">
        <f>'Option source'!B623</f>
        <v>22.39</v>
      </c>
      <c r="H1394" s="7">
        <f>'Option source'!B604</f>
        <v>13.97</v>
      </c>
      <c r="I1394" s="7"/>
      <c r="J1394" s="7">
        <f t="shared" si="147"/>
        <v>-5.5500000000000007</v>
      </c>
      <c r="K1394" s="7">
        <f t="shared" si="148"/>
        <v>200</v>
      </c>
      <c r="L1394" s="7">
        <f t="shared" si="149"/>
        <v>205.55</v>
      </c>
      <c r="M1394" s="7">
        <f t="shared" si="150"/>
        <v>5194.45</v>
      </c>
      <c r="N1394" s="7">
        <f t="shared" si="151"/>
        <v>5194.45</v>
      </c>
      <c r="O1394" s="7" t="str">
        <f t="shared" si="152"/>
        <v>n.a.</v>
      </c>
      <c r="P1394" s="15" t="str">
        <f t="shared" si="153"/>
        <v>n.a.</v>
      </c>
      <c r="Q1394" s="7">
        <f>J1394*'Model inputs'!$B$8</f>
        <v>-555.00000000000011</v>
      </c>
      <c r="R1394" s="1" t="s">
        <v>162</v>
      </c>
      <c r="S1394" s="1">
        <v>618</v>
      </c>
      <c r="T1394" s="1">
        <v>599</v>
      </c>
    </row>
    <row r="1395" spans="1:20" ht="21" customHeight="1">
      <c r="A1395" s="8">
        <v>46260</v>
      </c>
      <c r="B1395" s="1" t="s">
        <v>36</v>
      </c>
      <c r="C1395" s="1" t="s">
        <v>90</v>
      </c>
      <c r="D1395" s="7">
        <v>5400</v>
      </c>
      <c r="E1395" s="7">
        <v>5200</v>
      </c>
      <c r="F1395" s="7"/>
      <c r="G1395" s="7">
        <f>'Option source'!B604</f>
        <v>13.97</v>
      </c>
      <c r="H1395" s="7">
        <f>'Option source'!B585</f>
        <v>8.81</v>
      </c>
      <c r="I1395" s="7"/>
      <c r="J1395" s="7">
        <f t="shared" si="147"/>
        <v>-3.6500000000000004</v>
      </c>
      <c r="K1395" s="7">
        <f t="shared" si="148"/>
        <v>200</v>
      </c>
      <c r="L1395" s="7">
        <f t="shared" si="149"/>
        <v>203.65</v>
      </c>
      <c r="M1395" s="7">
        <f t="shared" si="150"/>
        <v>4996.3500000000004</v>
      </c>
      <c r="N1395" s="7">
        <f t="shared" si="151"/>
        <v>4996.3500000000004</v>
      </c>
      <c r="O1395" s="7" t="str">
        <f t="shared" si="152"/>
        <v>n.a.</v>
      </c>
      <c r="P1395" s="15" t="str">
        <f t="shared" si="153"/>
        <v>n.a.</v>
      </c>
      <c r="Q1395" s="7">
        <f>J1395*'Model inputs'!$B$8</f>
        <v>-365.00000000000006</v>
      </c>
      <c r="R1395" s="1" t="s">
        <v>162</v>
      </c>
      <c r="S1395" s="1">
        <v>599</v>
      </c>
      <c r="T1395" s="1">
        <v>580</v>
      </c>
    </row>
    <row r="1396" spans="1:20" ht="21" customHeight="1">
      <c r="A1396" s="8">
        <v>46260</v>
      </c>
      <c r="B1396" s="1" t="s">
        <v>36</v>
      </c>
      <c r="C1396" s="1" t="s">
        <v>87</v>
      </c>
      <c r="D1396" s="7">
        <v>8600</v>
      </c>
      <c r="E1396" s="7">
        <v>8900</v>
      </c>
      <c r="F1396" s="7"/>
      <c r="G1396" s="7">
        <f>'Option source'!B395</f>
        <v>92.25</v>
      </c>
      <c r="H1396" s="7">
        <f>'Option source'!B414</f>
        <v>66.03</v>
      </c>
      <c r="I1396" s="7"/>
      <c r="J1396" s="7">
        <f t="shared" si="147"/>
        <v>-39.81</v>
      </c>
      <c r="K1396" s="7">
        <f t="shared" si="148"/>
        <v>300</v>
      </c>
      <c r="L1396" s="7">
        <f t="shared" si="149"/>
        <v>339.81</v>
      </c>
      <c r="M1396" s="7" t="str">
        <f t="shared" si="150"/>
        <v>Unlimited</v>
      </c>
      <c r="N1396" s="7" t="str">
        <f t="shared" si="151"/>
        <v>n.a.</v>
      </c>
      <c r="O1396" s="7">
        <f t="shared" si="152"/>
        <v>9239.81</v>
      </c>
      <c r="P1396" s="15" t="str">
        <f t="shared" si="153"/>
        <v>n.a.</v>
      </c>
      <c r="Q1396" s="7">
        <f>J1396*'Model inputs'!$B$8</f>
        <v>-3981</v>
      </c>
      <c r="R1396" s="1" t="s">
        <v>162</v>
      </c>
      <c r="S1396" s="1">
        <v>390</v>
      </c>
      <c r="T1396" s="1">
        <v>409</v>
      </c>
    </row>
    <row r="1397" spans="1:20" ht="21" customHeight="1">
      <c r="A1397" s="8">
        <v>46260</v>
      </c>
      <c r="B1397" s="1" t="s">
        <v>36</v>
      </c>
      <c r="C1397" s="1" t="s">
        <v>90</v>
      </c>
      <c r="D1397" s="7">
        <v>5200</v>
      </c>
      <c r="E1397" s="7">
        <v>5000</v>
      </c>
      <c r="F1397" s="7"/>
      <c r="G1397" s="7">
        <f>'Option source'!B585</f>
        <v>8.81</v>
      </c>
      <c r="H1397" s="7">
        <f>'Option source'!B566</f>
        <v>6.06</v>
      </c>
      <c r="I1397" s="7"/>
      <c r="J1397" s="7">
        <f t="shared" si="147"/>
        <v>-3.3099999999999987</v>
      </c>
      <c r="K1397" s="7">
        <f t="shared" si="148"/>
        <v>200</v>
      </c>
      <c r="L1397" s="7">
        <f t="shared" si="149"/>
        <v>203.31</v>
      </c>
      <c r="M1397" s="7">
        <f t="shared" si="150"/>
        <v>4796.6899999999996</v>
      </c>
      <c r="N1397" s="7">
        <f t="shared" si="151"/>
        <v>4796.6899999999996</v>
      </c>
      <c r="O1397" s="7" t="str">
        <f t="shared" si="152"/>
        <v>n.a.</v>
      </c>
      <c r="P1397" s="15" t="str">
        <f t="shared" si="153"/>
        <v>n.a.</v>
      </c>
      <c r="Q1397" s="7">
        <f>J1397*'Model inputs'!$B$8</f>
        <v>-330.99999999999989</v>
      </c>
      <c r="R1397" s="1" t="s">
        <v>162</v>
      </c>
      <c r="S1397" s="1">
        <v>580</v>
      </c>
      <c r="T1397" s="1">
        <v>561</v>
      </c>
    </row>
    <row r="1398" spans="1:20" ht="21" customHeight="1">
      <c r="A1398" s="8">
        <v>46260</v>
      </c>
      <c r="B1398" s="1" t="s">
        <v>36</v>
      </c>
      <c r="C1398" s="1" t="s">
        <v>87</v>
      </c>
      <c r="D1398" s="7">
        <v>8900</v>
      </c>
      <c r="E1398" s="7">
        <v>9200</v>
      </c>
      <c r="F1398" s="7"/>
      <c r="G1398" s="7">
        <f>'Option source'!B414</f>
        <v>66.03</v>
      </c>
      <c r="H1398" s="7">
        <f>'Option source'!B433</f>
        <v>41.09</v>
      </c>
      <c r="I1398" s="7"/>
      <c r="J1398" s="7">
        <f t="shared" si="147"/>
        <v>-16.150000000000006</v>
      </c>
      <c r="K1398" s="7">
        <f t="shared" si="148"/>
        <v>300</v>
      </c>
      <c r="L1398" s="7">
        <f t="shared" si="149"/>
        <v>316.14999999999998</v>
      </c>
      <c r="M1398" s="7" t="str">
        <f t="shared" si="150"/>
        <v>Unlimited</v>
      </c>
      <c r="N1398" s="7" t="str">
        <f t="shared" si="151"/>
        <v>n.a.</v>
      </c>
      <c r="O1398" s="7">
        <f t="shared" si="152"/>
        <v>9516.15</v>
      </c>
      <c r="P1398" s="15" t="str">
        <f t="shared" si="153"/>
        <v>n.a.</v>
      </c>
      <c r="Q1398" s="7">
        <f>J1398*'Model inputs'!$B$8</f>
        <v>-1615.0000000000005</v>
      </c>
      <c r="R1398" s="1" t="s">
        <v>162</v>
      </c>
      <c r="S1398" s="1">
        <v>409</v>
      </c>
      <c r="T1398" s="1">
        <v>428</v>
      </c>
    </row>
    <row r="1399" spans="1:20" ht="21" customHeight="1">
      <c r="A1399" s="8">
        <v>46260</v>
      </c>
      <c r="B1399" s="1" t="s">
        <v>36</v>
      </c>
      <c r="C1399" s="1" t="s">
        <v>90</v>
      </c>
      <c r="D1399" s="7">
        <v>5000</v>
      </c>
      <c r="E1399" s="7">
        <v>4800</v>
      </c>
      <c r="F1399" s="7"/>
      <c r="G1399" s="7">
        <f>'Option source'!B566</f>
        <v>6.06</v>
      </c>
      <c r="H1399" s="7">
        <f>'Option source'!B547</f>
        <v>4.0999999999999996</v>
      </c>
      <c r="I1399" s="7"/>
      <c r="J1399" s="7">
        <f t="shared" si="147"/>
        <v>-2.1399999999999997</v>
      </c>
      <c r="K1399" s="7">
        <f t="shared" si="148"/>
        <v>200</v>
      </c>
      <c r="L1399" s="7">
        <f t="shared" si="149"/>
        <v>202.14</v>
      </c>
      <c r="M1399" s="7">
        <f t="shared" si="150"/>
        <v>4597.8599999999997</v>
      </c>
      <c r="N1399" s="7">
        <f t="shared" si="151"/>
        <v>4597.8599999999997</v>
      </c>
      <c r="O1399" s="7" t="str">
        <f t="shared" si="152"/>
        <v>n.a.</v>
      </c>
      <c r="P1399" s="15" t="str">
        <f t="shared" si="153"/>
        <v>n.a.</v>
      </c>
      <c r="Q1399" s="7">
        <f>J1399*'Model inputs'!$B$8</f>
        <v>-213.99999999999997</v>
      </c>
      <c r="R1399" s="1" t="s">
        <v>162</v>
      </c>
      <c r="S1399" s="1">
        <v>561</v>
      </c>
      <c r="T1399" s="1">
        <v>542</v>
      </c>
    </row>
    <row r="1400" spans="1:20" ht="21" customHeight="1">
      <c r="A1400" s="8">
        <v>46260</v>
      </c>
      <c r="B1400" s="1" t="s">
        <v>36</v>
      </c>
      <c r="C1400" s="1" t="s">
        <v>90</v>
      </c>
      <c r="D1400" s="7">
        <v>4800</v>
      </c>
      <c r="E1400" s="7">
        <v>4600</v>
      </c>
      <c r="F1400" s="7"/>
      <c r="G1400" s="7">
        <f>'Option source'!B547</f>
        <v>4.0999999999999996</v>
      </c>
      <c r="H1400" s="7">
        <f>'Option source'!B528</f>
        <v>3.41</v>
      </c>
      <c r="I1400" s="7"/>
      <c r="J1400" s="7">
        <f t="shared" si="147"/>
        <v>-2.7200000000000006</v>
      </c>
      <c r="K1400" s="7">
        <f t="shared" si="148"/>
        <v>200</v>
      </c>
      <c r="L1400" s="7">
        <f t="shared" si="149"/>
        <v>202.72</v>
      </c>
      <c r="M1400" s="7">
        <f t="shared" si="150"/>
        <v>4397.28</v>
      </c>
      <c r="N1400" s="7">
        <f t="shared" si="151"/>
        <v>4397.28</v>
      </c>
      <c r="O1400" s="7" t="str">
        <f t="shared" si="152"/>
        <v>n.a.</v>
      </c>
      <c r="P1400" s="15" t="str">
        <f t="shared" si="153"/>
        <v>n.a.</v>
      </c>
      <c r="Q1400" s="7">
        <f>J1400*'Model inputs'!$B$8</f>
        <v>-272.00000000000006</v>
      </c>
      <c r="R1400" s="1" t="s">
        <v>162</v>
      </c>
      <c r="S1400" s="1">
        <v>542</v>
      </c>
      <c r="T1400" s="1">
        <v>523</v>
      </c>
    </row>
    <row r="1401" spans="1:20" ht="21" customHeight="1">
      <c r="A1401" s="8">
        <v>46260</v>
      </c>
      <c r="B1401" s="1" t="s">
        <v>36</v>
      </c>
      <c r="C1401" s="1" t="s">
        <v>87</v>
      </c>
      <c r="D1401" s="7">
        <v>9200</v>
      </c>
      <c r="E1401" s="7">
        <v>9500</v>
      </c>
      <c r="F1401" s="7"/>
      <c r="G1401" s="7">
        <f>'Option source'!B433</f>
        <v>41.09</v>
      </c>
      <c r="H1401" s="7">
        <f>'Option source'!B452</f>
        <v>27.58</v>
      </c>
      <c r="I1401" s="7"/>
      <c r="J1401" s="7">
        <f t="shared" si="147"/>
        <v>-14.069999999999993</v>
      </c>
      <c r="K1401" s="7">
        <f t="shared" si="148"/>
        <v>300</v>
      </c>
      <c r="L1401" s="7">
        <f t="shared" si="149"/>
        <v>314.07</v>
      </c>
      <c r="M1401" s="7" t="str">
        <f t="shared" si="150"/>
        <v>Unlimited</v>
      </c>
      <c r="N1401" s="7" t="str">
        <f t="shared" si="151"/>
        <v>n.a.</v>
      </c>
      <c r="O1401" s="7">
        <f t="shared" si="152"/>
        <v>9814.07</v>
      </c>
      <c r="P1401" s="15" t="str">
        <f t="shared" si="153"/>
        <v>n.a.</v>
      </c>
      <c r="Q1401" s="7">
        <f>J1401*'Model inputs'!$B$8</f>
        <v>-1406.9999999999993</v>
      </c>
      <c r="R1401" s="1" t="s">
        <v>162</v>
      </c>
      <c r="S1401" s="1">
        <v>428</v>
      </c>
      <c r="T1401" s="1">
        <v>447</v>
      </c>
    </row>
    <row r="1402" spans="1:20" ht="21" customHeight="1">
      <c r="A1402" s="8">
        <v>46260</v>
      </c>
      <c r="B1402" s="1" t="s">
        <v>36</v>
      </c>
      <c r="C1402" s="1" t="s">
        <v>90</v>
      </c>
      <c r="D1402" s="7">
        <v>4600</v>
      </c>
      <c r="E1402" s="7">
        <v>4400</v>
      </c>
      <c r="F1402" s="7"/>
      <c r="G1402" s="7">
        <f>'Option source'!B528</f>
        <v>3.41</v>
      </c>
      <c r="H1402" s="7">
        <f>'Option source'!B509</f>
        <v>2.68</v>
      </c>
      <c r="I1402" s="7"/>
      <c r="J1402" s="7">
        <f t="shared" si="147"/>
        <v>-1.9500000000000002</v>
      </c>
      <c r="K1402" s="7">
        <f t="shared" si="148"/>
        <v>200</v>
      </c>
      <c r="L1402" s="7">
        <f t="shared" si="149"/>
        <v>201.95</v>
      </c>
      <c r="M1402" s="7">
        <f t="shared" si="150"/>
        <v>4198.05</v>
      </c>
      <c r="N1402" s="7">
        <f t="shared" si="151"/>
        <v>4198.05</v>
      </c>
      <c r="O1402" s="7" t="str">
        <f t="shared" si="152"/>
        <v>n.a.</v>
      </c>
      <c r="P1402" s="15" t="str">
        <f t="shared" si="153"/>
        <v>n.a.</v>
      </c>
      <c r="Q1402" s="7">
        <f>J1402*'Model inputs'!$B$8</f>
        <v>-195.00000000000003</v>
      </c>
      <c r="R1402" s="1" t="s">
        <v>162</v>
      </c>
      <c r="S1402" s="1">
        <v>523</v>
      </c>
      <c r="T1402" s="1">
        <v>504</v>
      </c>
    </row>
    <row r="1403" spans="1:20" ht="21" customHeight="1">
      <c r="A1403" s="8">
        <v>46260</v>
      </c>
      <c r="B1403" s="1" t="s">
        <v>36</v>
      </c>
      <c r="C1403" s="1" t="s">
        <v>90</v>
      </c>
      <c r="D1403" s="7">
        <v>4400</v>
      </c>
      <c r="E1403" s="7">
        <v>4200</v>
      </c>
      <c r="F1403" s="7"/>
      <c r="G1403" s="7">
        <f>'Option source'!B509</f>
        <v>2.68</v>
      </c>
      <c r="H1403" s="7">
        <f>'Option source'!B490</f>
        <v>2.59</v>
      </c>
      <c r="I1403" s="7"/>
      <c r="J1403" s="7">
        <f t="shared" si="147"/>
        <v>-2.4999999999999996</v>
      </c>
      <c r="K1403" s="7">
        <f t="shared" si="148"/>
        <v>200</v>
      </c>
      <c r="L1403" s="7">
        <f t="shared" si="149"/>
        <v>202.5</v>
      </c>
      <c r="M1403" s="7">
        <f t="shared" si="150"/>
        <v>3997.5</v>
      </c>
      <c r="N1403" s="7">
        <f t="shared" si="151"/>
        <v>3997.5</v>
      </c>
      <c r="O1403" s="7" t="str">
        <f t="shared" si="152"/>
        <v>n.a.</v>
      </c>
      <c r="P1403" s="15" t="str">
        <f t="shared" si="153"/>
        <v>n.a.</v>
      </c>
      <c r="Q1403" s="7">
        <f>J1403*'Model inputs'!$B$8</f>
        <v>-249.99999999999994</v>
      </c>
      <c r="R1403" s="1" t="s">
        <v>162</v>
      </c>
      <c r="S1403" s="1">
        <v>504</v>
      </c>
      <c r="T1403" s="1">
        <v>485</v>
      </c>
    </row>
    <row r="1404" spans="1:20" ht="21" customHeight="1">
      <c r="A1404" s="8">
        <v>46260</v>
      </c>
      <c r="B1404" s="1" t="s">
        <v>36</v>
      </c>
      <c r="C1404" s="1" t="s">
        <v>87</v>
      </c>
      <c r="D1404" s="7">
        <v>9500</v>
      </c>
      <c r="E1404" s="7">
        <v>9900</v>
      </c>
      <c r="F1404" s="7"/>
      <c r="G1404" s="7">
        <f>'Option source'!B452</f>
        <v>27.58</v>
      </c>
      <c r="H1404" s="7">
        <f>'Option source'!B471</f>
        <v>16.5</v>
      </c>
      <c r="I1404" s="7"/>
      <c r="J1404" s="7">
        <f t="shared" si="147"/>
        <v>-5.4200000000000017</v>
      </c>
      <c r="K1404" s="7">
        <f t="shared" si="148"/>
        <v>400</v>
      </c>
      <c r="L1404" s="7">
        <f t="shared" si="149"/>
        <v>405.42</v>
      </c>
      <c r="M1404" s="7" t="str">
        <f t="shared" si="150"/>
        <v>Unlimited</v>
      </c>
      <c r="N1404" s="7" t="str">
        <f t="shared" si="151"/>
        <v>n.a.</v>
      </c>
      <c r="O1404" s="7">
        <f t="shared" si="152"/>
        <v>10305.42</v>
      </c>
      <c r="P1404" s="15" t="str">
        <f t="shared" si="153"/>
        <v>n.a.</v>
      </c>
      <c r="Q1404" s="7">
        <f>J1404*'Model inputs'!$B$8</f>
        <v>-542.00000000000023</v>
      </c>
      <c r="R1404" s="1" t="s">
        <v>162</v>
      </c>
      <c r="S1404" s="1">
        <v>447</v>
      </c>
      <c r="T1404" s="1">
        <v>466</v>
      </c>
    </row>
    <row r="1405" spans="1:20" ht="21" customHeight="1">
      <c r="A1405" s="8">
        <v>46260</v>
      </c>
      <c r="B1405" s="1" t="s">
        <v>36</v>
      </c>
      <c r="C1405" s="1" t="s">
        <v>90</v>
      </c>
      <c r="D1405" s="7">
        <v>7800</v>
      </c>
      <c r="E1405" s="7">
        <v>7600</v>
      </c>
      <c r="F1405" s="7"/>
      <c r="G1405" s="7">
        <f>'Option source'!B832</f>
        <v>800</v>
      </c>
      <c r="H1405" s="7">
        <f>'Option source'!B813</f>
        <v>665</v>
      </c>
      <c r="I1405" s="7"/>
      <c r="J1405" s="7">
        <f t="shared" si="147"/>
        <v>-530</v>
      </c>
      <c r="K1405" s="7">
        <f t="shared" si="148"/>
        <v>200</v>
      </c>
      <c r="L1405" s="7">
        <f t="shared" si="149"/>
        <v>730</v>
      </c>
      <c r="M1405" s="7">
        <f t="shared" si="150"/>
        <v>6870</v>
      </c>
      <c r="N1405" s="7">
        <f t="shared" si="151"/>
        <v>6870</v>
      </c>
      <c r="O1405" s="7" t="str">
        <f t="shared" si="152"/>
        <v>n.a.</v>
      </c>
      <c r="P1405" s="15" t="str">
        <f t="shared" si="153"/>
        <v>n.a.</v>
      </c>
      <c r="Q1405" s="7">
        <f>J1405*'Model inputs'!$B$8</f>
        <v>-53000</v>
      </c>
      <c r="R1405" s="1" t="s">
        <v>164</v>
      </c>
      <c r="S1405" s="1">
        <v>827</v>
      </c>
      <c r="T1405" s="1">
        <v>808</v>
      </c>
    </row>
    <row r="1406" spans="1:20" ht="21" customHeight="1">
      <c r="A1406" s="8">
        <v>46260</v>
      </c>
      <c r="B1406" s="1" t="s">
        <v>36</v>
      </c>
      <c r="C1406" s="1" t="s">
        <v>87</v>
      </c>
      <c r="D1406" s="7">
        <v>6200</v>
      </c>
      <c r="E1406" s="7">
        <v>6400</v>
      </c>
      <c r="F1406" s="7"/>
      <c r="G1406" s="7">
        <f>'Option source'!B186</f>
        <v>1000</v>
      </c>
      <c r="H1406" s="7">
        <f>'Option source'!B205</f>
        <v>944.2</v>
      </c>
      <c r="I1406" s="7"/>
      <c r="J1406" s="7">
        <f t="shared" si="147"/>
        <v>-888.40000000000009</v>
      </c>
      <c r="K1406" s="7">
        <f t="shared" si="148"/>
        <v>200</v>
      </c>
      <c r="L1406" s="7">
        <f t="shared" si="149"/>
        <v>1088.4000000000001</v>
      </c>
      <c r="M1406" s="7" t="str">
        <f t="shared" si="150"/>
        <v>Unlimited</v>
      </c>
      <c r="N1406" s="7" t="str">
        <f t="shared" si="151"/>
        <v>n.a.</v>
      </c>
      <c r="O1406" s="7">
        <f t="shared" si="152"/>
        <v>7488.4</v>
      </c>
      <c r="P1406" s="15" t="str">
        <f t="shared" si="153"/>
        <v>n.a.</v>
      </c>
      <c r="Q1406" s="7">
        <f>J1406*'Model inputs'!$B$8</f>
        <v>-88840.000000000015</v>
      </c>
      <c r="R1406" s="1" t="s">
        <v>164</v>
      </c>
      <c r="S1406" s="1">
        <v>181</v>
      </c>
      <c r="T1406" s="1">
        <v>200</v>
      </c>
    </row>
    <row r="1407" spans="1:20" ht="21" customHeight="1">
      <c r="A1407" s="8">
        <v>46260</v>
      </c>
      <c r="B1407" s="1" t="s">
        <v>36</v>
      </c>
      <c r="C1407" s="1" t="s">
        <v>90</v>
      </c>
      <c r="D1407" s="7">
        <v>8000</v>
      </c>
      <c r="E1407" s="7">
        <v>7800</v>
      </c>
      <c r="F1407" s="7"/>
      <c r="G1407" s="7">
        <f>'Option source'!B851</f>
        <v>990</v>
      </c>
      <c r="H1407" s="7">
        <f>'Option source'!B832</f>
        <v>800</v>
      </c>
      <c r="I1407" s="7"/>
      <c r="J1407" s="7">
        <f t="shared" si="147"/>
        <v>-610</v>
      </c>
      <c r="K1407" s="7">
        <f t="shared" si="148"/>
        <v>200</v>
      </c>
      <c r="L1407" s="7">
        <f t="shared" si="149"/>
        <v>810</v>
      </c>
      <c r="M1407" s="7">
        <f t="shared" si="150"/>
        <v>6990</v>
      </c>
      <c r="N1407" s="7">
        <f t="shared" si="151"/>
        <v>6990</v>
      </c>
      <c r="O1407" s="7" t="str">
        <f t="shared" si="152"/>
        <v>n.a.</v>
      </c>
      <c r="P1407" s="15" t="str">
        <f t="shared" si="153"/>
        <v>n.a.</v>
      </c>
      <c r="Q1407" s="7">
        <f>J1407*'Model inputs'!$B$8</f>
        <v>-61000</v>
      </c>
      <c r="R1407" s="1" t="s">
        <v>164</v>
      </c>
      <c r="S1407" s="1">
        <v>846</v>
      </c>
      <c r="T1407" s="1">
        <v>827</v>
      </c>
    </row>
    <row r="1408" spans="1:20" ht="21" customHeight="1">
      <c r="A1408" s="8">
        <v>46260</v>
      </c>
      <c r="B1408" s="1" t="s">
        <v>36</v>
      </c>
      <c r="C1408" s="1" t="s">
        <v>87</v>
      </c>
      <c r="D1408" s="7">
        <v>6000</v>
      </c>
      <c r="E1408" s="7">
        <v>6200</v>
      </c>
      <c r="F1408" s="7"/>
      <c r="G1408" s="7">
        <f>'Option source'!B167</f>
        <v>1439.96</v>
      </c>
      <c r="H1408" s="7">
        <f>'Option source'!B186</f>
        <v>1000</v>
      </c>
      <c r="I1408" s="7"/>
      <c r="J1408" s="7">
        <f t="shared" si="147"/>
        <v>-560.04</v>
      </c>
      <c r="K1408" s="7">
        <f t="shared" si="148"/>
        <v>200</v>
      </c>
      <c r="L1408" s="7">
        <f t="shared" si="149"/>
        <v>760.04</v>
      </c>
      <c r="M1408" s="7" t="str">
        <f t="shared" si="150"/>
        <v>Unlimited</v>
      </c>
      <c r="N1408" s="7" t="str">
        <f t="shared" si="151"/>
        <v>n.a.</v>
      </c>
      <c r="O1408" s="7">
        <f t="shared" si="152"/>
        <v>6960.04</v>
      </c>
      <c r="P1408" s="15" t="str">
        <f t="shared" si="153"/>
        <v>n.a.</v>
      </c>
      <c r="Q1408" s="7">
        <f>J1408*'Model inputs'!$B$8</f>
        <v>-56004</v>
      </c>
      <c r="R1408" s="1" t="s">
        <v>164</v>
      </c>
      <c r="S1408" s="1">
        <v>162</v>
      </c>
      <c r="T1408" s="1">
        <v>181</v>
      </c>
    </row>
    <row r="1409" spans="1:20" ht="21" customHeight="1">
      <c r="A1409" s="8">
        <v>46260</v>
      </c>
      <c r="B1409" s="1" t="s">
        <v>36</v>
      </c>
      <c r="C1409" s="1" t="s">
        <v>90</v>
      </c>
      <c r="D1409" s="7">
        <v>8300</v>
      </c>
      <c r="E1409" s="7">
        <v>8000</v>
      </c>
      <c r="F1409" s="7"/>
      <c r="G1409" s="7">
        <f>'Option source'!B870</f>
        <v>1274.9000000000001</v>
      </c>
      <c r="H1409" s="7">
        <f>'Option source'!B851</f>
        <v>990</v>
      </c>
      <c r="I1409" s="7"/>
      <c r="J1409" s="7">
        <f t="shared" si="147"/>
        <v>-705.09999999999991</v>
      </c>
      <c r="K1409" s="7">
        <f t="shared" si="148"/>
        <v>300</v>
      </c>
      <c r="L1409" s="7">
        <f t="shared" si="149"/>
        <v>1005.0999999999999</v>
      </c>
      <c r="M1409" s="7">
        <f t="shared" si="150"/>
        <v>6994.9</v>
      </c>
      <c r="N1409" s="7">
        <f t="shared" si="151"/>
        <v>6994.9</v>
      </c>
      <c r="O1409" s="7" t="str">
        <f t="shared" si="152"/>
        <v>n.a.</v>
      </c>
      <c r="P1409" s="15" t="str">
        <f t="shared" si="153"/>
        <v>n.a.</v>
      </c>
      <c r="Q1409" s="7">
        <f>J1409*'Model inputs'!$B$8</f>
        <v>-70509.999999999985</v>
      </c>
      <c r="R1409" s="1" t="s">
        <v>164</v>
      </c>
      <c r="S1409" s="1">
        <v>865</v>
      </c>
      <c r="T1409" s="1">
        <v>846</v>
      </c>
    </row>
    <row r="1410" spans="1:20" ht="21" customHeight="1">
      <c r="A1410" s="8">
        <v>46260</v>
      </c>
      <c r="B1410" s="1" t="s">
        <v>36</v>
      </c>
      <c r="C1410" s="1" t="s">
        <v>87</v>
      </c>
      <c r="D1410" s="7">
        <v>5600</v>
      </c>
      <c r="E1410" s="7">
        <v>6000</v>
      </c>
      <c r="F1410" s="7"/>
      <c r="G1410" s="7">
        <f>'Option source'!B138</f>
        <v>1645</v>
      </c>
      <c r="H1410" s="7">
        <f>'Option source'!B167</f>
        <v>1439.96</v>
      </c>
      <c r="I1410" s="7"/>
      <c r="J1410" s="7">
        <f t="shared" si="147"/>
        <v>-1234.92</v>
      </c>
      <c r="K1410" s="7">
        <f t="shared" si="148"/>
        <v>400</v>
      </c>
      <c r="L1410" s="7">
        <f t="shared" si="149"/>
        <v>1634.92</v>
      </c>
      <c r="M1410" s="7" t="str">
        <f t="shared" si="150"/>
        <v>Unlimited</v>
      </c>
      <c r="N1410" s="7" t="str">
        <f t="shared" si="151"/>
        <v>n.a.</v>
      </c>
      <c r="O1410" s="7">
        <f t="shared" si="152"/>
        <v>7634.92</v>
      </c>
      <c r="P1410" s="15" t="str">
        <f t="shared" si="153"/>
        <v>n.a.</v>
      </c>
      <c r="Q1410" s="7">
        <f>J1410*'Model inputs'!$B$8</f>
        <v>-123492</v>
      </c>
      <c r="R1410" s="1" t="s">
        <v>164</v>
      </c>
      <c r="S1410" s="1">
        <v>133</v>
      </c>
      <c r="T1410" s="1">
        <v>162</v>
      </c>
    </row>
    <row r="1411" spans="1:20" ht="21" customHeight="1">
      <c r="A1411" s="8">
        <v>46260</v>
      </c>
      <c r="B1411" s="1" t="s">
        <v>36</v>
      </c>
      <c r="C1411" s="1" t="s">
        <v>90</v>
      </c>
      <c r="D1411" s="7">
        <v>8600</v>
      </c>
      <c r="E1411" s="7">
        <v>8300</v>
      </c>
      <c r="F1411" s="7"/>
      <c r="G1411" s="7">
        <f>'Option source'!B889</f>
        <v>1630</v>
      </c>
      <c r="H1411" s="7">
        <f>'Option source'!B870</f>
        <v>1274.9000000000001</v>
      </c>
      <c r="I1411" s="7"/>
      <c r="J1411" s="7">
        <f t="shared" si="147"/>
        <v>-919.80000000000018</v>
      </c>
      <c r="K1411" s="7">
        <f t="shared" si="148"/>
        <v>300</v>
      </c>
      <c r="L1411" s="7">
        <f t="shared" si="149"/>
        <v>1219.8000000000002</v>
      </c>
      <c r="M1411" s="7">
        <f t="shared" si="150"/>
        <v>7080.2</v>
      </c>
      <c r="N1411" s="7">
        <f t="shared" si="151"/>
        <v>7080.2</v>
      </c>
      <c r="O1411" s="7" t="str">
        <f t="shared" si="152"/>
        <v>n.a.</v>
      </c>
      <c r="P1411" s="15" t="str">
        <f t="shared" si="153"/>
        <v>n.a.</v>
      </c>
      <c r="Q1411" s="7">
        <f>J1411*'Model inputs'!$B$8</f>
        <v>-91980.000000000015</v>
      </c>
      <c r="R1411" s="1" t="s">
        <v>164</v>
      </c>
      <c r="S1411" s="1">
        <v>884</v>
      </c>
      <c r="T1411" s="1">
        <v>865</v>
      </c>
    </row>
    <row r="1412" spans="1:20" ht="21" customHeight="1">
      <c r="A1412" s="8">
        <v>46260</v>
      </c>
      <c r="B1412" s="1" t="s">
        <v>36</v>
      </c>
      <c r="C1412" s="1" t="s">
        <v>87</v>
      </c>
      <c r="D1412" s="7">
        <v>5400</v>
      </c>
      <c r="E1412" s="7">
        <v>5600</v>
      </c>
      <c r="F1412" s="7"/>
      <c r="G1412" s="7">
        <f>'Option source'!B120</f>
        <v>1752.86</v>
      </c>
      <c r="H1412" s="7">
        <f>'Option source'!B138</f>
        <v>1645</v>
      </c>
      <c r="I1412" s="7"/>
      <c r="J1412" s="7">
        <f t="shared" si="147"/>
        <v>-1537.14</v>
      </c>
      <c r="K1412" s="7">
        <f t="shared" si="148"/>
        <v>200</v>
      </c>
      <c r="L1412" s="7">
        <f t="shared" si="149"/>
        <v>1737.14</v>
      </c>
      <c r="M1412" s="7" t="str">
        <f t="shared" si="150"/>
        <v>Unlimited</v>
      </c>
      <c r="N1412" s="7" t="str">
        <f t="shared" si="151"/>
        <v>n.a.</v>
      </c>
      <c r="O1412" s="7">
        <f t="shared" si="152"/>
        <v>7337.14</v>
      </c>
      <c r="P1412" s="15" t="str">
        <f t="shared" si="153"/>
        <v>n.a.</v>
      </c>
      <c r="Q1412" s="7">
        <f>J1412*'Model inputs'!$B$8</f>
        <v>-153714</v>
      </c>
      <c r="R1412" s="1" t="s">
        <v>164</v>
      </c>
      <c r="S1412" s="1">
        <v>115</v>
      </c>
      <c r="T1412" s="1">
        <v>133</v>
      </c>
    </row>
    <row r="1413" spans="1:20" ht="21" customHeight="1">
      <c r="A1413" s="8">
        <v>46260</v>
      </c>
      <c r="B1413" s="1" t="s">
        <v>36</v>
      </c>
      <c r="C1413" s="1" t="s">
        <v>87</v>
      </c>
      <c r="D1413" s="7">
        <v>5200</v>
      </c>
      <c r="E1413" s="7">
        <v>5400</v>
      </c>
      <c r="F1413" s="7"/>
      <c r="G1413" s="7">
        <f>'Option source'!B101</f>
        <v>1981.15</v>
      </c>
      <c r="H1413" s="7">
        <f>'Option source'!B120</f>
        <v>1752.86</v>
      </c>
      <c r="I1413" s="7"/>
      <c r="J1413" s="7">
        <f t="shared" si="147"/>
        <v>-1524.5699999999997</v>
      </c>
      <c r="K1413" s="7">
        <f t="shared" si="148"/>
        <v>200</v>
      </c>
      <c r="L1413" s="7">
        <f t="shared" si="149"/>
        <v>1724.5699999999997</v>
      </c>
      <c r="M1413" s="7" t="str">
        <f t="shared" si="150"/>
        <v>Unlimited</v>
      </c>
      <c r="N1413" s="7" t="str">
        <f t="shared" si="151"/>
        <v>n.a.</v>
      </c>
      <c r="O1413" s="7">
        <f t="shared" si="152"/>
        <v>7124.57</v>
      </c>
      <c r="P1413" s="15" t="str">
        <f t="shared" si="153"/>
        <v>n.a.</v>
      </c>
      <c r="Q1413" s="7">
        <f>J1413*'Model inputs'!$B$8</f>
        <v>-152456.99999999997</v>
      </c>
      <c r="R1413" s="1" t="s">
        <v>164</v>
      </c>
      <c r="S1413" s="1">
        <v>96</v>
      </c>
      <c r="T1413" s="1">
        <v>115</v>
      </c>
    </row>
    <row r="1414" spans="1:20" ht="21" customHeight="1">
      <c r="A1414" s="8">
        <v>46260</v>
      </c>
      <c r="B1414" s="1" t="s">
        <v>36</v>
      </c>
      <c r="C1414" s="1" t="s">
        <v>87</v>
      </c>
      <c r="D1414" s="7">
        <v>5000</v>
      </c>
      <c r="E1414" s="7">
        <v>5200</v>
      </c>
      <c r="F1414" s="7"/>
      <c r="G1414" s="7">
        <f>'Option source'!B82</f>
        <v>2232.7600000000002</v>
      </c>
      <c r="H1414" s="7">
        <f>'Option source'!B101</f>
        <v>1981.15</v>
      </c>
      <c r="I1414" s="7"/>
      <c r="J1414" s="7">
        <f t="shared" si="147"/>
        <v>-1729.54</v>
      </c>
      <c r="K1414" s="7">
        <f t="shared" si="148"/>
        <v>200</v>
      </c>
      <c r="L1414" s="7">
        <f t="shared" si="149"/>
        <v>1929.54</v>
      </c>
      <c r="M1414" s="7" t="str">
        <f t="shared" si="150"/>
        <v>Unlimited</v>
      </c>
      <c r="N1414" s="7" t="str">
        <f t="shared" si="151"/>
        <v>n.a.</v>
      </c>
      <c r="O1414" s="7">
        <f t="shared" si="152"/>
        <v>7129.54</v>
      </c>
      <c r="P1414" s="15" t="str">
        <f t="shared" si="153"/>
        <v>n.a.</v>
      </c>
      <c r="Q1414" s="7">
        <f>J1414*'Model inputs'!$B$8</f>
        <v>-172954</v>
      </c>
      <c r="R1414" s="1" t="s">
        <v>164</v>
      </c>
      <c r="S1414" s="1">
        <v>77</v>
      </c>
      <c r="T1414" s="1">
        <v>96</v>
      </c>
    </row>
    <row r="1415" spans="1:20" ht="21" customHeight="1">
      <c r="A1415" s="8">
        <v>46260</v>
      </c>
      <c r="B1415" s="1" t="s">
        <v>36</v>
      </c>
      <c r="C1415" s="1" t="s">
        <v>87</v>
      </c>
      <c r="D1415" s="7">
        <v>4800</v>
      </c>
      <c r="E1415" s="7">
        <v>5000</v>
      </c>
      <c r="F1415" s="7"/>
      <c r="G1415" s="7">
        <f>'Option source'!B65</f>
        <v>2280</v>
      </c>
      <c r="H1415" s="7">
        <f>'Option source'!B82</f>
        <v>2232.7600000000002</v>
      </c>
      <c r="I1415" s="7"/>
      <c r="J1415" s="7">
        <f t="shared" ref="J1415:J1478" si="154">G1415-2*H1415+IF(B1415="Butterfly",I1415,0)</f>
        <v>-2185.5200000000004</v>
      </c>
      <c r="K1415" s="7">
        <f t="shared" ref="K1415:K1478" si="155">ABS(E1415-D1415)</f>
        <v>200</v>
      </c>
      <c r="L1415" s="7">
        <f t="shared" ref="L1415:L1478" si="156">K1415-J1415</f>
        <v>2385.5200000000004</v>
      </c>
      <c r="M1415" s="7" t="str">
        <f t="shared" ref="M1415:M1478" si="157">IF(B1415="Butterfly",MAX(J1415,0),IF(C1415="call","Unlimited",MAX(2*E1415-D1415+J1415,J1415,0)))</f>
        <v>Unlimited</v>
      </c>
      <c r="N1415" s="7" t="str">
        <f t="shared" ref="N1415:N1478" si="158">IF(B1415="Butterfly",IF(AND(J1415&gt;0,J1415&lt;K1415),D1415+J1415,"n.a."),IF(C1415="call",IF(AND(J1415&gt;0,J1415&lt;K1415),D1415+J1415,"n.a."),IF(AND(K1415&gt;J1415,2*E1415-D1415+J1415&gt;=0),2*E1415-D1415+J1415,"n.a.")))</f>
        <v>n.a.</v>
      </c>
      <c r="O1415" s="7">
        <f t="shared" ref="O1415:O1478" si="159">IF(B1415="Butterfly",IF(AND(J1415&gt;0,J1415&lt;K1415),F1415-J1415,"n.a."),IF(C1415="call",IF(K1415&gt;J1415,2*E1415-D1415-J1415,"n.a."),IF(AND(J1415&gt;0,J1415&lt;K1415),D1415-J1415,"n.a.")))</f>
        <v>7385.52</v>
      </c>
      <c r="P1415" s="15" t="str">
        <f t="shared" ref="P1415:P1478" si="160">IF(AND(B1415="Butterfly",J1415&gt;0,J1415&lt;K1415),L1415/J1415,"n.a.")</f>
        <v>n.a.</v>
      </c>
      <c r="Q1415" s="7">
        <f>J1415*'Model inputs'!$B$8</f>
        <v>-218552.00000000006</v>
      </c>
      <c r="R1415" s="1" t="s">
        <v>164</v>
      </c>
      <c r="S1415" s="1">
        <v>60</v>
      </c>
      <c r="T1415" s="1">
        <v>77</v>
      </c>
    </row>
    <row r="1416" spans="1:20" ht="21" customHeight="1">
      <c r="A1416" s="8">
        <v>46260</v>
      </c>
      <c r="B1416" s="1" t="s">
        <v>36</v>
      </c>
      <c r="C1416" s="1" t="s">
        <v>87</v>
      </c>
      <c r="D1416" s="7">
        <v>4600</v>
      </c>
      <c r="E1416" s="7">
        <v>4800</v>
      </c>
      <c r="F1416" s="7"/>
      <c r="G1416" s="7">
        <f>'Option source'!B48</f>
        <v>2493.23</v>
      </c>
      <c r="H1416" s="7">
        <f>'Option source'!B65</f>
        <v>2280</v>
      </c>
      <c r="I1416" s="7"/>
      <c r="J1416" s="7">
        <f t="shared" si="154"/>
        <v>-2066.77</v>
      </c>
      <c r="K1416" s="7">
        <f t="shared" si="155"/>
        <v>200</v>
      </c>
      <c r="L1416" s="7">
        <f t="shared" si="156"/>
        <v>2266.77</v>
      </c>
      <c r="M1416" s="7" t="str">
        <f t="shared" si="157"/>
        <v>Unlimited</v>
      </c>
      <c r="N1416" s="7" t="str">
        <f t="shared" si="158"/>
        <v>n.a.</v>
      </c>
      <c r="O1416" s="7">
        <f t="shared" si="159"/>
        <v>7066.77</v>
      </c>
      <c r="P1416" s="15" t="str">
        <f t="shared" si="160"/>
        <v>n.a.</v>
      </c>
      <c r="Q1416" s="7">
        <f>J1416*'Model inputs'!$B$8</f>
        <v>-206677</v>
      </c>
      <c r="R1416" s="1" t="s">
        <v>164</v>
      </c>
      <c r="S1416" s="1">
        <v>43</v>
      </c>
      <c r="T1416" s="1">
        <v>60</v>
      </c>
    </row>
    <row r="1417" spans="1:20" ht="21" customHeight="1">
      <c r="A1417" s="8">
        <v>46260</v>
      </c>
      <c r="B1417" s="1" t="s">
        <v>36</v>
      </c>
      <c r="C1417" s="1" t="s">
        <v>87</v>
      </c>
      <c r="D1417" s="7">
        <v>4400</v>
      </c>
      <c r="E1417" s="7">
        <v>4600</v>
      </c>
      <c r="F1417" s="7"/>
      <c r="G1417" s="7">
        <f>'Option source'!B29</f>
        <v>2387.12</v>
      </c>
      <c r="H1417" s="7">
        <f>'Option source'!B48</f>
        <v>2493.23</v>
      </c>
      <c r="I1417" s="7"/>
      <c r="J1417" s="7">
        <f t="shared" si="154"/>
        <v>-2599.34</v>
      </c>
      <c r="K1417" s="7">
        <f t="shared" si="155"/>
        <v>200</v>
      </c>
      <c r="L1417" s="7">
        <f t="shared" si="156"/>
        <v>2799.34</v>
      </c>
      <c r="M1417" s="7" t="str">
        <f t="shared" si="157"/>
        <v>Unlimited</v>
      </c>
      <c r="N1417" s="7" t="str">
        <f t="shared" si="158"/>
        <v>n.a.</v>
      </c>
      <c r="O1417" s="7">
        <f t="shared" si="159"/>
        <v>7399.34</v>
      </c>
      <c r="P1417" s="15" t="str">
        <f t="shared" si="160"/>
        <v>n.a.</v>
      </c>
      <c r="Q1417" s="7">
        <f>J1417*'Model inputs'!$B$8</f>
        <v>-259934</v>
      </c>
      <c r="R1417" s="1" t="s">
        <v>164</v>
      </c>
      <c r="S1417" s="1">
        <v>24</v>
      </c>
      <c r="T1417" s="1">
        <v>43</v>
      </c>
    </row>
    <row r="1418" spans="1:20" ht="21" customHeight="1">
      <c r="A1418" s="8">
        <v>46260</v>
      </c>
      <c r="B1418" s="1" t="s">
        <v>36</v>
      </c>
      <c r="C1418" s="1" t="s">
        <v>87</v>
      </c>
      <c r="D1418" s="7">
        <v>4200</v>
      </c>
      <c r="E1418" s="7">
        <v>4400</v>
      </c>
      <c r="F1418" s="7"/>
      <c r="G1418" s="7">
        <f>'Option source'!B10</f>
        <v>2914.64</v>
      </c>
      <c r="H1418" s="7">
        <f>'Option source'!B29</f>
        <v>2387.12</v>
      </c>
      <c r="I1418" s="7"/>
      <c r="J1418" s="7">
        <f t="shared" si="154"/>
        <v>-1859.6</v>
      </c>
      <c r="K1418" s="7">
        <f t="shared" si="155"/>
        <v>200</v>
      </c>
      <c r="L1418" s="7">
        <f t="shared" si="156"/>
        <v>2059.6</v>
      </c>
      <c r="M1418" s="7" t="str">
        <f t="shared" si="157"/>
        <v>Unlimited</v>
      </c>
      <c r="N1418" s="7" t="str">
        <f t="shared" si="158"/>
        <v>n.a.</v>
      </c>
      <c r="O1418" s="7">
        <f t="shared" si="159"/>
        <v>6459.6</v>
      </c>
      <c r="P1418" s="15" t="str">
        <f t="shared" si="160"/>
        <v>n.a.</v>
      </c>
      <c r="Q1418" s="7">
        <f>J1418*'Model inputs'!$B$8</f>
        <v>-185960</v>
      </c>
      <c r="R1418" s="1" t="s">
        <v>164</v>
      </c>
      <c r="S1418" s="1">
        <v>5</v>
      </c>
      <c r="T1418" s="1">
        <v>24</v>
      </c>
    </row>
    <row r="1419" spans="1:20" ht="21" customHeight="1">
      <c r="A1419" s="8">
        <v>46259</v>
      </c>
      <c r="B1419" s="1" t="s">
        <v>34</v>
      </c>
      <c r="C1419" s="1" t="s">
        <v>87</v>
      </c>
      <c r="D1419" s="7">
        <v>6800</v>
      </c>
      <c r="E1419" s="7">
        <v>7000</v>
      </c>
      <c r="F1419" s="7">
        <v>7200</v>
      </c>
      <c r="G1419" s="7">
        <f>'Option source'!B242</f>
        <v>720.8</v>
      </c>
      <c r="H1419" s="7">
        <f>'Option source'!B261</f>
        <v>604.66</v>
      </c>
      <c r="I1419" s="7">
        <f>'Option source'!B280</f>
        <v>501.24</v>
      </c>
      <c r="J1419" s="7">
        <f t="shared" si="154"/>
        <v>12.720000000000027</v>
      </c>
      <c r="K1419" s="7">
        <f t="shared" si="155"/>
        <v>200</v>
      </c>
      <c r="L1419" s="7">
        <f t="shared" si="156"/>
        <v>187.27999999999997</v>
      </c>
      <c r="M1419" s="7">
        <f t="shared" si="157"/>
        <v>12.720000000000027</v>
      </c>
      <c r="N1419" s="7">
        <f t="shared" si="158"/>
        <v>6812.72</v>
      </c>
      <c r="O1419" s="7">
        <f t="shared" si="159"/>
        <v>7187.28</v>
      </c>
      <c r="P1419" s="15">
        <f t="shared" si="160"/>
        <v>14.723270440251538</v>
      </c>
      <c r="Q1419" s="7">
        <f>J1419*'Model inputs'!$B$8</f>
        <v>1272.0000000000027</v>
      </c>
      <c r="R1419" s="1" t="s">
        <v>162</v>
      </c>
      <c r="S1419" s="1">
        <v>237</v>
      </c>
      <c r="T1419" s="1">
        <v>256</v>
      </c>
    </row>
    <row r="1420" spans="1:20" ht="21" customHeight="1">
      <c r="A1420" s="8">
        <v>46259</v>
      </c>
      <c r="B1420" s="1" t="s">
        <v>34</v>
      </c>
      <c r="C1420" s="1" t="s">
        <v>90</v>
      </c>
      <c r="D1420" s="7">
        <v>6800</v>
      </c>
      <c r="E1420" s="7">
        <v>7000</v>
      </c>
      <c r="F1420" s="7">
        <v>7200</v>
      </c>
      <c r="G1420" s="7">
        <f>'Option source'!B736</f>
        <v>251.5</v>
      </c>
      <c r="H1420" s="7">
        <f>'Option source'!B755</f>
        <v>333.44</v>
      </c>
      <c r="I1420" s="7">
        <f>'Option source'!B774</f>
        <v>428.03</v>
      </c>
      <c r="J1420" s="7">
        <f t="shared" si="154"/>
        <v>12.649999999999977</v>
      </c>
      <c r="K1420" s="7">
        <f t="shared" si="155"/>
        <v>200</v>
      </c>
      <c r="L1420" s="7">
        <f t="shared" si="156"/>
        <v>187.35000000000002</v>
      </c>
      <c r="M1420" s="7">
        <f t="shared" si="157"/>
        <v>12.649999999999977</v>
      </c>
      <c r="N1420" s="7">
        <f t="shared" si="158"/>
        <v>6812.65</v>
      </c>
      <c r="O1420" s="7">
        <f t="shared" si="159"/>
        <v>7187.35</v>
      </c>
      <c r="P1420" s="15">
        <f t="shared" si="160"/>
        <v>14.810276679841925</v>
      </c>
      <c r="Q1420" s="7">
        <f>J1420*'Model inputs'!$B$8</f>
        <v>1264.9999999999977</v>
      </c>
      <c r="R1420" s="1" t="s">
        <v>162</v>
      </c>
      <c r="S1420" s="1">
        <v>731</v>
      </c>
      <c r="T1420" s="1">
        <v>750</v>
      </c>
    </row>
    <row r="1421" spans="1:20" ht="21" customHeight="1">
      <c r="A1421" s="8">
        <v>46259</v>
      </c>
      <c r="B1421" s="1" t="s">
        <v>34</v>
      </c>
      <c r="C1421" s="1" t="s">
        <v>87</v>
      </c>
      <c r="D1421" s="7">
        <v>7000</v>
      </c>
      <c r="E1421" s="7">
        <v>7200</v>
      </c>
      <c r="F1421" s="7">
        <v>7400</v>
      </c>
      <c r="G1421" s="7">
        <f>'Option source'!B261</f>
        <v>604.66</v>
      </c>
      <c r="H1421" s="7">
        <f>'Option source'!B280</f>
        <v>501.24</v>
      </c>
      <c r="I1421" s="7">
        <f>'Option source'!B299</f>
        <v>414.81</v>
      </c>
      <c r="J1421" s="7">
        <f t="shared" si="154"/>
        <v>16.989999999999952</v>
      </c>
      <c r="K1421" s="7">
        <f t="shared" si="155"/>
        <v>200</v>
      </c>
      <c r="L1421" s="7">
        <f t="shared" si="156"/>
        <v>183.01000000000005</v>
      </c>
      <c r="M1421" s="7">
        <f t="shared" si="157"/>
        <v>16.989999999999952</v>
      </c>
      <c r="N1421" s="7">
        <f t="shared" si="158"/>
        <v>7016.99</v>
      </c>
      <c r="O1421" s="7">
        <f t="shared" si="159"/>
        <v>7383.01</v>
      </c>
      <c r="P1421" s="15">
        <f t="shared" si="160"/>
        <v>10.77163037080639</v>
      </c>
      <c r="Q1421" s="7">
        <f>J1421*'Model inputs'!$B$8</f>
        <v>1698.9999999999952</v>
      </c>
      <c r="R1421" s="1" t="s">
        <v>162</v>
      </c>
      <c r="S1421" s="1">
        <v>256</v>
      </c>
      <c r="T1421" s="1">
        <v>275</v>
      </c>
    </row>
    <row r="1422" spans="1:20" ht="21" customHeight="1">
      <c r="A1422" s="8">
        <v>46259</v>
      </c>
      <c r="B1422" s="1" t="s">
        <v>34</v>
      </c>
      <c r="C1422" s="1" t="s">
        <v>90</v>
      </c>
      <c r="D1422" s="7">
        <v>7000</v>
      </c>
      <c r="E1422" s="7">
        <v>7200</v>
      </c>
      <c r="F1422" s="7">
        <v>7400</v>
      </c>
      <c r="G1422" s="7">
        <f>'Option source'!B755</f>
        <v>333.44</v>
      </c>
      <c r="H1422" s="7">
        <f>'Option source'!B774</f>
        <v>428.03</v>
      </c>
      <c r="I1422" s="7">
        <f>'Option source'!B793</f>
        <v>535.79999999999995</v>
      </c>
      <c r="J1422" s="7">
        <f t="shared" si="154"/>
        <v>13.180000000000064</v>
      </c>
      <c r="K1422" s="7">
        <f t="shared" si="155"/>
        <v>200</v>
      </c>
      <c r="L1422" s="7">
        <f t="shared" si="156"/>
        <v>186.81999999999994</v>
      </c>
      <c r="M1422" s="7">
        <f t="shared" si="157"/>
        <v>13.180000000000064</v>
      </c>
      <c r="N1422" s="7">
        <f t="shared" si="158"/>
        <v>7013.18</v>
      </c>
      <c r="O1422" s="7">
        <f t="shared" si="159"/>
        <v>7386.82</v>
      </c>
      <c r="P1422" s="15">
        <f t="shared" si="160"/>
        <v>14.174506828527999</v>
      </c>
      <c r="Q1422" s="7">
        <f>J1422*'Model inputs'!$B$8</f>
        <v>1318.0000000000064</v>
      </c>
      <c r="R1422" s="1" t="s">
        <v>162</v>
      </c>
      <c r="S1422" s="1">
        <v>750</v>
      </c>
      <c r="T1422" s="1">
        <v>769</v>
      </c>
    </row>
    <row r="1423" spans="1:20" ht="21" customHeight="1">
      <c r="A1423" s="8">
        <v>46259</v>
      </c>
      <c r="B1423" s="1" t="s">
        <v>34</v>
      </c>
      <c r="C1423" s="1" t="s">
        <v>87</v>
      </c>
      <c r="D1423" s="7">
        <v>6600</v>
      </c>
      <c r="E1423" s="7">
        <v>6800</v>
      </c>
      <c r="F1423" s="7">
        <v>7000</v>
      </c>
      <c r="G1423" s="7">
        <f>'Option source'!B223</f>
        <v>852.31</v>
      </c>
      <c r="H1423" s="7">
        <f>'Option source'!B242</f>
        <v>720.8</v>
      </c>
      <c r="I1423" s="7">
        <f>'Option source'!B261</f>
        <v>604.66</v>
      </c>
      <c r="J1423" s="7">
        <f t="shared" si="154"/>
        <v>15.370000000000005</v>
      </c>
      <c r="K1423" s="7">
        <f t="shared" si="155"/>
        <v>200</v>
      </c>
      <c r="L1423" s="7">
        <f t="shared" si="156"/>
        <v>184.63</v>
      </c>
      <c r="M1423" s="7">
        <f t="shared" si="157"/>
        <v>15.370000000000005</v>
      </c>
      <c r="N1423" s="7">
        <f t="shared" si="158"/>
        <v>6615.37</v>
      </c>
      <c r="O1423" s="7">
        <f t="shared" si="159"/>
        <v>6984.63</v>
      </c>
      <c r="P1423" s="15">
        <f t="shared" si="160"/>
        <v>12.01236174365647</v>
      </c>
      <c r="Q1423" s="7">
        <f>J1423*'Model inputs'!$B$8</f>
        <v>1537.0000000000005</v>
      </c>
      <c r="R1423" s="1" t="s">
        <v>162</v>
      </c>
      <c r="S1423" s="1">
        <v>218</v>
      </c>
      <c r="T1423" s="1">
        <v>237</v>
      </c>
    </row>
    <row r="1424" spans="1:20" ht="21" customHeight="1">
      <c r="A1424" s="8">
        <v>46259</v>
      </c>
      <c r="B1424" s="1" t="s">
        <v>34</v>
      </c>
      <c r="C1424" s="1" t="s">
        <v>90</v>
      </c>
      <c r="D1424" s="7">
        <v>6600</v>
      </c>
      <c r="E1424" s="7">
        <v>6800</v>
      </c>
      <c r="F1424" s="7">
        <v>7000</v>
      </c>
      <c r="G1424" s="7">
        <f>'Option source'!B717</f>
        <v>188.16</v>
      </c>
      <c r="H1424" s="7">
        <f>'Option source'!B736</f>
        <v>251.5</v>
      </c>
      <c r="I1424" s="7">
        <f>'Option source'!B755</f>
        <v>333.44</v>
      </c>
      <c r="J1424" s="7">
        <f t="shared" si="154"/>
        <v>18.599999999999966</v>
      </c>
      <c r="K1424" s="7">
        <f t="shared" si="155"/>
        <v>200</v>
      </c>
      <c r="L1424" s="7">
        <f t="shared" si="156"/>
        <v>181.40000000000003</v>
      </c>
      <c r="M1424" s="7">
        <f t="shared" si="157"/>
        <v>18.599999999999966</v>
      </c>
      <c r="N1424" s="7">
        <f t="shared" si="158"/>
        <v>6618.6</v>
      </c>
      <c r="O1424" s="7">
        <f t="shared" si="159"/>
        <v>6981.4</v>
      </c>
      <c r="P1424" s="15">
        <f t="shared" si="160"/>
        <v>9.7526881720430296</v>
      </c>
      <c r="Q1424" s="7">
        <f>J1424*'Model inputs'!$B$8</f>
        <v>1859.9999999999966</v>
      </c>
      <c r="R1424" s="1" t="s">
        <v>162</v>
      </c>
      <c r="S1424" s="1">
        <v>712</v>
      </c>
      <c r="T1424" s="1">
        <v>731</v>
      </c>
    </row>
    <row r="1425" spans="1:20" ht="21" customHeight="1">
      <c r="A1425" s="8">
        <v>46259</v>
      </c>
      <c r="B1425" s="1" t="s">
        <v>34</v>
      </c>
      <c r="C1425" s="1" t="s">
        <v>87</v>
      </c>
      <c r="D1425" s="7">
        <v>7200</v>
      </c>
      <c r="E1425" s="7">
        <v>7400</v>
      </c>
      <c r="F1425" s="7">
        <v>7600</v>
      </c>
      <c r="G1425" s="7">
        <f>'Option source'!B280</f>
        <v>501.24</v>
      </c>
      <c r="H1425" s="7">
        <f>'Option source'!B299</f>
        <v>414.81</v>
      </c>
      <c r="I1425" s="7">
        <f>'Option source'!B318</f>
        <v>334.73</v>
      </c>
      <c r="J1425" s="7">
        <f t="shared" si="154"/>
        <v>6.3500000000000227</v>
      </c>
      <c r="K1425" s="7">
        <f t="shared" si="155"/>
        <v>200</v>
      </c>
      <c r="L1425" s="7">
        <f t="shared" si="156"/>
        <v>193.64999999999998</v>
      </c>
      <c r="M1425" s="7">
        <f t="shared" si="157"/>
        <v>6.3500000000000227</v>
      </c>
      <c r="N1425" s="7">
        <f t="shared" si="158"/>
        <v>7206.35</v>
      </c>
      <c r="O1425" s="7">
        <f t="shared" si="159"/>
        <v>7593.65</v>
      </c>
      <c r="P1425" s="15">
        <f t="shared" si="160"/>
        <v>30.496062992125871</v>
      </c>
      <c r="Q1425" s="7">
        <f>J1425*'Model inputs'!$B$8</f>
        <v>635.00000000000227</v>
      </c>
      <c r="R1425" s="1" t="s">
        <v>162</v>
      </c>
      <c r="S1425" s="1">
        <v>275</v>
      </c>
      <c r="T1425" s="1">
        <v>294</v>
      </c>
    </row>
    <row r="1426" spans="1:20" ht="21" customHeight="1">
      <c r="A1426" s="8">
        <v>46259</v>
      </c>
      <c r="B1426" s="1" t="s">
        <v>34</v>
      </c>
      <c r="C1426" s="1" t="s">
        <v>90</v>
      </c>
      <c r="D1426" s="7">
        <v>7200</v>
      </c>
      <c r="E1426" s="7">
        <v>7400</v>
      </c>
      <c r="F1426" s="7">
        <v>7600</v>
      </c>
      <c r="G1426" s="7">
        <f>'Option source'!B774</f>
        <v>428.03</v>
      </c>
      <c r="H1426" s="7">
        <f>'Option source'!B793</f>
        <v>535.79999999999995</v>
      </c>
      <c r="I1426" s="7">
        <f>'Option source'!B812</f>
        <v>660</v>
      </c>
      <c r="J1426" s="7">
        <f t="shared" si="154"/>
        <v>16.430000000000064</v>
      </c>
      <c r="K1426" s="7">
        <f t="shared" si="155"/>
        <v>200</v>
      </c>
      <c r="L1426" s="7">
        <f t="shared" si="156"/>
        <v>183.56999999999994</v>
      </c>
      <c r="M1426" s="7">
        <f t="shared" si="157"/>
        <v>16.430000000000064</v>
      </c>
      <c r="N1426" s="7">
        <f t="shared" si="158"/>
        <v>7216.43</v>
      </c>
      <c r="O1426" s="7">
        <f t="shared" si="159"/>
        <v>7583.57</v>
      </c>
      <c r="P1426" s="15">
        <f t="shared" si="160"/>
        <v>11.172854534388266</v>
      </c>
      <c r="Q1426" s="7">
        <f>J1426*'Model inputs'!$B$8</f>
        <v>1643.0000000000064</v>
      </c>
      <c r="R1426" s="1" t="s">
        <v>162</v>
      </c>
      <c r="S1426" s="1">
        <v>769</v>
      </c>
      <c r="T1426" s="1">
        <v>788</v>
      </c>
    </row>
    <row r="1427" spans="1:20" ht="21" customHeight="1">
      <c r="A1427" s="8">
        <v>46259</v>
      </c>
      <c r="B1427" s="1" t="s">
        <v>34</v>
      </c>
      <c r="C1427" s="1" t="s">
        <v>90</v>
      </c>
      <c r="D1427" s="7">
        <v>6400</v>
      </c>
      <c r="E1427" s="7">
        <v>6600</v>
      </c>
      <c r="F1427" s="7">
        <v>6800</v>
      </c>
      <c r="G1427" s="7">
        <f>'Option source'!B698</f>
        <v>133.02000000000001</v>
      </c>
      <c r="H1427" s="7">
        <f>'Option source'!B717</f>
        <v>188.16</v>
      </c>
      <c r="I1427" s="7">
        <f>'Option source'!B736</f>
        <v>251.5</v>
      </c>
      <c r="J1427" s="7">
        <f t="shared" si="154"/>
        <v>8.2000000000000171</v>
      </c>
      <c r="K1427" s="7">
        <f t="shared" si="155"/>
        <v>200</v>
      </c>
      <c r="L1427" s="7">
        <f t="shared" si="156"/>
        <v>191.79999999999998</v>
      </c>
      <c r="M1427" s="7">
        <f t="shared" si="157"/>
        <v>8.2000000000000171</v>
      </c>
      <c r="N1427" s="7">
        <f t="shared" si="158"/>
        <v>6408.2</v>
      </c>
      <c r="O1427" s="7">
        <f t="shared" si="159"/>
        <v>6791.8</v>
      </c>
      <c r="P1427" s="15">
        <f t="shared" si="160"/>
        <v>23.390243902438975</v>
      </c>
      <c r="Q1427" s="7">
        <f>J1427*'Model inputs'!$B$8</f>
        <v>820.00000000000171</v>
      </c>
      <c r="R1427" s="1" t="s">
        <v>162</v>
      </c>
      <c r="S1427" s="1">
        <v>693</v>
      </c>
      <c r="T1427" s="1">
        <v>712</v>
      </c>
    </row>
    <row r="1428" spans="1:20" ht="21" customHeight="1">
      <c r="A1428" s="8">
        <v>46259</v>
      </c>
      <c r="B1428" s="1" t="s">
        <v>34</v>
      </c>
      <c r="C1428" s="1" t="s">
        <v>87</v>
      </c>
      <c r="D1428" s="7">
        <v>7400</v>
      </c>
      <c r="E1428" s="7">
        <v>7600</v>
      </c>
      <c r="F1428" s="7">
        <v>7800</v>
      </c>
      <c r="G1428" s="7">
        <f>'Option source'!B299</f>
        <v>414.81</v>
      </c>
      <c r="H1428" s="7">
        <f>'Option source'!B318</f>
        <v>334.73</v>
      </c>
      <c r="I1428" s="7">
        <f>'Option source'!B337</f>
        <v>267.97000000000003</v>
      </c>
      <c r="J1428" s="7">
        <f t="shared" si="154"/>
        <v>13.319999999999993</v>
      </c>
      <c r="K1428" s="7">
        <f t="shared" si="155"/>
        <v>200</v>
      </c>
      <c r="L1428" s="7">
        <f t="shared" si="156"/>
        <v>186.68</v>
      </c>
      <c r="M1428" s="7">
        <f t="shared" si="157"/>
        <v>13.319999999999993</v>
      </c>
      <c r="N1428" s="7">
        <f t="shared" si="158"/>
        <v>7413.32</v>
      </c>
      <c r="O1428" s="7">
        <f t="shared" si="159"/>
        <v>7786.68</v>
      </c>
      <c r="P1428" s="15">
        <f t="shared" si="160"/>
        <v>14.015015015015022</v>
      </c>
      <c r="Q1428" s="7">
        <f>J1428*'Model inputs'!$B$8</f>
        <v>1331.9999999999993</v>
      </c>
      <c r="R1428" s="1" t="s">
        <v>162</v>
      </c>
      <c r="S1428" s="1">
        <v>294</v>
      </c>
      <c r="T1428" s="1">
        <v>313</v>
      </c>
    </row>
    <row r="1429" spans="1:20" ht="21" customHeight="1">
      <c r="A1429" s="8">
        <v>46259</v>
      </c>
      <c r="B1429" s="1" t="s">
        <v>34</v>
      </c>
      <c r="C1429" s="1" t="s">
        <v>90</v>
      </c>
      <c r="D1429" s="7">
        <v>6200</v>
      </c>
      <c r="E1429" s="7">
        <v>6400</v>
      </c>
      <c r="F1429" s="7">
        <v>6600</v>
      </c>
      <c r="G1429" s="7">
        <f>'Option source'!B679</f>
        <v>90.81</v>
      </c>
      <c r="H1429" s="7">
        <f>'Option source'!B698</f>
        <v>133.02000000000001</v>
      </c>
      <c r="I1429" s="7">
        <f>'Option source'!B717</f>
        <v>188.16</v>
      </c>
      <c r="J1429" s="7">
        <f t="shared" si="154"/>
        <v>12.929999999999978</v>
      </c>
      <c r="K1429" s="7">
        <f t="shared" si="155"/>
        <v>200</v>
      </c>
      <c r="L1429" s="7">
        <f t="shared" si="156"/>
        <v>187.07000000000002</v>
      </c>
      <c r="M1429" s="7">
        <f t="shared" si="157"/>
        <v>12.929999999999978</v>
      </c>
      <c r="N1429" s="7">
        <f t="shared" si="158"/>
        <v>6212.93</v>
      </c>
      <c r="O1429" s="7">
        <f t="shared" si="159"/>
        <v>6587.07</v>
      </c>
      <c r="P1429" s="15">
        <f t="shared" si="160"/>
        <v>14.467904098994612</v>
      </c>
      <c r="Q1429" s="7">
        <f>J1429*'Model inputs'!$B$8</f>
        <v>1292.9999999999977</v>
      </c>
      <c r="R1429" s="1" t="s">
        <v>162</v>
      </c>
      <c r="S1429" s="1">
        <v>674</v>
      </c>
      <c r="T1429" s="1">
        <v>693</v>
      </c>
    </row>
    <row r="1430" spans="1:20" ht="21" customHeight="1">
      <c r="A1430" s="8">
        <v>46259</v>
      </c>
      <c r="B1430" s="1" t="s">
        <v>34</v>
      </c>
      <c r="C1430" s="1" t="s">
        <v>87</v>
      </c>
      <c r="D1430" s="7">
        <v>7600</v>
      </c>
      <c r="E1430" s="7">
        <v>7800</v>
      </c>
      <c r="F1430" s="7">
        <v>8000</v>
      </c>
      <c r="G1430" s="7">
        <f>'Option source'!B318</f>
        <v>334.73</v>
      </c>
      <c r="H1430" s="7">
        <f>'Option source'!B337</f>
        <v>267.97000000000003</v>
      </c>
      <c r="I1430" s="7">
        <f>'Option source'!B356</f>
        <v>217.29</v>
      </c>
      <c r="J1430" s="7">
        <f t="shared" si="154"/>
        <v>16.079999999999956</v>
      </c>
      <c r="K1430" s="7">
        <f t="shared" si="155"/>
        <v>200</v>
      </c>
      <c r="L1430" s="7">
        <f t="shared" si="156"/>
        <v>183.92000000000004</v>
      </c>
      <c r="M1430" s="7">
        <f t="shared" si="157"/>
        <v>16.079999999999956</v>
      </c>
      <c r="N1430" s="7">
        <f t="shared" si="158"/>
        <v>7616.08</v>
      </c>
      <c r="O1430" s="7">
        <f t="shared" si="159"/>
        <v>7983.92</v>
      </c>
      <c r="P1430" s="15">
        <f t="shared" si="160"/>
        <v>11.437810945273666</v>
      </c>
      <c r="Q1430" s="7">
        <f>J1430*'Model inputs'!$B$8</f>
        <v>1607.9999999999955</v>
      </c>
      <c r="R1430" s="1" t="s">
        <v>162</v>
      </c>
      <c r="S1430" s="1">
        <v>313</v>
      </c>
      <c r="T1430" s="1">
        <v>332</v>
      </c>
    </row>
    <row r="1431" spans="1:20" ht="21" customHeight="1">
      <c r="A1431" s="8">
        <v>46259</v>
      </c>
      <c r="B1431" s="1" t="s">
        <v>34</v>
      </c>
      <c r="C1431" s="1" t="s">
        <v>90</v>
      </c>
      <c r="D1431" s="7">
        <v>6000</v>
      </c>
      <c r="E1431" s="7">
        <v>6200</v>
      </c>
      <c r="F1431" s="7">
        <v>6400</v>
      </c>
      <c r="G1431" s="7">
        <f>'Option source'!B660</f>
        <v>60.32</v>
      </c>
      <c r="H1431" s="7">
        <f>'Option source'!B679</f>
        <v>90.81</v>
      </c>
      <c r="I1431" s="7">
        <f>'Option source'!B698</f>
        <v>133.02000000000001</v>
      </c>
      <c r="J1431" s="7">
        <f t="shared" si="154"/>
        <v>11.719999999999999</v>
      </c>
      <c r="K1431" s="7">
        <f t="shared" si="155"/>
        <v>200</v>
      </c>
      <c r="L1431" s="7">
        <f t="shared" si="156"/>
        <v>188.28</v>
      </c>
      <c r="M1431" s="7">
        <f t="shared" si="157"/>
        <v>11.719999999999999</v>
      </c>
      <c r="N1431" s="7">
        <f t="shared" si="158"/>
        <v>6011.72</v>
      </c>
      <c r="O1431" s="7">
        <f t="shared" si="159"/>
        <v>6388.28</v>
      </c>
      <c r="P1431" s="15">
        <f t="shared" si="160"/>
        <v>16.064846416382256</v>
      </c>
      <c r="Q1431" s="7">
        <f>J1431*'Model inputs'!$B$8</f>
        <v>1172</v>
      </c>
      <c r="R1431" s="1" t="s">
        <v>162</v>
      </c>
      <c r="S1431" s="1">
        <v>655</v>
      </c>
      <c r="T1431" s="1">
        <v>674</v>
      </c>
    </row>
    <row r="1432" spans="1:20" ht="21" customHeight="1">
      <c r="A1432" s="8">
        <v>46259</v>
      </c>
      <c r="B1432" s="1" t="s">
        <v>34</v>
      </c>
      <c r="C1432" s="1" t="s">
        <v>90</v>
      </c>
      <c r="D1432" s="7">
        <v>5800</v>
      </c>
      <c r="E1432" s="7">
        <v>6000</v>
      </c>
      <c r="F1432" s="7">
        <v>6200</v>
      </c>
      <c r="G1432" s="7">
        <f>'Option source'!B641</f>
        <v>38.97</v>
      </c>
      <c r="H1432" s="7">
        <f>'Option source'!B660</f>
        <v>60.32</v>
      </c>
      <c r="I1432" s="7">
        <f>'Option source'!B679</f>
        <v>90.81</v>
      </c>
      <c r="J1432" s="7">
        <f t="shared" si="154"/>
        <v>9.14</v>
      </c>
      <c r="K1432" s="7">
        <f t="shared" si="155"/>
        <v>200</v>
      </c>
      <c r="L1432" s="7">
        <f t="shared" si="156"/>
        <v>190.86</v>
      </c>
      <c r="M1432" s="7">
        <f t="shared" si="157"/>
        <v>9.14</v>
      </c>
      <c r="N1432" s="7">
        <f t="shared" si="158"/>
        <v>5809.14</v>
      </c>
      <c r="O1432" s="7">
        <f t="shared" si="159"/>
        <v>6190.86</v>
      </c>
      <c r="P1432" s="15">
        <f t="shared" si="160"/>
        <v>20.881838074398249</v>
      </c>
      <c r="Q1432" s="7">
        <f>J1432*'Model inputs'!$B$8</f>
        <v>914</v>
      </c>
      <c r="R1432" s="1" t="s">
        <v>162</v>
      </c>
      <c r="S1432" s="1">
        <v>636</v>
      </c>
      <c r="T1432" s="1">
        <v>655</v>
      </c>
    </row>
    <row r="1433" spans="1:20" ht="21" customHeight="1">
      <c r="A1433" s="8">
        <v>46259</v>
      </c>
      <c r="B1433" s="1" t="s">
        <v>34</v>
      </c>
      <c r="C1433" s="1" t="s">
        <v>87</v>
      </c>
      <c r="D1433" s="7">
        <v>8000</v>
      </c>
      <c r="E1433" s="7">
        <v>8300</v>
      </c>
      <c r="F1433" s="7">
        <v>8600</v>
      </c>
      <c r="G1433" s="7">
        <f>'Option source'!B356</f>
        <v>217.29</v>
      </c>
      <c r="H1433" s="7">
        <f>'Option source'!B375</f>
        <v>152.22999999999999</v>
      </c>
      <c r="I1433" s="7">
        <f>'Option source'!B394</f>
        <v>104.86</v>
      </c>
      <c r="J1433" s="7">
        <f t="shared" si="154"/>
        <v>17.690000000000012</v>
      </c>
      <c r="K1433" s="7">
        <f t="shared" si="155"/>
        <v>300</v>
      </c>
      <c r="L1433" s="7">
        <f t="shared" si="156"/>
        <v>282.31</v>
      </c>
      <c r="M1433" s="7">
        <f t="shared" si="157"/>
        <v>17.690000000000012</v>
      </c>
      <c r="N1433" s="7">
        <f t="shared" si="158"/>
        <v>8017.69</v>
      </c>
      <c r="O1433" s="7">
        <f t="shared" si="159"/>
        <v>8582.31</v>
      </c>
      <c r="P1433" s="15">
        <f t="shared" si="160"/>
        <v>15.958733747880148</v>
      </c>
      <c r="Q1433" s="7">
        <f>J1433*'Model inputs'!$B$8</f>
        <v>1769.0000000000011</v>
      </c>
      <c r="R1433" s="1" t="s">
        <v>162</v>
      </c>
      <c r="S1433" s="1">
        <v>351</v>
      </c>
      <c r="T1433" s="1">
        <v>370</v>
      </c>
    </row>
    <row r="1434" spans="1:20" ht="21" customHeight="1">
      <c r="A1434" s="8">
        <v>46259</v>
      </c>
      <c r="B1434" s="1" t="s">
        <v>34</v>
      </c>
      <c r="C1434" s="1" t="s">
        <v>90</v>
      </c>
      <c r="D1434" s="7">
        <v>5600</v>
      </c>
      <c r="E1434" s="7">
        <v>5800</v>
      </c>
      <c r="F1434" s="7">
        <v>6000</v>
      </c>
      <c r="G1434" s="7">
        <f>'Option source'!B622</f>
        <v>24.16</v>
      </c>
      <c r="H1434" s="7">
        <f>'Option source'!B641</f>
        <v>38.97</v>
      </c>
      <c r="I1434" s="7">
        <f>'Option source'!B660</f>
        <v>60.32</v>
      </c>
      <c r="J1434" s="7">
        <f t="shared" si="154"/>
        <v>6.5399999999999991</v>
      </c>
      <c r="K1434" s="7">
        <f t="shared" si="155"/>
        <v>200</v>
      </c>
      <c r="L1434" s="7">
        <f t="shared" si="156"/>
        <v>193.46</v>
      </c>
      <c r="M1434" s="7">
        <f t="shared" si="157"/>
        <v>6.5399999999999991</v>
      </c>
      <c r="N1434" s="7">
        <f t="shared" si="158"/>
        <v>5606.54</v>
      </c>
      <c r="O1434" s="7">
        <f t="shared" si="159"/>
        <v>5993.46</v>
      </c>
      <c r="P1434" s="15">
        <f t="shared" si="160"/>
        <v>29.581039755351686</v>
      </c>
      <c r="Q1434" s="7">
        <f>J1434*'Model inputs'!$B$8</f>
        <v>653.99999999999989</v>
      </c>
      <c r="R1434" s="1" t="s">
        <v>162</v>
      </c>
      <c r="S1434" s="1">
        <v>617</v>
      </c>
      <c r="T1434" s="1">
        <v>636</v>
      </c>
    </row>
    <row r="1435" spans="1:20" ht="21" customHeight="1">
      <c r="A1435" s="8">
        <v>46259</v>
      </c>
      <c r="B1435" s="1" t="s">
        <v>34</v>
      </c>
      <c r="C1435" s="1" t="s">
        <v>90</v>
      </c>
      <c r="D1435" s="7">
        <v>5400</v>
      </c>
      <c r="E1435" s="7">
        <v>5600</v>
      </c>
      <c r="F1435" s="7">
        <v>5800</v>
      </c>
      <c r="G1435" s="7">
        <f>'Option source'!B603</f>
        <v>15.88</v>
      </c>
      <c r="H1435" s="7">
        <f>'Option source'!B622</f>
        <v>24.16</v>
      </c>
      <c r="I1435" s="7">
        <f>'Option source'!B641</f>
        <v>38.97</v>
      </c>
      <c r="J1435" s="7">
        <f t="shared" si="154"/>
        <v>6.5300000000000011</v>
      </c>
      <c r="K1435" s="7">
        <f t="shared" si="155"/>
        <v>200</v>
      </c>
      <c r="L1435" s="7">
        <f t="shared" si="156"/>
        <v>193.47</v>
      </c>
      <c r="M1435" s="7">
        <f t="shared" si="157"/>
        <v>6.5300000000000011</v>
      </c>
      <c r="N1435" s="7">
        <f t="shared" si="158"/>
        <v>5406.53</v>
      </c>
      <c r="O1435" s="7">
        <f t="shared" si="159"/>
        <v>5793.47</v>
      </c>
      <c r="P1435" s="15">
        <f t="shared" si="160"/>
        <v>29.627871362940269</v>
      </c>
      <c r="Q1435" s="7">
        <f>J1435*'Model inputs'!$B$8</f>
        <v>653.00000000000011</v>
      </c>
      <c r="R1435" s="1" t="s">
        <v>162</v>
      </c>
      <c r="S1435" s="1">
        <v>598</v>
      </c>
      <c r="T1435" s="1">
        <v>617</v>
      </c>
    </row>
    <row r="1436" spans="1:20" ht="21" customHeight="1">
      <c r="A1436" s="8">
        <v>46259</v>
      </c>
      <c r="B1436" s="1" t="s">
        <v>34</v>
      </c>
      <c r="C1436" s="1" t="s">
        <v>87</v>
      </c>
      <c r="D1436" s="7">
        <v>8300</v>
      </c>
      <c r="E1436" s="7">
        <v>8600</v>
      </c>
      <c r="F1436" s="7">
        <v>8900</v>
      </c>
      <c r="G1436" s="7">
        <f>'Option source'!B375</f>
        <v>152.22999999999999</v>
      </c>
      <c r="H1436" s="7">
        <f>'Option source'!B394</f>
        <v>104.86</v>
      </c>
      <c r="I1436" s="7">
        <f>'Option source'!B413</f>
        <v>65.33</v>
      </c>
      <c r="J1436" s="7">
        <f t="shared" si="154"/>
        <v>7.8399999999999892</v>
      </c>
      <c r="K1436" s="7">
        <f t="shared" si="155"/>
        <v>300</v>
      </c>
      <c r="L1436" s="7">
        <f t="shared" si="156"/>
        <v>292.16000000000003</v>
      </c>
      <c r="M1436" s="7">
        <f t="shared" si="157"/>
        <v>7.8399999999999892</v>
      </c>
      <c r="N1436" s="7">
        <f t="shared" si="158"/>
        <v>8307.84</v>
      </c>
      <c r="O1436" s="7">
        <f t="shared" si="159"/>
        <v>8892.16</v>
      </c>
      <c r="P1436" s="15">
        <f t="shared" si="160"/>
        <v>37.265306122449033</v>
      </c>
      <c r="Q1436" s="7">
        <f>J1436*'Model inputs'!$B$8</f>
        <v>783.99999999999886</v>
      </c>
      <c r="R1436" s="1" t="s">
        <v>162</v>
      </c>
      <c r="S1436" s="1">
        <v>370</v>
      </c>
      <c r="T1436" s="1">
        <v>389</v>
      </c>
    </row>
    <row r="1437" spans="1:20" ht="21" customHeight="1">
      <c r="A1437" s="8">
        <v>46259</v>
      </c>
      <c r="B1437" s="1" t="s">
        <v>34</v>
      </c>
      <c r="C1437" s="1" t="s">
        <v>90</v>
      </c>
      <c r="D1437" s="7">
        <v>5200</v>
      </c>
      <c r="E1437" s="7">
        <v>5400</v>
      </c>
      <c r="F1437" s="7">
        <v>5600</v>
      </c>
      <c r="G1437" s="7">
        <f>'Option source'!B584</f>
        <v>10.52</v>
      </c>
      <c r="H1437" s="7">
        <f>'Option source'!B603</f>
        <v>15.88</v>
      </c>
      <c r="I1437" s="7">
        <f>'Option source'!B622</f>
        <v>24.16</v>
      </c>
      <c r="J1437" s="7">
        <f t="shared" si="154"/>
        <v>2.9199999999999982</v>
      </c>
      <c r="K1437" s="7">
        <f t="shared" si="155"/>
        <v>200</v>
      </c>
      <c r="L1437" s="7">
        <f t="shared" si="156"/>
        <v>197.08</v>
      </c>
      <c r="M1437" s="7">
        <f t="shared" si="157"/>
        <v>2.9199999999999982</v>
      </c>
      <c r="N1437" s="7">
        <f t="shared" si="158"/>
        <v>5202.92</v>
      </c>
      <c r="O1437" s="7">
        <f t="shared" si="159"/>
        <v>5597.08</v>
      </c>
      <c r="P1437" s="15">
        <f t="shared" si="160"/>
        <v>67.49315068493155</v>
      </c>
      <c r="Q1437" s="7">
        <f>J1437*'Model inputs'!$B$8</f>
        <v>291.99999999999983</v>
      </c>
      <c r="R1437" s="1" t="s">
        <v>162</v>
      </c>
      <c r="S1437" s="1">
        <v>579</v>
      </c>
      <c r="T1437" s="1">
        <v>598</v>
      </c>
    </row>
    <row r="1438" spans="1:20" ht="21" customHeight="1">
      <c r="A1438" s="8">
        <v>46259</v>
      </c>
      <c r="B1438" s="1" t="s">
        <v>34</v>
      </c>
      <c r="C1438" s="1" t="s">
        <v>87</v>
      </c>
      <c r="D1438" s="7">
        <v>8600</v>
      </c>
      <c r="E1438" s="7">
        <v>8900</v>
      </c>
      <c r="F1438" s="7">
        <v>9200</v>
      </c>
      <c r="G1438" s="7">
        <f>'Option source'!B394</f>
        <v>104.86</v>
      </c>
      <c r="H1438" s="7">
        <f>'Option source'!B413</f>
        <v>65.33</v>
      </c>
      <c r="I1438" s="7">
        <f>'Option source'!B432</f>
        <v>45.53</v>
      </c>
      <c r="J1438" s="7">
        <f t="shared" si="154"/>
        <v>19.730000000000004</v>
      </c>
      <c r="K1438" s="7">
        <f t="shared" si="155"/>
        <v>300</v>
      </c>
      <c r="L1438" s="7">
        <f t="shared" si="156"/>
        <v>280.27</v>
      </c>
      <c r="M1438" s="7">
        <f t="shared" si="157"/>
        <v>19.730000000000004</v>
      </c>
      <c r="N1438" s="7">
        <f t="shared" si="158"/>
        <v>8619.73</v>
      </c>
      <c r="O1438" s="7">
        <f t="shared" si="159"/>
        <v>9180.27</v>
      </c>
      <c r="P1438" s="15">
        <f t="shared" si="160"/>
        <v>14.205271160669028</v>
      </c>
      <c r="Q1438" s="7">
        <f>J1438*'Model inputs'!$B$8</f>
        <v>1973.0000000000005</v>
      </c>
      <c r="R1438" s="1" t="s">
        <v>162</v>
      </c>
      <c r="S1438" s="1">
        <v>389</v>
      </c>
      <c r="T1438" s="1">
        <v>408</v>
      </c>
    </row>
    <row r="1439" spans="1:20" ht="21" customHeight="1">
      <c r="A1439" s="8">
        <v>46259</v>
      </c>
      <c r="B1439" s="1" t="s">
        <v>34</v>
      </c>
      <c r="C1439" s="1" t="s">
        <v>90</v>
      </c>
      <c r="D1439" s="7">
        <v>5000</v>
      </c>
      <c r="E1439" s="7">
        <v>5200</v>
      </c>
      <c r="F1439" s="7">
        <v>5400</v>
      </c>
      <c r="G1439" s="7">
        <f>'Option source'!B565</f>
        <v>7.17</v>
      </c>
      <c r="H1439" s="7">
        <f>'Option source'!B584</f>
        <v>10.52</v>
      </c>
      <c r="I1439" s="7">
        <f>'Option source'!B603</f>
        <v>15.88</v>
      </c>
      <c r="J1439" s="7">
        <f t="shared" si="154"/>
        <v>2.0100000000000016</v>
      </c>
      <c r="K1439" s="7">
        <f t="shared" si="155"/>
        <v>200</v>
      </c>
      <c r="L1439" s="7">
        <f t="shared" si="156"/>
        <v>197.99</v>
      </c>
      <c r="M1439" s="7">
        <f t="shared" si="157"/>
        <v>2.0100000000000016</v>
      </c>
      <c r="N1439" s="7">
        <f t="shared" si="158"/>
        <v>5002.01</v>
      </c>
      <c r="O1439" s="7">
        <f t="shared" si="159"/>
        <v>5397.99</v>
      </c>
      <c r="P1439" s="15">
        <f t="shared" si="160"/>
        <v>98.502487562188989</v>
      </c>
      <c r="Q1439" s="7">
        <f>J1439*'Model inputs'!$B$8</f>
        <v>201.00000000000017</v>
      </c>
      <c r="R1439" s="1" t="s">
        <v>162</v>
      </c>
      <c r="S1439" s="1">
        <v>560</v>
      </c>
      <c r="T1439" s="1">
        <v>579</v>
      </c>
    </row>
    <row r="1440" spans="1:20" ht="21" customHeight="1">
      <c r="A1440" s="8">
        <v>46259</v>
      </c>
      <c r="B1440" s="1" t="s">
        <v>34</v>
      </c>
      <c r="C1440" s="1" t="s">
        <v>90</v>
      </c>
      <c r="D1440" s="7">
        <v>4800</v>
      </c>
      <c r="E1440" s="7">
        <v>5000</v>
      </c>
      <c r="F1440" s="7">
        <v>5200</v>
      </c>
      <c r="G1440" s="7">
        <f>'Option source'!B546</f>
        <v>4.7</v>
      </c>
      <c r="H1440" s="7">
        <f>'Option source'!B565</f>
        <v>7.17</v>
      </c>
      <c r="I1440" s="7">
        <f>'Option source'!B584</f>
        <v>10.52</v>
      </c>
      <c r="J1440" s="7">
        <f t="shared" si="154"/>
        <v>0.87999999999999901</v>
      </c>
      <c r="K1440" s="7">
        <f t="shared" si="155"/>
        <v>200</v>
      </c>
      <c r="L1440" s="7">
        <f t="shared" si="156"/>
        <v>199.12</v>
      </c>
      <c r="M1440" s="7">
        <f t="shared" si="157"/>
        <v>0.87999999999999901</v>
      </c>
      <c r="N1440" s="7">
        <f t="shared" si="158"/>
        <v>4800.88</v>
      </c>
      <c r="O1440" s="7">
        <f t="shared" si="159"/>
        <v>5199.12</v>
      </c>
      <c r="P1440" s="15">
        <f t="shared" si="160"/>
        <v>226.27272727272754</v>
      </c>
      <c r="Q1440" s="7">
        <f>J1440*'Model inputs'!$B$8</f>
        <v>87.999999999999901</v>
      </c>
      <c r="R1440" s="1" t="s">
        <v>162</v>
      </c>
      <c r="S1440" s="1">
        <v>541</v>
      </c>
      <c r="T1440" s="1">
        <v>560</v>
      </c>
    </row>
    <row r="1441" spans="1:20" ht="21" customHeight="1">
      <c r="A1441" s="8">
        <v>46259</v>
      </c>
      <c r="B1441" s="1" t="s">
        <v>34</v>
      </c>
      <c r="C1441" s="1" t="s">
        <v>87</v>
      </c>
      <c r="D1441" s="7">
        <v>8900</v>
      </c>
      <c r="E1441" s="7">
        <v>9200</v>
      </c>
      <c r="F1441" s="7">
        <v>9500</v>
      </c>
      <c r="G1441" s="7">
        <f>'Option source'!B413</f>
        <v>65.33</v>
      </c>
      <c r="H1441" s="7">
        <f>'Option source'!B432</f>
        <v>45.53</v>
      </c>
      <c r="I1441" s="7">
        <f>'Option source'!B451</f>
        <v>28.95</v>
      </c>
      <c r="J1441" s="7">
        <f t="shared" si="154"/>
        <v>3.2199999999999953</v>
      </c>
      <c r="K1441" s="7">
        <f t="shared" si="155"/>
        <v>300</v>
      </c>
      <c r="L1441" s="7">
        <f t="shared" si="156"/>
        <v>296.78000000000003</v>
      </c>
      <c r="M1441" s="7">
        <f t="shared" si="157"/>
        <v>3.2199999999999953</v>
      </c>
      <c r="N1441" s="7">
        <f t="shared" si="158"/>
        <v>8903.2199999999993</v>
      </c>
      <c r="O1441" s="7">
        <f t="shared" si="159"/>
        <v>9496.7800000000007</v>
      </c>
      <c r="P1441" s="15">
        <f t="shared" si="160"/>
        <v>92.167701863354182</v>
      </c>
      <c r="Q1441" s="7">
        <f>J1441*'Model inputs'!$B$8</f>
        <v>321.99999999999955</v>
      </c>
      <c r="R1441" s="1" t="s">
        <v>162</v>
      </c>
      <c r="S1441" s="1">
        <v>408</v>
      </c>
      <c r="T1441" s="1">
        <v>427</v>
      </c>
    </row>
    <row r="1442" spans="1:20" ht="21" customHeight="1">
      <c r="A1442" s="8">
        <v>46259</v>
      </c>
      <c r="B1442" s="1" t="s">
        <v>34</v>
      </c>
      <c r="C1442" s="1" t="s">
        <v>90</v>
      </c>
      <c r="D1442" s="7">
        <v>4600</v>
      </c>
      <c r="E1442" s="7">
        <v>4800</v>
      </c>
      <c r="F1442" s="7">
        <v>5000</v>
      </c>
      <c r="G1442" s="7">
        <f>'Option source'!B527</f>
        <v>3.47</v>
      </c>
      <c r="H1442" s="7">
        <f>'Option source'!B546</f>
        <v>4.7</v>
      </c>
      <c r="I1442" s="7">
        <f>'Option source'!B565</f>
        <v>7.17</v>
      </c>
      <c r="J1442" s="7">
        <f t="shared" si="154"/>
        <v>1.2400000000000002</v>
      </c>
      <c r="K1442" s="7">
        <f t="shared" si="155"/>
        <v>200</v>
      </c>
      <c r="L1442" s="7">
        <f t="shared" si="156"/>
        <v>198.76</v>
      </c>
      <c r="M1442" s="7">
        <f t="shared" si="157"/>
        <v>1.2400000000000002</v>
      </c>
      <c r="N1442" s="7">
        <f t="shared" si="158"/>
        <v>4601.24</v>
      </c>
      <c r="O1442" s="7">
        <f t="shared" si="159"/>
        <v>4998.76</v>
      </c>
      <c r="P1442" s="15">
        <f t="shared" si="160"/>
        <v>160.29032258064512</v>
      </c>
      <c r="Q1442" s="7">
        <f>J1442*'Model inputs'!$B$8</f>
        <v>124.00000000000003</v>
      </c>
      <c r="R1442" s="1" t="s">
        <v>162</v>
      </c>
      <c r="S1442" s="1">
        <v>522</v>
      </c>
      <c r="T1442" s="1">
        <v>541</v>
      </c>
    </row>
    <row r="1443" spans="1:20" ht="21" customHeight="1">
      <c r="A1443" s="8">
        <v>46259</v>
      </c>
      <c r="B1443" s="1" t="s">
        <v>34</v>
      </c>
      <c r="C1443" s="1" t="s">
        <v>90</v>
      </c>
      <c r="D1443" s="7">
        <v>4400</v>
      </c>
      <c r="E1443" s="7">
        <v>4600</v>
      </c>
      <c r="F1443" s="7">
        <v>4800</v>
      </c>
      <c r="G1443" s="7">
        <f>'Option source'!B508</f>
        <v>3.02</v>
      </c>
      <c r="H1443" s="7">
        <f>'Option source'!B527</f>
        <v>3.47</v>
      </c>
      <c r="I1443" s="7">
        <f>'Option source'!B546</f>
        <v>4.7</v>
      </c>
      <c r="J1443" s="7">
        <f t="shared" si="154"/>
        <v>0.7799999999999998</v>
      </c>
      <c r="K1443" s="7">
        <f t="shared" si="155"/>
        <v>200</v>
      </c>
      <c r="L1443" s="7">
        <f t="shared" si="156"/>
        <v>199.22</v>
      </c>
      <c r="M1443" s="7">
        <f t="shared" si="157"/>
        <v>0.7799999999999998</v>
      </c>
      <c r="N1443" s="7">
        <f t="shared" si="158"/>
        <v>4400.78</v>
      </c>
      <c r="O1443" s="7">
        <f t="shared" si="159"/>
        <v>4799.22</v>
      </c>
      <c r="P1443" s="15">
        <f t="shared" si="160"/>
        <v>255.41025641025647</v>
      </c>
      <c r="Q1443" s="7">
        <f>J1443*'Model inputs'!$B$8</f>
        <v>77.999999999999986</v>
      </c>
      <c r="R1443" s="1" t="s">
        <v>162</v>
      </c>
      <c r="S1443" s="1">
        <v>503</v>
      </c>
      <c r="T1443" s="1">
        <v>522</v>
      </c>
    </row>
    <row r="1444" spans="1:20" ht="21" customHeight="1">
      <c r="A1444" s="8">
        <v>46259</v>
      </c>
      <c r="B1444" s="1" t="s">
        <v>34</v>
      </c>
      <c r="C1444" s="1" t="s">
        <v>87</v>
      </c>
      <c r="D1444" s="7">
        <v>6400</v>
      </c>
      <c r="E1444" s="7">
        <v>6600</v>
      </c>
      <c r="F1444" s="7">
        <v>6800</v>
      </c>
      <c r="G1444" s="7">
        <f>'Option source'!B204</f>
        <v>982.67</v>
      </c>
      <c r="H1444" s="7">
        <f>'Option source'!B223</f>
        <v>852.31</v>
      </c>
      <c r="I1444" s="7">
        <f>'Option source'!B242</f>
        <v>720.8</v>
      </c>
      <c r="J1444" s="7">
        <f t="shared" si="154"/>
        <v>-1.1499999999999773</v>
      </c>
      <c r="K1444" s="7">
        <f t="shared" si="155"/>
        <v>200</v>
      </c>
      <c r="L1444" s="7">
        <f t="shared" si="156"/>
        <v>201.14999999999998</v>
      </c>
      <c r="M1444" s="7">
        <f t="shared" si="157"/>
        <v>0</v>
      </c>
      <c r="N1444" s="7" t="str">
        <f t="shared" si="158"/>
        <v>n.a.</v>
      </c>
      <c r="O1444" s="7" t="str">
        <f t="shared" si="159"/>
        <v>n.a.</v>
      </c>
      <c r="P1444" s="15" t="str">
        <f t="shared" si="160"/>
        <v>n.a.</v>
      </c>
      <c r="Q1444" s="7">
        <f>J1444*'Model inputs'!$B$8</f>
        <v>-114.99999999999773</v>
      </c>
      <c r="R1444" s="1" t="s">
        <v>163</v>
      </c>
      <c r="S1444" s="1">
        <v>199</v>
      </c>
      <c r="T1444" s="1">
        <v>218</v>
      </c>
    </row>
    <row r="1445" spans="1:20" ht="21" customHeight="1">
      <c r="A1445" s="8">
        <v>46259</v>
      </c>
      <c r="B1445" s="1" t="s">
        <v>34</v>
      </c>
      <c r="C1445" s="1" t="s">
        <v>90</v>
      </c>
      <c r="D1445" s="7">
        <v>7400</v>
      </c>
      <c r="E1445" s="7">
        <v>7600</v>
      </c>
      <c r="F1445" s="7">
        <v>7800</v>
      </c>
      <c r="G1445" s="7">
        <f>'Option source'!B793</f>
        <v>535.79999999999995</v>
      </c>
      <c r="H1445" s="7">
        <f>'Option source'!B812</f>
        <v>660</v>
      </c>
      <c r="I1445" s="7">
        <f>'Option source'!B831</f>
        <v>771</v>
      </c>
      <c r="J1445" s="7">
        <f t="shared" si="154"/>
        <v>-13.200000000000045</v>
      </c>
      <c r="K1445" s="7">
        <f t="shared" si="155"/>
        <v>200</v>
      </c>
      <c r="L1445" s="7">
        <f t="shared" si="156"/>
        <v>213.20000000000005</v>
      </c>
      <c r="M1445" s="7">
        <f t="shared" si="157"/>
        <v>0</v>
      </c>
      <c r="N1445" s="7" t="str">
        <f t="shared" si="158"/>
        <v>n.a.</v>
      </c>
      <c r="O1445" s="7" t="str">
        <f t="shared" si="159"/>
        <v>n.a.</v>
      </c>
      <c r="P1445" s="15" t="str">
        <f t="shared" si="160"/>
        <v>n.a.</v>
      </c>
      <c r="Q1445" s="7">
        <f>J1445*'Model inputs'!$B$8</f>
        <v>-1320.0000000000045</v>
      </c>
      <c r="R1445" s="1" t="s">
        <v>163</v>
      </c>
      <c r="S1445" s="1">
        <v>788</v>
      </c>
      <c r="T1445" s="1">
        <v>807</v>
      </c>
    </row>
    <row r="1446" spans="1:20" ht="21" customHeight="1">
      <c r="A1446" s="8">
        <v>46259</v>
      </c>
      <c r="B1446" s="1" t="s">
        <v>34</v>
      </c>
      <c r="C1446" s="1" t="s">
        <v>87</v>
      </c>
      <c r="D1446" s="7">
        <v>6200</v>
      </c>
      <c r="E1446" s="7">
        <v>6400</v>
      </c>
      <c r="F1446" s="7">
        <v>6600</v>
      </c>
      <c r="G1446" s="7">
        <f>'Option source'!B185</f>
        <v>1000</v>
      </c>
      <c r="H1446" s="7">
        <f>'Option source'!B204</f>
        <v>982.67</v>
      </c>
      <c r="I1446" s="7">
        <f>'Option source'!B223</f>
        <v>852.31</v>
      </c>
      <c r="J1446" s="7">
        <f t="shared" si="154"/>
        <v>-113.02999999999997</v>
      </c>
      <c r="K1446" s="7">
        <f t="shared" si="155"/>
        <v>200</v>
      </c>
      <c r="L1446" s="7">
        <f t="shared" si="156"/>
        <v>313.02999999999997</v>
      </c>
      <c r="M1446" s="7">
        <f t="shared" si="157"/>
        <v>0</v>
      </c>
      <c r="N1446" s="7" t="str">
        <f t="shared" si="158"/>
        <v>n.a.</v>
      </c>
      <c r="O1446" s="7" t="str">
        <f t="shared" si="159"/>
        <v>n.a.</v>
      </c>
      <c r="P1446" s="15" t="str">
        <f t="shared" si="160"/>
        <v>n.a.</v>
      </c>
      <c r="Q1446" s="7">
        <f>J1446*'Model inputs'!$B$8</f>
        <v>-11302.999999999996</v>
      </c>
      <c r="R1446" s="1" t="s">
        <v>163</v>
      </c>
      <c r="S1446" s="1">
        <v>180</v>
      </c>
      <c r="T1446" s="1">
        <v>199</v>
      </c>
    </row>
    <row r="1447" spans="1:20" ht="21" customHeight="1">
      <c r="A1447" s="8">
        <v>46259</v>
      </c>
      <c r="B1447" s="1" t="s">
        <v>34</v>
      </c>
      <c r="C1447" s="1" t="s">
        <v>90</v>
      </c>
      <c r="D1447" s="7">
        <v>7600</v>
      </c>
      <c r="E1447" s="7">
        <v>7800</v>
      </c>
      <c r="F1447" s="7">
        <v>8000</v>
      </c>
      <c r="G1447" s="7">
        <f>'Option source'!B812</f>
        <v>660</v>
      </c>
      <c r="H1447" s="7">
        <f>'Option source'!B831</f>
        <v>771</v>
      </c>
      <c r="I1447" s="7">
        <f>'Option source'!B850</f>
        <v>1024</v>
      </c>
      <c r="J1447" s="7">
        <f t="shared" si="154"/>
        <v>142</v>
      </c>
      <c r="K1447" s="7">
        <f t="shared" si="155"/>
        <v>200</v>
      </c>
      <c r="L1447" s="7">
        <f t="shared" si="156"/>
        <v>58</v>
      </c>
      <c r="M1447" s="7">
        <f t="shared" si="157"/>
        <v>142</v>
      </c>
      <c r="N1447" s="7">
        <f t="shared" si="158"/>
        <v>7742</v>
      </c>
      <c r="O1447" s="7">
        <f t="shared" si="159"/>
        <v>7858</v>
      </c>
      <c r="P1447" s="15">
        <f t="shared" si="160"/>
        <v>0.40845070422535212</v>
      </c>
      <c r="Q1447" s="7">
        <f>J1447*'Model inputs'!$B$8</f>
        <v>14200</v>
      </c>
      <c r="R1447" s="1" t="s">
        <v>164</v>
      </c>
      <c r="S1447" s="1">
        <v>807</v>
      </c>
      <c r="T1447" s="1">
        <v>826</v>
      </c>
    </row>
    <row r="1448" spans="1:20" ht="21" customHeight="1">
      <c r="A1448" s="8">
        <v>46259</v>
      </c>
      <c r="B1448" s="1" t="s">
        <v>34</v>
      </c>
      <c r="C1448" s="1" t="s">
        <v>87</v>
      </c>
      <c r="D1448" s="7">
        <v>6000</v>
      </c>
      <c r="E1448" s="7">
        <v>6200</v>
      </c>
      <c r="F1448" s="7">
        <v>6400</v>
      </c>
      <c r="G1448" s="7">
        <f>'Option source'!B166</f>
        <v>1200</v>
      </c>
      <c r="H1448" s="7">
        <f>'Option source'!B185</f>
        <v>1000</v>
      </c>
      <c r="I1448" s="7">
        <f>'Option source'!B204</f>
        <v>982.67</v>
      </c>
      <c r="J1448" s="7">
        <f t="shared" si="154"/>
        <v>182.66999999999996</v>
      </c>
      <c r="K1448" s="7">
        <f t="shared" si="155"/>
        <v>200</v>
      </c>
      <c r="L1448" s="7">
        <f t="shared" si="156"/>
        <v>17.330000000000041</v>
      </c>
      <c r="M1448" s="7">
        <f t="shared" si="157"/>
        <v>182.66999999999996</v>
      </c>
      <c r="N1448" s="7">
        <f t="shared" si="158"/>
        <v>6182.67</v>
      </c>
      <c r="O1448" s="7">
        <f t="shared" si="159"/>
        <v>6217.33</v>
      </c>
      <c r="P1448" s="15">
        <f t="shared" si="160"/>
        <v>9.4870531559643312E-2</v>
      </c>
      <c r="Q1448" s="7">
        <f>J1448*'Model inputs'!$B$8</f>
        <v>18266.999999999996</v>
      </c>
      <c r="R1448" s="1" t="s">
        <v>164</v>
      </c>
      <c r="S1448" s="1">
        <v>161</v>
      </c>
      <c r="T1448" s="1">
        <v>180</v>
      </c>
    </row>
    <row r="1449" spans="1:20" ht="21" customHeight="1">
      <c r="A1449" s="8">
        <v>46259</v>
      </c>
      <c r="B1449" s="1" t="s">
        <v>34</v>
      </c>
      <c r="C1449" s="1" t="s">
        <v>90</v>
      </c>
      <c r="D1449" s="7">
        <v>8000</v>
      </c>
      <c r="E1449" s="7">
        <v>8300</v>
      </c>
      <c r="F1449" s="7">
        <v>8600</v>
      </c>
      <c r="G1449" s="7">
        <f>'Option source'!B850</f>
        <v>1024</v>
      </c>
      <c r="H1449" s="7">
        <f>'Option source'!B869</f>
        <v>1176.8399999999999</v>
      </c>
      <c r="I1449" s="7">
        <f>'Option source'!B888</f>
        <v>1460</v>
      </c>
      <c r="J1449" s="7">
        <f t="shared" si="154"/>
        <v>130.32000000000016</v>
      </c>
      <c r="K1449" s="7">
        <f t="shared" si="155"/>
        <v>300</v>
      </c>
      <c r="L1449" s="7">
        <f t="shared" si="156"/>
        <v>169.67999999999984</v>
      </c>
      <c r="M1449" s="7">
        <f t="shared" si="157"/>
        <v>130.32000000000016</v>
      </c>
      <c r="N1449" s="7">
        <f t="shared" si="158"/>
        <v>8130.32</v>
      </c>
      <c r="O1449" s="7">
        <f t="shared" si="159"/>
        <v>8469.68</v>
      </c>
      <c r="P1449" s="15">
        <f t="shared" si="160"/>
        <v>1.3020257826887631</v>
      </c>
      <c r="Q1449" s="7">
        <f>J1449*'Model inputs'!$B$8</f>
        <v>13032.000000000016</v>
      </c>
      <c r="R1449" s="1" t="s">
        <v>164</v>
      </c>
      <c r="S1449" s="1">
        <v>845</v>
      </c>
      <c r="T1449" s="1">
        <v>864</v>
      </c>
    </row>
    <row r="1450" spans="1:20" ht="21" customHeight="1">
      <c r="A1450" s="8">
        <v>46259</v>
      </c>
      <c r="B1450" s="1" t="s">
        <v>34</v>
      </c>
      <c r="C1450" s="1" t="s">
        <v>87</v>
      </c>
      <c r="D1450" s="7">
        <v>5200</v>
      </c>
      <c r="E1450" s="7">
        <v>5400</v>
      </c>
      <c r="F1450" s="7">
        <v>5600</v>
      </c>
      <c r="G1450" s="7">
        <f>'Option source'!B100</f>
        <v>1953.12</v>
      </c>
      <c r="H1450" s="7">
        <f>'Option source'!B119</f>
        <v>1752.86</v>
      </c>
      <c r="I1450" s="7">
        <f>'Option source'!B137</f>
        <v>1550.9</v>
      </c>
      <c r="J1450" s="7">
        <f t="shared" si="154"/>
        <v>-1.6999999999998181</v>
      </c>
      <c r="K1450" s="7">
        <f t="shared" si="155"/>
        <v>200</v>
      </c>
      <c r="L1450" s="7">
        <f t="shared" si="156"/>
        <v>201.69999999999982</v>
      </c>
      <c r="M1450" s="7">
        <f t="shared" si="157"/>
        <v>0</v>
      </c>
      <c r="N1450" s="7" t="str">
        <f t="shared" si="158"/>
        <v>n.a.</v>
      </c>
      <c r="O1450" s="7" t="str">
        <f t="shared" si="159"/>
        <v>n.a.</v>
      </c>
      <c r="P1450" s="15" t="str">
        <f t="shared" si="160"/>
        <v>n.a.</v>
      </c>
      <c r="Q1450" s="7">
        <f>J1450*'Model inputs'!$B$8</f>
        <v>-169.99999999998181</v>
      </c>
      <c r="R1450" s="1" t="s">
        <v>163</v>
      </c>
      <c r="S1450" s="1">
        <v>95</v>
      </c>
      <c r="T1450" s="1">
        <v>114</v>
      </c>
    </row>
    <row r="1451" spans="1:20" ht="21" customHeight="1">
      <c r="A1451" s="8">
        <v>46259</v>
      </c>
      <c r="B1451" s="1" t="s">
        <v>34</v>
      </c>
      <c r="C1451" s="1" t="s">
        <v>87</v>
      </c>
      <c r="D1451" s="7">
        <v>5000</v>
      </c>
      <c r="E1451" s="7">
        <v>5200</v>
      </c>
      <c r="F1451" s="7">
        <v>5400</v>
      </c>
      <c r="G1451" s="7">
        <f>'Option source'!B81</f>
        <v>2100</v>
      </c>
      <c r="H1451" s="7">
        <f>'Option source'!B100</f>
        <v>1953.12</v>
      </c>
      <c r="I1451" s="7">
        <f>'Option source'!B119</f>
        <v>1752.86</v>
      </c>
      <c r="J1451" s="7">
        <f t="shared" si="154"/>
        <v>-53.379999999999882</v>
      </c>
      <c r="K1451" s="7">
        <f t="shared" si="155"/>
        <v>200</v>
      </c>
      <c r="L1451" s="7">
        <f t="shared" si="156"/>
        <v>253.37999999999988</v>
      </c>
      <c r="M1451" s="7">
        <f t="shared" si="157"/>
        <v>0</v>
      </c>
      <c r="N1451" s="7" t="str">
        <f t="shared" si="158"/>
        <v>n.a.</v>
      </c>
      <c r="O1451" s="7" t="str">
        <f t="shared" si="159"/>
        <v>n.a.</v>
      </c>
      <c r="P1451" s="15" t="str">
        <f t="shared" si="160"/>
        <v>n.a.</v>
      </c>
      <c r="Q1451" s="7">
        <f>J1451*'Model inputs'!$B$8</f>
        <v>-5337.9999999999882</v>
      </c>
      <c r="R1451" s="1" t="s">
        <v>163</v>
      </c>
      <c r="S1451" s="1">
        <v>76</v>
      </c>
      <c r="T1451" s="1">
        <v>95</v>
      </c>
    </row>
    <row r="1452" spans="1:20" ht="21" customHeight="1">
      <c r="A1452" s="8">
        <v>46259</v>
      </c>
      <c r="B1452" s="1" t="s">
        <v>34</v>
      </c>
      <c r="C1452" s="1" t="s">
        <v>87</v>
      </c>
      <c r="D1452" s="7">
        <v>4800</v>
      </c>
      <c r="E1452" s="7">
        <v>5000</v>
      </c>
      <c r="F1452" s="7">
        <v>5200</v>
      </c>
      <c r="G1452" s="7">
        <f>'Option source'!B64</f>
        <v>2280</v>
      </c>
      <c r="H1452" s="7">
        <f>'Option source'!B81</f>
        <v>2100</v>
      </c>
      <c r="I1452" s="7">
        <f>'Option source'!B100</f>
        <v>1953.12</v>
      </c>
      <c r="J1452" s="7">
        <f t="shared" si="154"/>
        <v>33.119999999999891</v>
      </c>
      <c r="K1452" s="7">
        <f t="shared" si="155"/>
        <v>200</v>
      </c>
      <c r="L1452" s="7">
        <f t="shared" si="156"/>
        <v>166.88000000000011</v>
      </c>
      <c r="M1452" s="7">
        <f t="shared" si="157"/>
        <v>33.119999999999891</v>
      </c>
      <c r="N1452" s="7">
        <f t="shared" si="158"/>
        <v>4833.12</v>
      </c>
      <c r="O1452" s="7">
        <f t="shared" si="159"/>
        <v>5166.88</v>
      </c>
      <c r="P1452" s="15">
        <f t="shared" si="160"/>
        <v>5.0386473429951888</v>
      </c>
      <c r="Q1452" s="7">
        <f>J1452*'Model inputs'!$B$8</f>
        <v>3311.9999999999891</v>
      </c>
      <c r="R1452" s="1" t="s">
        <v>164</v>
      </c>
      <c r="S1452" s="1">
        <v>59</v>
      </c>
      <c r="T1452" s="1">
        <v>76</v>
      </c>
    </row>
    <row r="1453" spans="1:20" ht="21" customHeight="1">
      <c r="A1453" s="8">
        <v>46259</v>
      </c>
      <c r="B1453" s="1" t="s">
        <v>34</v>
      </c>
      <c r="C1453" s="1" t="s">
        <v>87</v>
      </c>
      <c r="D1453" s="7">
        <v>4600</v>
      </c>
      <c r="E1453" s="7">
        <v>4800</v>
      </c>
      <c r="F1453" s="7">
        <v>5000</v>
      </c>
      <c r="G1453" s="7">
        <f>'Option source'!B47</f>
        <v>2493.23</v>
      </c>
      <c r="H1453" s="7">
        <f>'Option source'!B64</f>
        <v>2280</v>
      </c>
      <c r="I1453" s="7">
        <f>'Option source'!B81</f>
        <v>2100</v>
      </c>
      <c r="J1453" s="7">
        <f t="shared" si="154"/>
        <v>33.230000000000018</v>
      </c>
      <c r="K1453" s="7">
        <f t="shared" si="155"/>
        <v>200</v>
      </c>
      <c r="L1453" s="7">
        <f t="shared" si="156"/>
        <v>166.76999999999998</v>
      </c>
      <c r="M1453" s="7">
        <f t="shared" si="157"/>
        <v>33.230000000000018</v>
      </c>
      <c r="N1453" s="7">
        <f t="shared" si="158"/>
        <v>4633.2299999999996</v>
      </c>
      <c r="O1453" s="7">
        <f t="shared" si="159"/>
        <v>4966.7700000000004</v>
      </c>
      <c r="P1453" s="15">
        <f t="shared" si="160"/>
        <v>5.0186578393018326</v>
      </c>
      <c r="Q1453" s="7">
        <f>J1453*'Model inputs'!$B$8</f>
        <v>3323.0000000000018</v>
      </c>
      <c r="R1453" s="1" t="s">
        <v>164</v>
      </c>
      <c r="S1453" s="1">
        <v>42</v>
      </c>
      <c r="T1453" s="1">
        <v>59</v>
      </c>
    </row>
    <row r="1454" spans="1:20" ht="21" customHeight="1">
      <c r="A1454" s="8">
        <v>46259</v>
      </c>
      <c r="B1454" s="1" t="s">
        <v>34</v>
      </c>
      <c r="C1454" s="1" t="s">
        <v>87</v>
      </c>
      <c r="D1454" s="7">
        <v>4400</v>
      </c>
      <c r="E1454" s="7">
        <v>4600</v>
      </c>
      <c r="F1454" s="7">
        <v>4800</v>
      </c>
      <c r="G1454" s="7">
        <f>'Option source'!B28</f>
        <v>2387.12</v>
      </c>
      <c r="H1454" s="7">
        <f>'Option source'!B47</f>
        <v>2493.23</v>
      </c>
      <c r="I1454" s="7">
        <f>'Option source'!B64</f>
        <v>2280</v>
      </c>
      <c r="J1454" s="7">
        <f t="shared" si="154"/>
        <v>-319.34000000000015</v>
      </c>
      <c r="K1454" s="7">
        <f t="shared" si="155"/>
        <v>200</v>
      </c>
      <c r="L1454" s="7">
        <f t="shared" si="156"/>
        <v>519.34000000000015</v>
      </c>
      <c r="M1454" s="7">
        <f t="shared" si="157"/>
        <v>0</v>
      </c>
      <c r="N1454" s="7" t="str">
        <f t="shared" si="158"/>
        <v>n.a.</v>
      </c>
      <c r="O1454" s="7" t="str">
        <f t="shared" si="159"/>
        <v>n.a.</v>
      </c>
      <c r="P1454" s="15" t="str">
        <f t="shared" si="160"/>
        <v>n.a.</v>
      </c>
      <c r="Q1454" s="7">
        <f>J1454*'Model inputs'!$B$8</f>
        <v>-31934.000000000015</v>
      </c>
      <c r="R1454" s="1" t="s">
        <v>163</v>
      </c>
      <c r="S1454" s="1">
        <v>23</v>
      </c>
      <c r="T1454" s="1">
        <v>42</v>
      </c>
    </row>
    <row r="1455" spans="1:20" ht="21" customHeight="1">
      <c r="A1455" s="8">
        <v>46259</v>
      </c>
      <c r="B1455" s="1" t="s">
        <v>34</v>
      </c>
      <c r="C1455" s="1" t="s">
        <v>87</v>
      </c>
      <c r="D1455" s="7">
        <v>4200</v>
      </c>
      <c r="E1455" s="7">
        <v>4400</v>
      </c>
      <c r="F1455" s="7">
        <v>4600</v>
      </c>
      <c r="G1455" s="7">
        <f>'Option source'!B9</f>
        <v>2865.46</v>
      </c>
      <c r="H1455" s="7">
        <f>'Option source'!B28</f>
        <v>2387.12</v>
      </c>
      <c r="I1455" s="7">
        <f>'Option source'!B47</f>
        <v>2493.23</v>
      </c>
      <c r="J1455" s="7">
        <f t="shared" si="154"/>
        <v>584.45000000000027</v>
      </c>
      <c r="K1455" s="7">
        <f t="shared" si="155"/>
        <v>200</v>
      </c>
      <c r="L1455" s="7">
        <f t="shared" si="156"/>
        <v>-384.45000000000027</v>
      </c>
      <c r="M1455" s="7">
        <f t="shared" si="157"/>
        <v>584.45000000000027</v>
      </c>
      <c r="N1455" s="7" t="str">
        <f t="shared" si="158"/>
        <v>n.a.</v>
      </c>
      <c r="O1455" s="7" t="str">
        <f t="shared" si="159"/>
        <v>n.a.</v>
      </c>
      <c r="P1455" s="15" t="str">
        <f t="shared" si="160"/>
        <v>n.a.</v>
      </c>
      <c r="Q1455" s="7">
        <f>J1455*'Model inputs'!$B$8</f>
        <v>58445.000000000029</v>
      </c>
      <c r="R1455" s="1" t="s">
        <v>163</v>
      </c>
      <c r="S1455" s="1">
        <v>4</v>
      </c>
      <c r="T1455" s="1">
        <v>23</v>
      </c>
    </row>
    <row r="1456" spans="1:20" ht="21" customHeight="1">
      <c r="A1456" s="8">
        <v>46259</v>
      </c>
      <c r="B1456" s="1" t="s">
        <v>34</v>
      </c>
      <c r="C1456" s="1" t="s">
        <v>90</v>
      </c>
      <c r="D1456" s="7">
        <v>4200</v>
      </c>
      <c r="E1456" s="7">
        <v>4400</v>
      </c>
      <c r="F1456" s="7">
        <v>4600</v>
      </c>
      <c r="G1456" s="7">
        <f>'Option source'!B489</f>
        <v>2.46</v>
      </c>
      <c r="H1456" s="7">
        <f>'Option source'!B508</f>
        <v>3.02</v>
      </c>
      <c r="I1456" s="7">
        <f>'Option source'!B527</f>
        <v>3.47</v>
      </c>
      <c r="J1456" s="7">
        <f t="shared" si="154"/>
        <v>-0.10999999999999988</v>
      </c>
      <c r="K1456" s="7">
        <f t="shared" si="155"/>
        <v>200</v>
      </c>
      <c r="L1456" s="7">
        <f t="shared" si="156"/>
        <v>200.11</v>
      </c>
      <c r="M1456" s="7">
        <f t="shared" si="157"/>
        <v>0</v>
      </c>
      <c r="N1456" s="7" t="str">
        <f t="shared" si="158"/>
        <v>n.a.</v>
      </c>
      <c r="O1456" s="7" t="str">
        <f t="shared" si="159"/>
        <v>n.a.</v>
      </c>
      <c r="P1456" s="15" t="str">
        <f t="shared" si="160"/>
        <v>n.a.</v>
      </c>
      <c r="Q1456" s="7">
        <f>J1456*'Model inputs'!$B$8</f>
        <v>-10.999999999999988</v>
      </c>
      <c r="R1456" s="1" t="s">
        <v>163</v>
      </c>
      <c r="S1456" s="1">
        <v>484</v>
      </c>
      <c r="T1456" s="1">
        <v>503</v>
      </c>
    </row>
    <row r="1457" spans="1:20" ht="21" customHeight="1">
      <c r="A1457" s="8">
        <v>46259</v>
      </c>
      <c r="B1457" s="1" t="s">
        <v>36</v>
      </c>
      <c r="C1457" s="1" t="s">
        <v>87</v>
      </c>
      <c r="D1457" s="7">
        <v>6800</v>
      </c>
      <c r="E1457" s="7">
        <v>7000</v>
      </c>
      <c r="F1457" s="7"/>
      <c r="G1457" s="7">
        <f>'Option source'!B242</f>
        <v>720.8</v>
      </c>
      <c r="H1457" s="7">
        <f>'Option source'!B261</f>
        <v>604.66</v>
      </c>
      <c r="I1457" s="7"/>
      <c r="J1457" s="7">
        <f t="shared" si="154"/>
        <v>-488.52</v>
      </c>
      <c r="K1457" s="7">
        <f t="shared" si="155"/>
        <v>200</v>
      </c>
      <c r="L1457" s="7">
        <f t="shared" si="156"/>
        <v>688.52</v>
      </c>
      <c r="M1457" s="7" t="str">
        <f t="shared" si="157"/>
        <v>Unlimited</v>
      </c>
      <c r="N1457" s="7" t="str">
        <f t="shared" si="158"/>
        <v>n.a.</v>
      </c>
      <c r="O1457" s="7">
        <f t="shared" si="159"/>
        <v>7688.52</v>
      </c>
      <c r="P1457" s="15" t="str">
        <f t="shared" si="160"/>
        <v>n.a.</v>
      </c>
      <c r="Q1457" s="7">
        <f>J1457*'Model inputs'!$B$8</f>
        <v>-48852</v>
      </c>
      <c r="R1457" s="1" t="s">
        <v>162</v>
      </c>
      <c r="S1457" s="1">
        <v>237</v>
      </c>
      <c r="T1457" s="1">
        <v>256</v>
      </c>
    </row>
    <row r="1458" spans="1:20" ht="21" customHeight="1">
      <c r="A1458" s="8">
        <v>46259</v>
      </c>
      <c r="B1458" s="1" t="s">
        <v>36</v>
      </c>
      <c r="C1458" s="1" t="s">
        <v>90</v>
      </c>
      <c r="D1458" s="7">
        <v>7200</v>
      </c>
      <c r="E1458" s="7">
        <v>7000</v>
      </c>
      <c r="F1458" s="7"/>
      <c r="G1458" s="7">
        <f>'Option source'!B774</f>
        <v>428.03</v>
      </c>
      <c r="H1458" s="7">
        <f>'Option source'!B755</f>
        <v>333.44</v>
      </c>
      <c r="I1458" s="7"/>
      <c r="J1458" s="7">
        <f t="shared" si="154"/>
        <v>-238.85000000000002</v>
      </c>
      <c r="K1458" s="7">
        <f t="shared" si="155"/>
        <v>200</v>
      </c>
      <c r="L1458" s="7">
        <f t="shared" si="156"/>
        <v>438.85</v>
      </c>
      <c r="M1458" s="7">
        <f t="shared" si="157"/>
        <v>6561.15</v>
      </c>
      <c r="N1458" s="7">
        <f t="shared" si="158"/>
        <v>6561.15</v>
      </c>
      <c r="O1458" s="7" t="str">
        <f t="shared" si="159"/>
        <v>n.a.</v>
      </c>
      <c r="P1458" s="15" t="str">
        <f t="shared" si="160"/>
        <v>n.a.</v>
      </c>
      <c r="Q1458" s="7">
        <f>J1458*'Model inputs'!$B$8</f>
        <v>-23885.000000000004</v>
      </c>
      <c r="R1458" s="1" t="s">
        <v>162</v>
      </c>
      <c r="S1458" s="1">
        <v>769</v>
      </c>
      <c r="T1458" s="1">
        <v>750</v>
      </c>
    </row>
    <row r="1459" spans="1:20" ht="21" customHeight="1">
      <c r="A1459" s="8">
        <v>46259</v>
      </c>
      <c r="B1459" s="1" t="s">
        <v>36</v>
      </c>
      <c r="C1459" s="1" t="s">
        <v>87</v>
      </c>
      <c r="D1459" s="7">
        <v>7000</v>
      </c>
      <c r="E1459" s="7">
        <v>7200</v>
      </c>
      <c r="F1459" s="7"/>
      <c r="G1459" s="7">
        <f>'Option source'!B261</f>
        <v>604.66</v>
      </c>
      <c r="H1459" s="7">
        <f>'Option source'!B280</f>
        <v>501.24</v>
      </c>
      <c r="I1459" s="7"/>
      <c r="J1459" s="7">
        <f t="shared" si="154"/>
        <v>-397.82000000000005</v>
      </c>
      <c r="K1459" s="7">
        <f t="shared" si="155"/>
        <v>200</v>
      </c>
      <c r="L1459" s="7">
        <f t="shared" si="156"/>
        <v>597.82000000000005</v>
      </c>
      <c r="M1459" s="7" t="str">
        <f t="shared" si="157"/>
        <v>Unlimited</v>
      </c>
      <c r="N1459" s="7" t="str">
        <f t="shared" si="158"/>
        <v>n.a.</v>
      </c>
      <c r="O1459" s="7">
        <f t="shared" si="159"/>
        <v>7797.82</v>
      </c>
      <c r="P1459" s="15" t="str">
        <f t="shared" si="160"/>
        <v>n.a.</v>
      </c>
      <c r="Q1459" s="7">
        <f>J1459*'Model inputs'!$B$8</f>
        <v>-39782.000000000007</v>
      </c>
      <c r="R1459" s="1" t="s">
        <v>162</v>
      </c>
      <c r="S1459" s="1">
        <v>256</v>
      </c>
      <c r="T1459" s="1">
        <v>275</v>
      </c>
    </row>
    <row r="1460" spans="1:20" ht="21" customHeight="1">
      <c r="A1460" s="8">
        <v>46259</v>
      </c>
      <c r="B1460" s="1" t="s">
        <v>36</v>
      </c>
      <c r="C1460" s="1" t="s">
        <v>90</v>
      </c>
      <c r="D1460" s="7">
        <v>7400</v>
      </c>
      <c r="E1460" s="7">
        <v>7200</v>
      </c>
      <c r="F1460" s="7"/>
      <c r="G1460" s="7">
        <f>'Option source'!B793</f>
        <v>535.79999999999995</v>
      </c>
      <c r="H1460" s="7">
        <f>'Option source'!B774</f>
        <v>428.03</v>
      </c>
      <c r="I1460" s="7"/>
      <c r="J1460" s="7">
        <f t="shared" si="154"/>
        <v>-320.26</v>
      </c>
      <c r="K1460" s="7">
        <f t="shared" si="155"/>
        <v>200</v>
      </c>
      <c r="L1460" s="7">
        <f t="shared" si="156"/>
        <v>520.26</v>
      </c>
      <c r="M1460" s="7">
        <f t="shared" si="157"/>
        <v>6679.74</v>
      </c>
      <c r="N1460" s="7">
        <f t="shared" si="158"/>
        <v>6679.74</v>
      </c>
      <c r="O1460" s="7" t="str">
        <f t="shared" si="159"/>
        <v>n.a.</v>
      </c>
      <c r="P1460" s="15" t="str">
        <f t="shared" si="160"/>
        <v>n.a.</v>
      </c>
      <c r="Q1460" s="7">
        <f>J1460*'Model inputs'!$B$8</f>
        <v>-32026</v>
      </c>
      <c r="R1460" s="1" t="s">
        <v>162</v>
      </c>
      <c r="S1460" s="1">
        <v>788</v>
      </c>
      <c r="T1460" s="1">
        <v>769</v>
      </c>
    </row>
    <row r="1461" spans="1:20" ht="21" customHeight="1">
      <c r="A1461" s="8">
        <v>46259</v>
      </c>
      <c r="B1461" s="1" t="s">
        <v>36</v>
      </c>
      <c r="C1461" s="1" t="s">
        <v>87</v>
      </c>
      <c r="D1461" s="7">
        <v>6600</v>
      </c>
      <c r="E1461" s="7">
        <v>6800</v>
      </c>
      <c r="F1461" s="7"/>
      <c r="G1461" s="7">
        <f>'Option source'!B223</f>
        <v>852.31</v>
      </c>
      <c r="H1461" s="7">
        <f>'Option source'!B242</f>
        <v>720.8</v>
      </c>
      <c r="I1461" s="7"/>
      <c r="J1461" s="7">
        <f t="shared" si="154"/>
        <v>-589.29</v>
      </c>
      <c r="K1461" s="7">
        <f t="shared" si="155"/>
        <v>200</v>
      </c>
      <c r="L1461" s="7">
        <f t="shared" si="156"/>
        <v>789.29</v>
      </c>
      <c r="M1461" s="7" t="str">
        <f t="shared" si="157"/>
        <v>Unlimited</v>
      </c>
      <c r="N1461" s="7" t="str">
        <f t="shared" si="158"/>
        <v>n.a.</v>
      </c>
      <c r="O1461" s="7">
        <f t="shared" si="159"/>
        <v>7589.29</v>
      </c>
      <c r="P1461" s="15" t="str">
        <f t="shared" si="160"/>
        <v>n.a.</v>
      </c>
      <c r="Q1461" s="7">
        <f>J1461*'Model inputs'!$B$8</f>
        <v>-58929</v>
      </c>
      <c r="R1461" s="1" t="s">
        <v>162</v>
      </c>
      <c r="S1461" s="1">
        <v>218</v>
      </c>
      <c r="T1461" s="1">
        <v>237</v>
      </c>
    </row>
    <row r="1462" spans="1:20" ht="21" customHeight="1">
      <c r="A1462" s="8">
        <v>46259</v>
      </c>
      <c r="B1462" s="1" t="s">
        <v>36</v>
      </c>
      <c r="C1462" s="1" t="s">
        <v>90</v>
      </c>
      <c r="D1462" s="7">
        <v>7000</v>
      </c>
      <c r="E1462" s="7">
        <v>6800</v>
      </c>
      <c r="F1462" s="7"/>
      <c r="G1462" s="7">
        <f>'Option source'!B755</f>
        <v>333.44</v>
      </c>
      <c r="H1462" s="7">
        <f>'Option source'!B736</f>
        <v>251.5</v>
      </c>
      <c r="I1462" s="7"/>
      <c r="J1462" s="7">
        <f t="shared" si="154"/>
        <v>-169.56</v>
      </c>
      <c r="K1462" s="7">
        <f t="shared" si="155"/>
        <v>200</v>
      </c>
      <c r="L1462" s="7">
        <f t="shared" si="156"/>
        <v>369.56</v>
      </c>
      <c r="M1462" s="7">
        <f t="shared" si="157"/>
        <v>6430.44</v>
      </c>
      <c r="N1462" s="7">
        <f t="shared" si="158"/>
        <v>6430.44</v>
      </c>
      <c r="O1462" s="7" t="str">
        <f t="shared" si="159"/>
        <v>n.a.</v>
      </c>
      <c r="P1462" s="15" t="str">
        <f t="shared" si="160"/>
        <v>n.a.</v>
      </c>
      <c r="Q1462" s="7">
        <f>J1462*'Model inputs'!$B$8</f>
        <v>-16956</v>
      </c>
      <c r="R1462" s="1" t="s">
        <v>162</v>
      </c>
      <c r="S1462" s="1">
        <v>750</v>
      </c>
      <c r="T1462" s="1">
        <v>731</v>
      </c>
    </row>
    <row r="1463" spans="1:20" ht="21" customHeight="1">
      <c r="A1463" s="8">
        <v>46259</v>
      </c>
      <c r="B1463" s="1" t="s">
        <v>36</v>
      </c>
      <c r="C1463" s="1" t="s">
        <v>87</v>
      </c>
      <c r="D1463" s="7">
        <v>7200</v>
      </c>
      <c r="E1463" s="7">
        <v>7400</v>
      </c>
      <c r="F1463" s="7"/>
      <c r="G1463" s="7">
        <f>'Option source'!B280</f>
        <v>501.24</v>
      </c>
      <c r="H1463" s="7">
        <f>'Option source'!B299</f>
        <v>414.81</v>
      </c>
      <c r="I1463" s="7"/>
      <c r="J1463" s="7">
        <f t="shared" si="154"/>
        <v>-328.38</v>
      </c>
      <c r="K1463" s="7">
        <f t="shared" si="155"/>
        <v>200</v>
      </c>
      <c r="L1463" s="7">
        <f t="shared" si="156"/>
        <v>528.38</v>
      </c>
      <c r="M1463" s="7" t="str">
        <f t="shared" si="157"/>
        <v>Unlimited</v>
      </c>
      <c r="N1463" s="7" t="str">
        <f t="shared" si="158"/>
        <v>n.a.</v>
      </c>
      <c r="O1463" s="7">
        <f t="shared" si="159"/>
        <v>7928.38</v>
      </c>
      <c r="P1463" s="15" t="str">
        <f t="shared" si="160"/>
        <v>n.a.</v>
      </c>
      <c r="Q1463" s="7">
        <f>J1463*'Model inputs'!$B$8</f>
        <v>-32838</v>
      </c>
      <c r="R1463" s="1" t="s">
        <v>162</v>
      </c>
      <c r="S1463" s="1">
        <v>275</v>
      </c>
      <c r="T1463" s="1">
        <v>294</v>
      </c>
    </row>
    <row r="1464" spans="1:20" ht="21" customHeight="1">
      <c r="A1464" s="8">
        <v>46259</v>
      </c>
      <c r="B1464" s="1" t="s">
        <v>36</v>
      </c>
      <c r="C1464" s="1" t="s">
        <v>90</v>
      </c>
      <c r="D1464" s="7">
        <v>7600</v>
      </c>
      <c r="E1464" s="7">
        <v>7400</v>
      </c>
      <c r="F1464" s="7"/>
      <c r="G1464" s="7">
        <f>'Option source'!B812</f>
        <v>660</v>
      </c>
      <c r="H1464" s="7">
        <f>'Option source'!B793</f>
        <v>535.79999999999995</v>
      </c>
      <c r="I1464" s="7"/>
      <c r="J1464" s="7">
        <f t="shared" si="154"/>
        <v>-411.59999999999991</v>
      </c>
      <c r="K1464" s="7">
        <f t="shared" si="155"/>
        <v>200</v>
      </c>
      <c r="L1464" s="7">
        <f t="shared" si="156"/>
        <v>611.59999999999991</v>
      </c>
      <c r="M1464" s="7">
        <f t="shared" si="157"/>
        <v>6788.4</v>
      </c>
      <c r="N1464" s="7">
        <f t="shared" si="158"/>
        <v>6788.4</v>
      </c>
      <c r="O1464" s="7" t="str">
        <f t="shared" si="159"/>
        <v>n.a.</v>
      </c>
      <c r="P1464" s="15" t="str">
        <f t="shared" si="160"/>
        <v>n.a.</v>
      </c>
      <c r="Q1464" s="7">
        <f>J1464*'Model inputs'!$B$8</f>
        <v>-41159.999999999993</v>
      </c>
      <c r="R1464" s="1" t="s">
        <v>162</v>
      </c>
      <c r="S1464" s="1">
        <v>807</v>
      </c>
      <c r="T1464" s="1">
        <v>788</v>
      </c>
    </row>
    <row r="1465" spans="1:20" ht="21" customHeight="1">
      <c r="A1465" s="8">
        <v>46259</v>
      </c>
      <c r="B1465" s="1" t="s">
        <v>36</v>
      </c>
      <c r="C1465" s="1" t="s">
        <v>87</v>
      </c>
      <c r="D1465" s="7">
        <v>6400</v>
      </c>
      <c r="E1465" s="7">
        <v>6600</v>
      </c>
      <c r="F1465" s="7"/>
      <c r="G1465" s="7">
        <f>'Option source'!B204</f>
        <v>982.67</v>
      </c>
      <c r="H1465" s="7">
        <f>'Option source'!B223</f>
        <v>852.31</v>
      </c>
      <c r="I1465" s="7"/>
      <c r="J1465" s="7">
        <f t="shared" si="154"/>
        <v>-721.94999999999993</v>
      </c>
      <c r="K1465" s="7">
        <f t="shared" si="155"/>
        <v>200</v>
      </c>
      <c r="L1465" s="7">
        <f t="shared" si="156"/>
        <v>921.94999999999993</v>
      </c>
      <c r="M1465" s="7" t="str">
        <f t="shared" si="157"/>
        <v>Unlimited</v>
      </c>
      <c r="N1465" s="7" t="str">
        <f t="shared" si="158"/>
        <v>n.a.</v>
      </c>
      <c r="O1465" s="7">
        <f t="shared" si="159"/>
        <v>7521.95</v>
      </c>
      <c r="P1465" s="15" t="str">
        <f t="shared" si="160"/>
        <v>n.a.</v>
      </c>
      <c r="Q1465" s="7">
        <f>J1465*'Model inputs'!$B$8</f>
        <v>-72195</v>
      </c>
      <c r="R1465" s="1" t="s">
        <v>162</v>
      </c>
      <c r="S1465" s="1">
        <v>199</v>
      </c>
      <c r="T1465" s="1">
        <v>218</v>
      </c>
    </row>
    <row r="1466" spans="1:20" ht="21" customHeight="1">
      <c r="A1466" s="8">
        <v>46259</v>
      </c>
      <c r="B1466" s="1" t="s">
        <v>36</v>
      </c>
      <c r="C1466" s="1" t="s">
        <v>90</v>
      </c>
      <c r="D1466" s="7">
        <v>6800</v>
      </c>
      <c r="E1466" s="7">
        <v>6600</v>
      </c>
      <c r="F1466" s="7"/>
      <c r="G1466" s="7">
        <f>'Option source'!B736</f>
        <v>251.5</v>
      </c>
      <c r="H1466" s="7">
        <f>'Option source'!B717</f>
        <v>188.16</v>
      </c>
      <c r="I1466" s="7"/>
      <c r="J1466" s="7">
        <f t="shared" si="154"/>
        <v>-124.82</v>
      </c>
      <c r="K1466" s="7">
        <f t="shared" si="155"/>
        <v>200</v>
      </c>
      <c r="L1466" s="7">
        <f t="shared" si="156"/>
        <v>324.82</v>
      </c>
      <c r="M1466" s="7">
        <f t="shared" si="157"/>
        <v>6275.18</v>
      </c>
      <c r="N1466" s="7">
        <f t="shared" si="158"/>
        <v>6275.18</v>
      </c>
      <c r="O1466" s="7" t="str">
        <f t="shared" si="159"/>
        <v>n.a.</v>
      </c>
      <c r="P1466" s="15" t="str">
        <f t="shared" si="160"/>
        <v>n.a.</v>
      </c>
      <c r="Q1466" s="7">
        <f>J1466*'Model inputs'!$B$8</f>
        <v>-12482</v>
      </c>
      <c r="R1466" s="1" t="s">
        <v>162</v>
      </c>
      <c r="S1466" s="1">
        <v>731</v>
      </c>
      <c r="T1466" s="1">
        <v>712</v>
      </c>
    </row>
    <row r="1467" spans="1:20" ht="21" customHeight="1">
      <c r="A1467" s="8">
        <v>46259</v>
      </c>
      <c r="B1467" s="1" t="s">
        <v>36</v>
      </c>
      <c r="C1467" s="1" t="s">
        <v>87</v>
      </c>
      <c r="D1467" s="7">
        <v>7400</v>
      </c>
      <c r="E1467" s="7">
        <v>7600</v>
      </c>
      <c r="F1467" s="7"/>
      <c r="G1467" s="7">
        <f>'Option source'!B299</f>
        <v>414.81</v>
      </c>
      <c r="H1467" s="7">
        <f>'Option source'!B318</f>
        <v>334.73</v>
      </c>
      <c r="I1467" s="7"/>
      <c r="J1467" s="7">
        <f t="shared" si="154"/>
        <v>-254.65000000000003</v>
      </c>
      <c r="K1467" s="7">
        <f t="shared" si="155"/>
        <v>200</v>
      </c>
      <c r="L1467" s="7">
        <f t="shared" si="156"/>
        <v>454.65000000000003</v>
      </c>
      <c r="M1467" s="7" t="str">
        <f t="shared" si="157"/>
        <v>Unlimited</v>
      </c>
      <c r="N1467" s="7" t="str">
        <f t="shared" si="158"/>
        <v>n.a.</v>
      </c>
      <c r="O1467" s="7">
        <f t="shared" si="159"/>
        <v>8054.65</v>
      </c>
      <c r="P1467" s="15" t="str">
        <f t="shared" si="160"/>
        <v>n.a.</v>
      </c>
      <c r="Q1467" s="7">
        <f>J1467*'Model inputs'!$B$8</f>
        <v>-25465.000000000004</v>
      </c>
      <c r="R1467" s="1" t="s">
        <v>162</v>
      </c>
      <c r="S1467" s="1">
        <v>294</v>
      </c>
      <c r="T1467" s="1">
        <v>313</v>
      </c>
    </row>
    <row r="1468" spans="1:20" ht="21" customHeight="1">
      <c r="A1468" s="8">
        <v>46259</v>
      </c>
      <c r="B1468" s="1" t="s">
        <v>36</v>
      </c>
      <c r="C1468" s="1" t="s">
        <v>90</v>
      </c>
      <c r="D1468" s="7">
        <v>6600</v>
      </c>
      <c r="E1468" s="7">
        <v>6400</v>
      </c>
      <c r="F1468" s="7"/>
      <c r="G1468" s="7">
        <f>'Option source'!B717</f>
        <v>188.16</v>
      </c>
      <c r="H1468" s="7">
        <f>'Option source'!B698</f>
        <v>133.02000000000001</v>
      </c>
      <c r="I1468" s="7"/>
      <c r="J1468" s="7">
        <f t="shared" si="154"/>
        <v>-77.880000000000024</v>
      </c>
      <c r="K1468" s="7">
        <f t="shared" si="155"/>
        <v>200</v>
      </c>
      <c r="L1468" s="7">
        <f t="shared" si="156"/>
        <v>277.88</v>
      </c>
      <c r="M1468" s="7">
        <f t="shared" si="157"/>
        <v>6122.12</v>
      </c>
      <c r="N1468" s="7">
        <f t="shared" si="158"/>
        <v>6122.12</v>
      </c>
      <c r="O1468" s="7" t="str">
        <f t="shared" si="159"/>
        <v>n.a.</v>
      </c>
      <c r="P1468" s="15" t="str">
        <f t="shared" si="160"/>
        <v>n.a.</v>
      </c>
      <c r="Q1468" s="7">
        <f>J1468*'Model inputs'!$B$8</f>
        <v>-7788.0000000000027</v>
      </c>
      <c r="R1468" s="1" t="s">
        <v>162</v>
      </c>
      <c r="S1468" s="1">
        <v>712</v>
      </c>
      <c r="T1468" s="1">
        <v>693</v>
      </c>
    </row>
    <row r="1469" spans="1:20" ht="21" customHeight="1">
      <c r="A1469" s="8">
        <v>46259</v>
      </c>
      <c r="B1469" s="1" t="s">
        <v>36</v>
      </c>
      <c r="C1469" s="1" t="s">
        <v>87</v>
      </c>
      <c r="D1469" s="7">
        <v>7600</v>
      </c>
      <c r="E1469" s="7">
        <v>7800</v>
      </c>
      <c r="F1469" s="7"/>
      <c r="G1469" s="7">
        <f>'Option source'!B318</f>
        <v>334.73</v>
      </c>
      <c r="H1469" s="7">
        <f>'Option source'!B337</f>
        <v>267.97000000000003</v>
      </c>
      <c r="I1469" s="7"/>
      <c r="J1469" s="7">
        <f t="shared" si="154"/>
        <v>-201.21000000000004</v>
      </c>
      <c r="K1469" s="7">
        <f t="shared" si="155"/>
        <v>200</v>
      </c>
      <c r="L1469" s="7">
        <f t="shared" si="156"/>
        <v>401.21000000000004</v>
      </c>
      <c r="M1469" s="7" t="str">
        <f t="shared" si="157"/>
        <v>Unlimited</v>
      </c>
      <c r="N1469" s="7" t="str">
        <f t="shared" si="158"/>
        <v>n.a.</v>
      </c>
      <c r="O1469" s="7">
        <f t="shared" si="159"/>
        <v>8201.2099999999991</v>
      </c>
      <c r="P1469" s="15" t="str">
        <f t="shared" si="160"/>
        <v>n.a.</v>
      </c>
      <c r="Q1469" s="7">
        <f>J1469*'Model inputs'!$B$8</f>
        <v>-20121.000000000004</v>
      </c>
      <c r="R1469" s="1" t="s">
        <v>162</v>
      </c>
      <c r="S1469" s="1">
        <v>313</v>
      </c>
      <c r="T1469" s="1">
        <v>332</v>
      </c>
    </row>
    <row r="1470" spans="1:20" ht="21" customHeight="1">
      <c r="A1470" s="8">
        <v>46259</v>
      </c>
      <c r="B1470" s="1" t="s">
        <v>36</v>
      </c>
      <c r="C1470" s="1" t="s">
        <v>90</v>
      </c>
      <c r="D1470" s="7">
        <v>6400</v>
      </c>
      <c r="E1470" s="7">
        <v>6200</v>
      </c>
      <c r="F1470" s="7"/>
      <c r="G1470" s="7">
        <f>'Option source'!B698</f>
        <v>133.02000000000001</v>
      </c>
      <c r="H1470" s="7">
        <f>'Option source'!B679</f>
        <v>90.81</v>
      </c>
      <c r="I1470" s="7"/>
      <c r="J1470" s="7">
        <f t="shared" si="154"/>
        <v>-48.599999999999994</v>
      </c>
      <c r="K1470" s="7">
        <f t="shared" si="155"/>
        <v>200</v>
      </c>
      <c r="L1470" s="7">
        <f t="shared" si="156"/>
        <v>248.6</v>
      </c>
      <c r="M1470" s="7">
        <f t="shared" si="157"/>
        <v>5951.4</v>
      </c>
      <c r="N1470" s="7">
        <f t="shared" si="158"/>
        <v>5951.4</v>
      </c>
      <c r="O1470" s="7" t="str">
        <f t="shared" si="159"/>
        <v>n.a.</v>
      </c>
      <c r="P1470" s="15" t="str">
        <f t="shared" si="160"/>
        <v>n.a.</v>
      </c>
      <c r="Q1470" s="7">
        <f>J1470*'Model inputs'!$B$8</f>
        <v>-4859.9999999999991</v>
      </c>
      <c r="R1470" s="1" t="s">
        <v>162</v>
      </c>
      <c r="S1470" s="1">
        <v>693</v>
      </c>
      <c r="T1470" s="1">
        <v>674</v>
      </c>
    </row>
    <row r="1471" spans="1:20" ht="21" customHeight="1">
      <c r="A1471" s="8">
        <v>46259</v>
      </c>
      <c r="B1471" s="1" t="s">
        <v>36</v>
      </c>
      <c r="C1471" s="1" t="s">
        <v>87</v>
      </c>
      <c r="D1471" s="7">
        <v>7800</v>
      </c>
      <c r="E1471" s="7">
        <v>8000</v>
      </c>
      <c r="F1471" s="7"/>
      <c r="G1471" s="7">
        <f>'Option source'!B337</f>
        <v>267.97000000000003</v>
      </c>
      <c r="H1471" s="7">
        <f>'Option source'!B356</f>
        <v>217.29</v>
      </c>
      <c r="I1471" s="7"/>
      <c r="J1471" s="7">
        <f t="shared" si="154"/>
        <v>-166.60999999999996</v>
      </c>
      <c r="K1471" s="7">
        <f t="shared" si="155"/>
        <v>200</v>
      </c>
      <c r="L1471" s="7">
        <f t="shared" si="156"/>
        <v>366.60999999999996</v>
      </c>
      <c r="M1471" s="7" t="str">
        <f t="shared" si="157"/>
        <v>Unlimited</v>
      </c>
      <c r="N1471" s="7" t="str">
        <f t="shared" si="158"/>
        <v>n.a.</v>
      </c>
      <c r="O1471" s="7">
        <f t="shared" si="159"/>
        <v>8366.61</v>
      </c>
      <c r="P1471" s="15" t="str">
        <f t="shared" si="160"/>
        <v>n.a.</v>
      </c>
      <c r="Q1471" s="7">
        <f>J1471*'Model inputs'!$B$8</f>
        <v>-16660.999999999996</v>
      </c>
      <c r="R1471" s="1" t="s">
        <v>162</v>
      </c>
      <c r="S1471" s="1">
        <v>332</v>
      </c>
      <c r="T1471" s="1">
        <v>351</v>
      </c>
    </row>
    <row r="1472" spans="1:20" ht="21" customHeight="1">
      <c r="A1472" s="8">
        <v>46259</v>
      </c>
      <c r="B1472" s="1" t="s">
        <v>36</v>
      </c>
      <c r="C1472" s="1" t="s">
        <v>90</v>
      </c>
      <c r="D1472" s="7">
        <v>6200</v>
      </c>
      <c r="E1472" s="7">
        <v>6000</v>
      </c>
      <c r="F1472" s="7"/>
      <c r="G1472" s="7">
        <f>'Option source'!B679</f>
        <v>90.81</v>
      </c>
      <c r="H1472" s="7">
        <f>'Option source'!B660</f>
        <v>60.32</v>
      </c>
      <c r="I1472" s="7"/>
      <c r="J1472" s="7">
        <f t="shared" si="154"/>
        <v>-29.83</v>
      </c>
      <c r="K1472" s="7">
        <f t="shared" si="155"/>
        <v>200</v>
      </c>
      <c r="L1472" s="7">
        <f t="shared" si="156"/>
        <v>229.82999999999998</v>
      </c>
      <c r="M1472" s="7">
        <f t="shared" si="157"/>
        <v>5770.17</v>
      </c>
      <c r="N1472" s="7">
        <f t="shared" si="158"/>
        <v>5770.17</v>
      </c>
      <c r="O1472" s="7" t="str">
        <f t="shared" si="159"/>
        <v>n.a.</v>
      </c>
      <c r="P1472" s="15" t="str">
        <f t="shared" si="160"/>
        <v>n.a.</v>
      </c>
      <c r="Q1472" s="7">
        <f>J1472*'Model inputs'!$B$8</f>
        <v>-2983</v>
      </c>
      <c r="R1472" s="1" t="s">
        <v>162</v>
      </c>
      <c r="S1472" s="1">
        <v>674</v>
      </c>
      <c r="T1472" s="1">
        <v>655</v>
      </c>
    </row>
    <row r="1473" spans="1:20" ht="21" customHeight="1">
      <c r="A1473" s="8">
        <v>46259</v>
      </c>
      <c r="B1473" s="1" t="s">
        <v>36</v>
      </c>
      <c r="C1473" s="1" t="s">
        <v>87</v>
      </c>
      <c r="D1473" s="7">
        <v>8000</v>
      </c>
      <c r="E1473" s="7">
        <v>8300</v>
      </c>
      <c r="F1473" s="7"/>
      <c r="G1473" s="7">
        <f>'Option source'!B356</f>
        <v>217.29</v>
      </c>
      <c r="H1473" s="7">
        <f>'Option source'!B375</f>
        <v>152.22999999999999</v>
      </c>
      <c r="I1473" s="7"/>
      <c r="J1473" s="7">
        <f t="shared" si="154"/>
        <v>-87.169999999999987</v>
      </c>
      <c r="K1473" s="7">
        <f t="shared" si="155"/>
        <v>300</v>
      </c>
      <c r="L1473" s="7">
        <f t="shared" si="156"/>
        <v>387.16999999999996</v>
      </c>
      <c r="M1473" s="7" t="str">
        <f t="shared" si="157"/>
        <v>Unlimited</v>
      </c>
      <c r="N1473" s="7" t="str">
        <f t="shared" si="158"/>
        <v>n.a.</v>
      </c>
      <c r="O1473" s="7">
        <f t="shared" si="159"/>
        <v>8687.17</v>
      </c>
      <c r="P1473" s="15" t="str">
        <f t="shared" si="160"/>
        <v>n.a.</v>
      </c>
      <c r="Q1473" s="7">
        <f>J1473*'Model inputs'!$B$8</f>
        <v>-8716.9999999999982</v>
      </c>
      <c r="R1473" s="1" t="s">
        <v>162</v>
      </c>
      <c r="S1473" s="1">
        <v>351</v>
      </c>
      <c r="T1473" s="1">
        <v>370</v>
      </c>
    </row>
    <row r="1474" spans="1:20" ht="21" customHeight="1">
      <c r="A1474" s="8">
        <v>46259</v>
      </c>
      <c r="B1474" s="1" t="s">
        <v>36</v>
      </c>
      <c r="C1474" s="1" t="s">
        <v>90</v>
      </c>
      <c r="D1474" s="7">
        <v>6000</v>
      </c>
      <c r="E1474" s="7">
        <v>5800</v>
      </c>
      <c r="F1474" s="7"/>
      <c r="G1474" s="7">
        <f>'Option source'!B660</f>
        <v>60.32</v>
      </c>
      <c r="H1474" s="7">
        <f>'Option source'!B641</f>
        <v>38.97</v>
      </c>
      <c r="I1474" s="7"/>
      <c r="J1474" s="7">
        <f t="shared" si="154"/>
        <v>-17.619999999999997</v>
      </c>
      <c r="K1474" s="7">
        <f t="shared" si="155"/>
        <v>200</v>
      </c>
      <c r="L1474" s="7">
        <f t="shared" si="156"/>
        <v>217.62</v>
      </c>
      <c r="M1474" s="7">
        <f t="shared" si="157"/>
        <v>5582.38</v>
      </c>
      <c r="N1474" s="7">
        <f t="shared" si="158"/>
        <v>5582.38</v>
      </c>
      <c r="O1474" s="7" t="str">
        <f t="shared" si="159"/>
        <v>n.a.</v>
      </c>
      <c r="P1474" s="15" t="str">
        <f t="shared" si="160"/>
        <v>n.a.</v>
      </c>
      <c r="Q1474" s="7">
        <f>J1474*'Model inputs'!$B$8</f>
        <v>-1761.9999999999998</v>
      </c>
      <c r="R1474" s="1" t="s">
        <v>162</v>
      </c>
      <c r="S1474" s="1">
        <v>655</v>
      </c>
      <c r="T1474" s="1">
        <v>636</v>
      </c>
    </row>
    <row r="1475" spans="1:20" ht="21" customHeight="1">
      <c r="A1475" s="8">
        <v>46259</v>
      </c>
      <c r="B1475" s="1" t="s">
        <v>36</v>
      </c>
      <c r="C1475" s="1" t="s">
        <v>90</v>
      </c>
      <c r="D1475" s="7">
        <v>5800</v>
      </c>
      <c r="E1475" s="7">
        <v>5600</v>
      </c>
      <c r="F1475" s="7"/>
      <c r="G1475" s="7">
        <f>'Option source'!B641</f>
        <v>38.97</v>
      </c>
      <c r="H1475" s="7">
        <f>'Option source'!B622</f>
        <v>24.16</v>
      </c>
      <c r="I1475" s="7"/>
      <c r="J1475" s="7">
        <f t="shared" si="154"/>
        <v>-9.3500000000000014</v>
      </c>
      <c r="K1475" s="7">
        <f t="shared" si="155"/>
        <v>200</v>
      </c>
      <c r="L1475" s="7">
        <f t="shared" si="156"/>
        <v>209.35</v>
      </c>
      <c r="M1475" s="7">
        <f t="shared" si="157"/>
        <v>5390.65</v>
      </c>
      <c r="N1475" s="7">
        <f t="shared" si="158"/>
        <v>5390.65</v>
      </c>
      <c r="O1475" s="7" t="str">
        <f t="shared" si="159"/>
        <v>n.a.</v>
      </c>
      <c r="P1475" s="15" t="str">
        <f t="shared" si="160"/>
        <v>n.a.</v>
      </c>
      <c r="Q1475" s="7">
        <f>J1475*'Model inputs'!$B$8</f>
        <v>-935.00000000000011</v>
      </c>
      <c r="R1475" s="1" t="s">
        <v>162</v>
      </c>
      <c r="S1475" s="1">
        <v>636</v>
      </c>
      <c r="T1475" s="1">
        <v>617</v>
      </c>
    </row>
    <row r="1476" spans="1:20" ht="21" customHeight="1">
      <c r="A1476" s="8">
        <v>46259</v>
      </c>
      <c r="B1476" s="1" t="s">
        <v>36</v>
      </c>
      <c r="C1476" s="1" t="s">
        <v>87</v>
      </c>
      <c r="D1476" s="7">
        <v>8300</v>
      </c>
      <c r="E1476" s="7">
        <v>8600</v>
      </c>
      <c r="F1476" s="7"/>
      <c r="G1476" s="7">
        <f>'Option source'!B375</f>
        <v>152.22999999999999</v>
      </c>
      <c r="H1476" s="7">
        <f>'Option source'!B394</f>
        <v>104.86</v>
      </c>
      <c r="I1476" s="7"/>
      <c r="J1476" s="7">
        <f t="shared" si="154"/>
        <v>-57.490000000000009</v>
      </c>
      <c r="K1476" s="7">
        <f t="shared" si="155"/>
        <v>300</v>
      </c>
      <c r="L1476" s="7">
        <f t="shared" si="156"/>
        <v>357.49</v>
      </c>
      <c r="M1476" s="7" t="str">
        <f t="shared" si="157"/>
        <v>Unlimited</v>
      </c>
      <c r="N1476" s="7" t="str">
        <f t="shared" si="158"/>
        <v>n.a.</v>
      </c>
      <c r="O1476" s="7">
        <f t="shared" si="159"/>
        <v>8957.49</v>
      </c>
      <c r="P1476" s="15" t="str">
        <f t="shared" si="160"/>
        <v>n.a.</v>
      </c>
      <c r="Q1476" s="7">
        <f>J1476*'Model inputs'!$B$8</f>
        <v>-5749.0000000000009</v>
      </c>
      <c r="R1476" s="1" t="s">
        <v>162</v>
      </c>
      <c r="S1476" s="1">
        <v>370</v>
      </c>
      <c r="T1476" s="1">
        <v>389</v>
      </c>
    </row>
    <row r="1477" spans="1:20" ht="21" customHeight="1">
      <c r="A1477" s="8">
        <v>46259</v>
      </c>
      <c r="B1477" s="1" t="s">
        <v>36</v>
      </c>
      <c r="C1477" s="1" t="s">
        <v>90</v>
      </c>
      <c r="D1477" s="7">
        <v>5600</v>
      </c>
      <c r="E1477" s="7">
        <v>5400</v>
      </c>
      <c r="F1477" s="7"/>
      <c r="G1477" s="7">
        <f>'Option source'!B622</f>
        <v>24.16</v>
      </c>
      <c r="H1477" s="7">
        <f>'Option source'!B603</f>
        <v>15.88</v>
      </c>
      <c r="I1477" s="7"/>
      <c r="J1477" s="7">
        <f t="shared" si="154"/>
        <v>-7.6000000000000014</v>
      </c>
      <c r="K1477" s="7">
        <f t="shared" si="155"/>
        <v>200</v>
      </c>
      <c r="L1477" s="7">
        <f t="shared" si="156"/>
        <v>207.6</v>
      </c>
      <c r="M1477" s="7">
        <f t="shared" si="157"/>
        <v>5192.3999999999996</v>
      </c>
      <c r="N1477" s="7">
        <f t="shared" si="158"/>
        <v>5192.3999999999996</v>
      </c>
      <c r="O1477" s="7" t="str">
        <f t="shared" si="159"/>
        <v>n.a.</v>
      </c>
      <c r="P1477" s="15" t="str">
        <f t="shared" si="160"/>
        <v>n.a.</v>
      </c>
      <c r="Q1477" s="7">
        <f>J1477*'Model inputs'!$B$8</f>
        <v>-760.00000000000011</v>
      </c>
      <c r="R1477" s="1" t="s">
        <v>162</v>
      </c>
      <c r="S1477" s="1">
        <v>617</v>
      </c>
      <c r="T1477" s="1">
        <v>598</v>
      </c>
    </row>
    <row r="1478" spans="1:20" ht="21" customHeight="1">
      <c r="A1478" s="8">
        <v>46259</v>
      </c>
      <c r="B1478" s="1" t="s">
        <v>36</v>
      </c>
      <c r="C1478" s="1" t="s">
        <v>87</v>
      </c>
      <c r="D1478" s="7">
        <v>8600</v>
      </c>
      <c r="E1478" s="7">
        <v>8900</v>
      </c>
      <c r="F1478" s="7"/>
      <c r="G1478" s="7">
        <f>'Option source'!B394</f>
        <v>104.86</v>
      </c>
      <c r="H1478" s="7">
        <f>'Option source'!B413</f>
        <v>65.33</v>
      </c>
      <c r="I1478" s="7"/>
      <c r="J1478" s="7">
        <f t="shared" si="154"/>
        <v>-25.799999999999997</v>
      </c>
      <c r="K1478" s="7">
        <f t="shared" si="155"/>
        <v>300</v>
      </c>
      <c r="L1478" s="7">
        <f t="shared" si="156"/>
        <v>325.8</v>
      </c>
      <c r="M1478" s="7" t="str">
        <f t="shared" si="157"/>
        <v>Unlimited</v>
      </c>
      <c r="N1478" s="7" t="str">
        <f t="shared" si="158"/>
        <v>n.a.</v>
      </c>
      <c r="O1478" s="7">
        <f t="shared" si="159"/>
        <v>9225.7999999999993</v>
      </c>
      <c r="P1478" s="15" t="str">
        <f t="shared" si="160"/>
        <v>n.a.</v>
      </c>
      <c r="Q1478" s="7">
        <f>J1478*'Model inputs'!$B$8</f>
        <v>-2579.9999999999995</v>
      </c>
      <c r="R1478" s="1" t="s">
        <v>162</v>
      </c>
      <c r="S1478" s="1">
        <v>389</v>
      </c>
      <c r="T1478" s="1">
        <v>408</v>
      </c>
    </row>
    <row r="1479" spans="1:20" ht="21" customHeight="1">
      <c r="A1479" s="8">
        <v>46259</v>
      </c>
      <c r="B1479" s="1" t="s">
        <v>36</v>
      </c>
      <c r="C1479" s="1" t="s">
        <v>90</v>
      </c>
      <c r="D1479" s="7">
        <v>5400</v>
      </c>
      <c r="E1479" s="7">
        <v>5200</v>
      </c>
      <c r="F1479" s="7"/>
      <c r="G1479" s="7">
        <f>'Option source'!B603</f>
        <v>15.88</v>
      </c>
      <c r="H1479" s="7">
        <f>'Option source'!B584</f>
        <v>10.52</v>
      </c>
      <c r="I1479" s="7"/>
      <c r="J1479" s="7">
        <f t="shared" ref="J1479:J1542" si="161">G1479-2*H1479+IF(B1479="Butterfly",I1479,0)</f>
        <v>-5.1599999999999984</v>
      </c>
      <c r="K1479" s="7">
        <f t="shared" ref="K1479:K1542" si="162">ABS(E1479-D1479)</f>
        <v>200</v>
      </c>
      <c r="L1479" s="7">
        <f t="shared" ref="L1479:L1542" si="163">K1479-J1479</f>
        <v>205.16</v>
      </c>
      <c r="M1479" s="7">
        <f t="shared" ref="M1479:M1542" si="164">IF(B1479="Butterfly",MAX(J1479,0),IF(C1479="call","Unlimited",MAX(2*E1479-D1479+J1479,J1479,0)))</f>
        <v>4994.84</v>
      </c>
      <c r="N1479" s="7">
        <f t="shared" ref="N1479:N1542" si="165">IF(B1479="Butterfly",IF(AND(J1479&gt;0,J1479&lt;K1479),D1479+J1479,"n.a."),IF(C1479="call",IF(AND(J1479&gt;0,J1479&lt;K1479),D1479+J1479,"n.a."),IF(AND(K1479&gt;J1479,2*E1479-D1479+J1479&gt;=0),2*E1479-D1479+J1479,"n.a.")))</f>
        <v>4994.84</v>
      </c>
      <c r="O1479" s="7" t="str">
        <f t="shared" ref="O1479:O1542" si="166">IF(B1479="Butterfly",IF(AND(J1479&gt;0,J1479&lt;K1479),F1479-J1479,"n.a."),IF(C1479="call",IF(K1479&gt;J1479,2*E1479-D1479-J1479,"n.a."),IF(AND(J1479&gt;0,J1479&lt;K1479),D1479-J1479,"n.a.")))</f>
        <v>n.a.</v>
      </c>
      <c r="P1479" s="15" t="str">
        <f t="shared" ref="P1479:P1542" si="167">IF(AND(B1479="Butterfly",J1479&gt;0,J1479&lt;K1479),L1479/J1479,"n.a.")</f>
        <v>n.a.</v>
      </c>
      <c r="Q1479" s="7">
        <f>J1479*'Model inputs'!$B$8</f>
        <v>-515.99999999999989</v>
      </c>
      <c r="R1479" s="1" t="s">
        <v>162</v>
      </c>
      <c r="S1479" s="1">
        <v>598</v>
      </c>
      <c r="T1479" s="1">
        <v>579</v>
      </c>
    </row>
    <row r="1480" spans="1:20" ht="21" customHeight="1">
      <c r="A1480" s="8">
        <v>46259</v>
      </c>
      <c r="B1480" s="1" t="s">
        <v>36</v>
      </c>
      <c r="C1480" s="1" t="s">
        <v>90</v>
      </c>
      <c r="D1480" s="7">
        <v>5200</v>
      </c>
      <c r="E1480" s="7">
        <v>5000</v>
      </c>
      <c r="F1480" s="7"/>
      <c r="G1480" s="7">
        <f>'Option source'!B584</f>
        <v>10.52</v>
      </c>
      <c r="H1480" s="7">
        <f>'Option source'!B565</f>
        <v>7.17</v>
      </c>
      <c r="I1480" s="7"/>
      <c r="J1480" s="7">
        <f t="shared" si="161"/>
        <v>-3.8200000000000003</v>
      </c>
      <c r="K1480" s="7">
        <f t="shared" si="162"/>
        <v>200</v>
      </c>
      <c r="L1480" s="7">
        <f t="shared" si="163"/>
        <v>203.82</v>
      </c>
      <c r="M1480" s="7">
        <f t="shared" si="164"/>
        <v>4796.18</v>
      </c>
      <c r="N1480" s="7">
        <f t="shared" si="165"/>
        <v>4796.18</v>
      </c>
      <c r="O1480" s="7" t="str">
        <f t="shared" si="166"/>
        <v>n.a.</v>
      </c>
      <c r="P1480" s="15" t="str">
        <f t="shared" si="167"/>
        <v>n.a.</v>
      </c>
      <c r="Q1480" s="7">
        <f>J1480*'Model inputs'!$B$8</f>
        <v>-382</v>
      </c>
      <c r="R1480" s="1" t="s">
        <v>162</v>
      </c>
      <c r="S1480" s="1">
        <v>579</v>
      </c>
      <c r="T1480" s="1">
        <v>560</v>
      </c>
    </row>
    <row r="1481" spans="1:20" ht="21" customHeight="1">
      <c r="A1481" s="8">
        <v>46259</v>
      </c>
      <c r="B1481" s="1" t="s">
        <v>36</v>
      </c>
      <c r="C1481" s="1" t="s">
        <v>87</v>
      </c>
      <c r="D1481" s="7">
        <v>8900</v>
      </c>
      <c r="E1481" s="7">
        <v>9200</v>
      </c>
      <c r="F1481" s="7"/>
      <c r="G1481" s="7">
        <f>'Option source'!B413</f>
        <v>65.33</v>
      </c>
      <c r="H1481" s="7">
        <f>'Option source'!B432</f>
        <v>45.53</v>
      </c>
      <c r="I1481" s="7"/>
      <c r="J1481" s="7">
        <f t="shared" si="161"/>
        <v>-25.730000000000004</v>
      </c>
      <c r="K1481" s="7">
        <f t="shared" si="162"/>
        <v>300</v>
      </c>
      <c r="L1481" s="7">
        <f t="shared" si="163"/>
        <v>325.73</v>
      </c>
      <c r="M1481" s="7" t="str">
        <f t="shared" si="164"/>
        <v>Unlimited</v>
      </c>
      <c r="N1481" s="7" t="str">
        <f t="shared" si="165"/>
        <v>n.a.</v>
      </c>
      <c r="O1481" s="7">
        <f t="shared" si="166"/>
        <v>9525.73</v>
      </c>
      <c r="P1481" s="15" t="str">
        <f t="shared" si="167"/>
        <v>n.a.</v>
      </c>
      <c r="Q1481" s="7">
        <f>J1481*'Model inputs'!$B$8</f>
        <v>-2573.0000000000005</v>
      </c>
      <c r="R1481" s="1" t="s">
        <v>162</v>
      </c>
      <c r="S1481" s="1">
        <v>408</v>
      </c>
      <c r="T1481" s="1">
        <v>427</v>
      </c>
    </row>
    <row r="1482" spans="1:20" ht="21" customHeight="1">
      <c r="A1482" s="8">
        <v>46259</v>
      </c>
      <c r="B1482" s="1" t="s">
        <v>36</v>
      </c>
      <c r="C1482" s="1" t="s">
        <v>90</v>
      </c>
      <c r="D1482" s="7">
        <v>5000</v>
      </c>
      <c r="E1482" s="7">
        <v>4800</v>
      </c>
      <c r="F1482" s="7"/>
      <c r="G1482" s="7">
        <f>'Option source'!B565</f>
        <v>7.17</v>
      </c>
      <c r="H1482" s="7">
        <f>'Option source'!B546</f>
        <v>4.7</v>
      </c>
      <c r="I1482" s="7"/>
      <c r="J1482" s="7">
        <f t="shared" si="161"/>
        <v>-2.2300000000000004</v>
      </c>
      <c r="K1482" s="7">
        <f t="shared" si="162"/>
        <v>200</v>
      </c>
      <c r="L1482" s="7">
        <f t="shared" si="163"/>
        <v>202.23</v>
      </c>
      <c r="M1482" s="7">
        <f t="shared" si="164"/>
        <v>4597.7700000000004</v>
      </c>
      <c r="N1482" s="7">
        <f t="shared" si="165"/>
        <v>4597.7700000000004</v>
      </c>
      <c r="O1482" s="7" t="str">
        <f t="shared" si="166"/>
        <v>n.a.</v>
      </c>
      <c r="P1482" s="15" t="str">
        <f t="shared" si="167"/>
        <v>n.a.</v>
      </c>
      <c r="Q1482" s="7">
        <f>J1482*'Model inputs'!$B$8</f>
        <v>-223.00000000000006</v>
      </c>
      <c r="R1482" s="1" t="s">
        <v>162</v>
      </c>
      <c r="S1482" s="1">
        <v>560</v>
      </c>
      <c r="T1482" s="1">
        <v>541</v>
      </c>
    </row>
    <row r="1483" spans="1:20" ht="21" customHeight="1">
      <c r="A1483" s="8">
        <v>46259</v>
      </c>
      <c r="B1483" s="1" t="s">
        <v>36</v>
      </c>
      <c r="C1483" s="1" t="s">
        <v>87</v>
      </c>
      <c r="D1483" s="7">
        <v>9200</v>
      </c>
      <c r="E1483" s="7">
        <v>9500</v>
      </c>
      <c r="F1483" s="7"/>
      <c r="G1483" s="7">
        <f>'Option source'!B432</f>
        <v>45.53</v>
      </c>
      <c r="H1483" s="7">
        <f>'Option source'!B451</f>
        <v>28.95</v>
      </c>
      <c r="I1483" s="7"/>
      <c r="J1483" s="7">
        <f t="shared" si="161"/>
        <v>-12.369999999999997</v>
      </c>
      <c r="K1483" s="7">
        <f t="shared" si="162"/>
        <v>300</v>
      </c>
      <c r="L1483" s="7">
        <f t="shared" si="163"/>
        <v>312.37</v>
      </c>
      <c r="M1483" s="7" t="str">
        <f t="shared" si="164"/>
        <v>Unlimited</v>
      </c>
      <c r="N1483" s="7" t="str">
        <f t="shared" si="165"/>
        <v>n.a.</v>
      </c>
      <c r="O1483" s="7">
        <f t="shared" si="166"/>
        <v>9812.3700000000008</v>
      </c>
      <c r="P1483" s="15" t="str">
        <f t="shared" si="167"/>
        <v>n.a.</v>
      </c>
      <c r="Q1483" s="7">
        <f>J1483*'Model inputs'!$B$8</f>
        <v>-1236.9999999999998</v>
      </c>
      <c r="R1483" s="1" t="s">
        <v>162</v>
      </c>
      <c r="S1483" s="1">
        <v>427</v>
      </c>
      <c r="T1483" s="1">
        <v>446</v>
      </c>
    </row>
    <row r="1484" spans="1:20" ht="21" customHeight="1">
      <c r="A1484" s="8">
        <v>46259</v>
      </c>
      <c r="B1484" s="1" t="s">
        <v>36</v>
      </c>
      <c r="C1484" s="1" t="s">
        <v>90</v>
      </c>
      <c r="D1484" s="7">
        <v>4800</v>
      </c>
      <c r="E1484" s="7">
        <v>4600</v>
      </c>
      <c r="F1484" s="7"/>
      <c r="G1484" s="7">
        <f>'Option source'!B546</f>
        <v>4.7</v>
      </c>
      <c r="H1484" s="7">
        <f>'Option source'!B527</f>
        <v>3.47</v>
      </c>
      <c r="I1484" s="7"/>
      <c r="J1484" s="7">
        <f t="shared" si="161"/>
        <v>-2.2400000000000002</v>
      </c>
      <c r="K1484" s="7">
        <f t="shared" si="162"/>
        <v>200</v>
      </c>
      <c r="L1484" s="7">
        <f t="shared" si="163"/>
        <v>202.24</v>
      </c>
      <c r="M1484" s="7">
        <f t="shared" si="164"/>
        <v>4397.76</v>
      </c>
      <c r="N1484" s="7">
        <f t="shared" si="165"/>
        <v>4397.76</v>
      </c>
      <c r="O1484" s="7" t="str">
        <f t="shared" si="166"/>
        <v>n.a.</v>
      </c>
      <c r="P1484" s="15" t="str">
        <f t="shared" si="167"/>
        <v>n.a.</v>
      </c>
      <c r="Q1484" s="7">
        <f>J1484*'Model inputs'!$B$8</f>
        <v>-224.00000000000003</v>
      </c>
      <c r="R1484" s="1" t="s">
        <v>162</v>
      </c>
      <c r="S1484" s="1">
        <v>541</v>
      </c>
      <c r="T1484" s="1">
        <v>522</v>
      </c>
    </row>
    <row r="1485" spans="1:20" ht="21" customHeight="1">
      <c r="A1485" s="8">
        <v>46259</v>
      </c>
      <c r="B1485" s="1" t="s">
        <v>36</v>
      </c>
      <c r="C1485" s="1" t="s">
        <v>90</v>
      </c>
      <c r="D1485" s="7">
        <v>4600</v>
      </c>
      <c r="E1485" s="7">
        <v>4400</v>
      </c>
      <c r="F1485" s="7"/>
      <c r="G1485" s="7">
        <f>'Option source'!B527</f>
        <v>3.47</v>
      </c>
      <c r="H1485" s="7">
        <f>'Option source'!B508</f>
        <v>3.02</v>
      </c>
      <c r="I1485" s="7"/>
      <c r="J1485" s="7">
        <f t="shared" si="161"/>
        <v>-2.57</v>
      </c>
      <c r="K1485" s="7">
        <f t="shared" si="162"/>
        <v>200</v>
      </c>
      <c r="L1485" s="7">
        <f t="shared" si="163"/>
        <v>202.57</v>
      </c>
      <c r="M1485" s="7">
        <f t="shared" si="164"/>
        <v>4197.43</v>
      </c>
      <c r="N1485" s="7">
        <f t="shared" si="165"/>
        <v>4197.43</v>
      </c>
      <c r="O1485" s="7" t="str">
        <f t="shared" si="166"/>
        <v>n.a.</v>
      </c>
      <c r="P1485" s="15" t="str">
        <f t="shared" si="167"/>
        <v>n.a.</v>
      </c>
      <c r="Q1485" s="7">
        <f>J1485*'Model inputs'!$B$8</f>
        <v>-257</v>
      </c>
      <c r="R1485" s="1" t="s">
        <v>162</v>
      </c>
      <c r="S1485" s="1">
        <v>522</v>
      </c>
      <c r="T1485" s="1">
        <v>503</v>
      </c>
    </row>
    <row r="1486" spans="1:20" ht="21" customHeight="1">
      <c r="A1486" s="8">
        <v>46259</v>
      </c>
      <c r="B1486" s="1" t="s">
        <v>36</v>
      </c>
      <c r="C1486" s="1" t="s">
        <v>87</v>
      </c>
      <c r="D1486" s="7">
        <v>9500</v>
      </c>
      <c r="E1486" s="7">
        <v>9900</v>
      </c>
      <c r="F1486" s="7"/>
      <c r="G1486" s="7">
        <f>'Option source'!B451</f>
        <v>28.95</v>
      </c>
      <c r="H1486" s="7">
        <f>'Option source'!B470</f>
        <v>17.28</v>
      </c>
      <c r="I1486" s="7"/>
      <c r="J1486" s="7">
        <f t="shared" si="161"/>
        <v>-5.610000000000003</v>
      </c>
      <c r="K1486" s="7">
        <f t="shared" si="162"/>
        <v>400</v>
      </c>
      <c r="L1486" s="7">
        <f t="shared" si="163"/>
        <v>405.61</v>
      </c>
      <c r="M1486" s="7" t="str">
        <f t="shared" si="164"/>
        <v>Unlimited</v>
      </c>
      <c r="N1486" s="7" t="str">
        <f t="shared" si="165"/>
        <v>n.a.</v>
      </c>
      <c r="O1486" s="7">
        <f t="shared" si="166"/>
        <v>10305.61</v>
      </c>
      <c r="P1486" s="15" t="str">
        <f t="shared" si="167"/>
        <v>n.a.</v>
      </c>
      <c r="Q1486" s="7">
        <f>J1486*'Model inputs'!$B$8</f>
        <v>-561.00000000000034</v>
      </c>
      <c r="R1486" s="1" t="s">
        <v>162</v>
      </c>
      <c r="S1486" s="1">
        <v>446</v>
      </c>
      <c r="T1486" s="1">
        <v>465</v>
      </c>
    </row>
    <row r="1487" spans="1:20" ht="21" customHeight="1">
      <c r="A1487" s="8">
        <v>46259</v>
      </c>
      <c r="B1487" s="1" t="s">
        <v>36</v>
      </c>
      <c r="C1487" s="1" t="s">
        <v>90</v>
      </c>
      <c r="D1487" s="7">
        <v>4400</v>
      </c>
      <c r="E1487" s="7">
        <v>4200</v>
      </c>
      <c r="F1487" s="7"/>
      <c r="G1487" s="7">
        <f>'Option source'!B508</f>
        <v>3.02</v>
      </c>
      <c r="H1487" s="7">
        <f>'Option source'!B489</f>
        <v>2.46</v>
      </c>
      <c r="I1487" s="7"/>
      <c r="J1487" s="7">
        <f t="shared" si="161"/>
        <v>-1.9</v>
      </c>
      <c r="K1487" s="7">
        <f t="shared" si="162"/>
        <v>200</v>
      </c>
      <c r="L1487" s="7">
        <f t="shared" si="163"/>
        <v>201.9</v>
      </c>
      <c r="M1487" s="7">
        <f t="shared" si="164"/>
        <v>3998.1</v>
      </c>
      <c r="N1487" s="7">
        <f t="shared" si="165"/>
        <v>3998.1</v>
      </c>
      <c r="O1487" s="7" t="str">
        <f t="shared" si="166"/>
        <v>n.a.</v>
      </c>
      <c r="P1487" s="15" t="str">
        <f t="shared" si="167"/>
        <v>n.a.</v>
      </c>
      <c r="Q1487" s="7">
        <f>J1487*'Model inputs'!$B$8</f>
        <v>-190</v>
      </c>
      <c r="R1487" s="1" t="s">
        <v>162</v>
      </c>
      <c r="S1487" s="1">
        <v>503</v>
      </c>
      <c r="T1487" s="1">
        <v>484</v>
      </c>
    </row>
    <row r="1488" spans="1:20" ht="21" customHeight="1">
      <c r="A1488" s="8">
        <v>46259</v>
      </c>
      <c r="B1488" s="1" t="s">
        <v>36</v>
      </c>
      <c r="C1488" s="1" t="s">
        <v>90</v>
      </c>
      <c r="D1488" s="7">
        <v>7800</v>
      </c>
      <c r="E1488" s="7">
        <v>7600</v>
      </c>
      <c r="F1488" s="7"/>
      <c r="G1488" s="7">
        <f>'Option source'!B831</f>
        <v>771</v>
      </c>
      <c r="H1488" s="7">
        <f>'Option source'!B812</f>
        <v>660</v>
      </c>
      <c r="I1488" s="7"/>
      <c r="J1488" s="7">
        <f t="shared" si="161"/>
        <v>-549</v>
      </c>
      <c r="K1488" s="7">
        <f t="shared" si="162"/>
        <v>200</v>
      </c>
      <c r="L1488" s="7">
        <f t="shared" si="163"/>
        <v>749</v>
      </c>
      <c r="M1488" s="7">
        <f t="shared" si="164"/>
        <v>6851</v>
      </c>
      <c r="N1488" s="7">
        <f t="shared" si="165"/>
        <v>6851</v>
      </c>
      <c r="O1488" s="7" t="str">
        <f t="shared" si="166"/>
        <v>n.a.</v>
      </c>
      <c r="P1488" s="15" t="str">
        <f t="shared" si="167"/>
        <v>n.a.</v>
      </c>
      <c r="Q1488" s="7">
        <f>J1488*'Model inputs'!$B$8</f>
        <v>-54900</v>
      </c>
      <c r="R1488" s="1" t="s">
        <v>164</v>
      </c>
      <c r="S1488" s="1">
        <v>826</v>
      </c>
      <c r="T1488" s="1">
        <v>807</v>
      </c>
    </row>
    <row r="1489" spans="1:20" ht="21" customHeight="1">
      <c r="A1489" s="8">
        <v>46259</v>
      </c>
      <c r="B1489" s="1" t="s">
        <v>36</v>
      </c>
      <c r="C1489" s="1" t="s">
        <v>87</v>
      </c>
      <c r="D1489" s="7">
        <v>6200</v>
      </c>
      <c r="E1489" s="7">
        <v>6400</v>
      </c>
      <c r="F1489" s="7"/>
      <c r="G1489" s="7">
        <f>'Option source'!B185</f>
        <v>1000</v>
      </c>
      <c r="H1489" s="7">
        <f>'Option source'!B204</f>
        <v>982.67</v>
      </c>
      <c r="I1489" s="7"/>
      <c r="J1489" s="7">
        <f t="shared" si="161"/>
        <v>-965.33999999999992</v>
      </c>
      <c r="K1489" s="7">
        <f t="shared" si="162"/>
        <v>200</v>
      </c>
      <c r="L1489" s="7">
        <f t="shared" si="163"/>
        <v>1165.3399999999999</v>
      </c>
      <c r="M1489" s="7" t="str">
        <f t="shared" si="164"/>
        <v>Unlimited</v>
      </c>
      <c r="N1489" s="7" t="str">
        <f t="shared" si="165"/>
        <v>n.a.</v>
      </c>
      <c r="O1489" s="7">
        <f t="shared" si="166"/>
        <v>7565.34</v>
      </c>
      <c r="P1489" s="15" t="str">
        <f t="shared" si="167"/>
        <v>n.a.</v>
      </c>
      <c r="Q1489" s="7">
        <f>J1489*'Model inputs'!$B$8</f>
        <v>-96533.999999999985</v>
      </c>
      <c r="R1489" s="1" t="s">
        <v>164</v>
      </c>
      <c r="S1489" s="1">
        <v>180</v>
      </c>
      <c r="T1489" s="1">
        <v>199</v>
      </c>
    </row>
    <row r="1490" spans="1:20" ht="21" customHeight="1">
      <c r="A1490" s="8">
        <v>46259</v>
      </c>
      <c r="B1490" s="1" t="s">
        <v>36</v>
      </c>
      <c r="C1490" s="1" t="s">
        <v>90</v>
      </c>
      <c r="D1490" s="7">
        <v>8000</v>
      </c>
      <c r="E1490" s="7">
        <v>7800</v>
      </c>
      <c r="F1490" s="7"/>
      <c r="G1490" s="7">
        <f>'Option source'!B850</f>
        <v>1024</v>
      </c>
      <c r="H1490" s="7">
        <f>'Option source'!B831</f>
        <v>771</v>
      </c>
      <c r="I1490" s="7"/>
      <c r="J1490" s="7">
        <f t="shared" si="161"/>
        <v>-518</v>
      </c>
      <c r="K1490" s="7">
        <f t="shared" si="162"/>
        <v>200</v>
      </c>
      <c r="L1490" s="7">
        <f t="shared" si="163"/>
        <v>718</v>
      </c>
      <c r="M1490" s="7">
        <f t="shared" si="164"/>
        <v>7082</v>
      </c>
      <c r="N1490" s="7">
        <f t="shared" si="165"/>
        <v>7082</v>
      </c>
      <c r="O1490" s="7" t="str">
        <f t="shared" si="166"/>
        <v>n.a.</v>
      </c>
      <c r="P1490" s="15" t="str">
        <f t="shared" si="167"/>
        <v>n.a.</v>
      </c>
      <c r="Q1490" s="7">
        <f>J1490*'Model inputs'!$B$8</f>
        <v>-51800</v>
      </c>
      <c r="R1490" s="1" t="s">
        <v>164</v>
      </c>
      <c r="S1490" s="1">
        <v>845</v>
      </c>
      <c r="T1490" s="1">
        <v>826</v>
      </c>
    </row>
    <row r="1491" spans="1:20" ht="21" customHeight="1">
      <c r="A1491" s="8">
        <v>46259</v>
      </c>
      <c r="B1491" s="1" t="s">
        <v>36</v>
      </c>
      <c r="C1491" s="1" t="s">
        <v>87</v>
      </c>
      <c r="D1491" s="7">
        <v>6000</v>
      </c>
      <c r="E1491" s="7">
        <v>6200</v>
      </c>
      <c r="F1491" s="7"/>
      <c r="G1491" s="7">
        <f>'Option source'!B166</f>
        <v>1200</v>
      </c>
      <c r="H1491" s="7">
        <f>'Option source'!B185</f>
        <v>1000</v>
      </c>
      <c r="I1491" s="7"/>
      <c r="J1491" s="7">
        <f t="shared" si="161"/>
        <v>-800</v>
      </c>
      <c r="K1491" s="7">
        <f t="shared" si="162"/>
        <v>200</v>
      </c>
      <c r="L1491" s="7">
        <f t="shared" si="163"/>
        <v>1000</v>
      </c>
      <c r="M1491" s="7" t="str">
        <f t="shared" si="164"/>
        <v>Unlimited</v>
      </c>
      <c r="N1491" s="7" t="str">
        <f t="shared" si="165"/>
        <v>n.a.</v>
      </c>
      <c r="O1491" s="7">
        <f t="shared" si="166"/>
        <v>7200</v>
      </c>
      <c r="P1491" s="15" t="str">
        <f t="shared" si="167"/>
        <v>n.a.</v>
      </c>
      <c r="Q1491" s="7">
        <f>J1491*'Model inputs'!$B$8</f>
        <v>-80000</v>
      </c>
      <c r="R1491" s="1" t="s">
        <v>164</v>
      </c>
      <c r="S1491" s="1">
        <v>161</v>
      </c>
      <c r="T1491" s="1">
        <v>180</v>
      </c>
    </row>
    <row r="1492" spans="1:20" ht="21" customHeight="1">
      <c r="A1492" s="8">
        <v>46259</v>
      </c>
      <c r="B1492" s="1" t="s">
        <v>36</v>
      </c>
      <c r="C1492" s="1" t="s">
        <v>90</v>
      </c>
      <c r="D1492" s="7">
        <v>8300</v>
      </c>
      <c r="E1492" s="7">
        <v>8000</v>
      </c>
      <c r="F1492" s="7"/>
      <c r="G1492" s="7">
        <f>'Option source'!B869</f>
        <v>1176.8399999999999</v>
      </c>
      <c r="H1492" s="7">
        <f>'Option source'!B850</f>
        <v>1024</v>
      </c>
      <c r="I1492" s="7"/>
      <c r="J1492" s="7">
        <f t="shared" si="161"/>
        <v>-871.16000000000008</v>
      </c>
      <c r="K1492" s="7">
        <f t="shared" si="162"/>
        <v>300</v>
      </c>
      <c r="L1492" s="7">
        <f t="shared" si="163"/>
        <v>1171.1600000000001</v>
      </c>
      <c r="M1492" s="7">
        <f t="shared" si="164"/>
        <v>6828.84</v>
      </c>
      <c r="N1492" s="7">
        <f t="shared" si="165"/>
        <v>6828.84</v>
      </c>
      <c r="O1492" s="7" t="str">
        <f t="shared" si="166"/>
        <v>n.a.</v>
      </c>
      <c r="P1492" s="15" t="str">
        <f t="shared" si="167"/>
        <v>n.a.</v>
      </c>
      <c r="Q1492" s="7">
        <f>J1492*'Model inputs'!$B$8</f>
        <v>-87116.000000000015</v>
      </c>
      <c r="R1492" s="1" t="s">
        <v>164</v>
      </c>
      <c r="S1492" s="1">
        <v>864</v>
      </c>
      <c r="T1492" s="1">
        <v>845</v>
      </c>
    </row>
    <row r="1493" spans="1:20" ht="21" customHeight="1">
      <c r="A1493" s="8">
        <v>46259</v>
      </c>
      <c r="B1493" s="1" t="s">
        <v>36</v>
      </c>
      <c r="C1493" s="1" t="s">
        <v>87</v>
      </c>
      <c r="D1493" s="7">
        <v>5600</v>
      </c>
      <c r="E1493" s="7">
        <v>6000</v>
      </c>
      <c r="F1493" s="7"/>
      <c r="G1493" s="7">
        <f>'Option source'!B137</f>
        <v>1550.9</v>
      </c>
      <c r="H1493" s="7">
        <f>'Option source'!B166</f>
        <v>1200</v>
      </c>
      <c r="I1493" s="7"/>
      <c r="J1493" s="7">
        <f t="shared" si="161"/>
        <v>-849.09999999999991</v>
      </c>
      <c r="K1493" s="7">
        <f t="shared" si="162"/>
        <v>400</v>
      </c>
      <c r="L1493" s="7">
        <f t="shared" si="163"/>
        <v>1249.0999999999999</v>
      </c>
      <c r="M1493" s="7" t="str">
        <f t="shared" si="164"/>
        <v>Unlimited</v>
      </c>
      <c r="N1493" s="7" t="str">
        <f t="shared" si="165"/>
        <v>n.a.</v>
      </c>
      <c r="O1493" s="7">
        <f t="shared" si="166"/>
        <v>7249.1</v>
      </c>
      <c r="P1493" s="15" t="str">
        <f t="shared" si="167"/>
        <v>n.a.</v>
      </c>
      <c r="Q1493" s="7">
        <f>J1493*'Model inputs'!$B$8</f>
        <v>-84909.999999999985</v>
      </c>
      <c r="R1493" s="1" t="s">
        <v>164</v>
      </c>
      <c r="S1493" s="1">
        <v>132</v>
      </c>
      <c r="T1493" s="1">
        <v>161</v>
      </c>
    </row>
    <row r="1494" spans="1:20" ht="21" customHeight="1">
      <c r="A1494" s="8">
        <v>46259</v>
      </c>
      <c r="B1494" s="1" t="s">
        <v>36</v>
      </c>
      <c r="C1494" s="1" t="s">
        <v>90</v>
      </c>
      <c r="D1494" s="7">
        <v>8600</v>
      </c>
      <c r="E1494" s="7">
        <v>8300</v>
      </c>
      <c r="F1494" s="7"/>
      <c r="G1494" s="7">
        <f>'Option source'!B888</f>
        <v>1460</v>
      </c>
      <c r="H1494" s="7">
        <f>'Option source'!B869</f>
        <v>1176.8399999999999</v>
      </c>
      <c r="I1494" s="7"/>
      <c r="J1494" s="7">
        <f t="shared" si="161"/>
        <v>-893.67999999999984</v>
      </c>
      <c r="K1494" s="7">
        <f t="shared" si="162"/>
        <v>300</v>
      </c>
      <c r="L1494" s="7">
        <f t="shared" si="163"/>
        <v>1193.6799999999998</v>
      </c>
      <c r="M1494" s="7">
        <f t="shared" si="164"/>
        <v>7106.32</v>
      </c>
      <c r="N1494" s="7">
        <f t="shared" si="165"/>
        <v>7106.32</v>
      </c>
      <c r="O1494" s="7" t="str">
        <f t="shared" si="166"/>
        <v>n.a.</v>
      </c>
      <c r="P1494" s="15" t="str">
        <f t="shared" si="167"/>
        <v>n.a.</v>
      </c>
      <c r="Q1494" s="7">
        <f>J1494*'Model inputs'!$B$8</f>
        <v>-89367.999999999985</v>
      </c>
      <c r="R1494" s="1" t="s">
        <v>164</v>
      </c>
      <c r="S1494" s="1">
        <v>883</v>
      </c>
      <c r="T1494" s="1">
        <v>864</v>
      </c>
    </row>
    <row r="1495" spans="1:20" ht="21" customHeight="1">
      <c r="A1495" s="8">
        <v>46259</v>
      </c>
      <c r="B1495" s="1" t="s">
        <v>36</v>
      </c>
      <c r="C1495" s="1" t="s">
        <v>87</v>
      </c>
      <c r="D1495" s="7">
        <v>5400</v>
      </c>
      <c r="E1495" s="7">
        <v>5600</v>
      </c>
      <c r="F1495" s="7"/>
      <c r="G1495" s="7">
        <f>'Option source'!B119</f>
        <v>1752.86</v>
      </c>
      <c r="H1495" s="7">
        <f>'Option source'!B137</f>
        <v>1550.9</v>
      </c>
      <c r="I1495" s="7"/>
      <c r="J1495" s="7">
        <f t="shared" si="161"/>
        <v>-1348.9400000000003</v>
      </c>
      <c r="K1495" s="7">
        <f t="shared" si="162"/>
        <v>200</v>
      </c>
      <c r="L1495" s="7">
        <f t="shared" si="163"/>
        <v>1548.9400000000003</v>
      </c>
      <c r="M1495" s="7" t="str">
        <f t="shared" si="164"/>
        <v>Unlimited</v>
      </c>
      <c r="N1495" s="7" t="str">
        <f t="shared" si="165"/>
        <v>n.a.</v>
      </c>
      <c r="O1495" s="7">
        <f t="shared" si="166"/>
        <v>7148.9400000000005</v>
      </c>
      <c r="P1495" s="15" t="str">
        <f t="shared" si="167"/>
        <v>n.a.</v>
      </c>
      <c r="Q1495" s="7">
        <f>J1495*'Model inputs'!$B$8</f>
        <v>-134894.00000000003</v>
      </c>
      <c r="R1495" s="1" t="s">
        <v>164</v>
      </c>
      <c r="S1495" s="1">
        <v>114</v>
      </c>
      <c r="T1495" s="1">
        <v>132</v>
      </c>
    </row>
    <row r="1496" spans="1:20" ht="21" customHeight="1">
      <c r="A1496" s="8">
        <v>46259</v>
      </c>
      <c r="B1496" s="1" t="s">
        <v>36</v>
      </c>
      <c r="C1496" s="1" t="s">
        <v>87</v>
      </c>
      <c r="D1496" s="7">
        <v>5200</v>
      </c>
      <c r="E1496" s="7">
        <v>5400</v>
      </c>
      <c r="F1496" s="7"/>
      <c r="G1496" s="7">
        <f>'Option source'!B100</f>
        <v>1953.12</v>
      </c>
      <c r="H1496" s="7">
        <f>'Option source'!B119</f>
        <v>1752.86</v>
      </c>
      <c r="I1496" s="7"/>
      <c r="J1496" s="7">
        <f t="shared" si="161"/>
        <v>-1552.6</v>
      </c>
      <c r="K1496" s="7">
        <f t="shared" si="162"/>
        <v>200</v>
      </c>
      <c r="L1496" s="7">
        <f t="shared" si="163"/>
        <v>1752.6</v>
      </c>
      <c r="M1496" s="7" t="str">
        <f t="shared" si="164"/>
        <v>Unlimited</v>
      </c>
      <c r="N1496" s="7" t="str">
        <f t="shared" si="165"/>
        <v>n.a.</v>
      </c>
      <c r="O1496" s="7">
        <f t="shared" si="166"/>
        <v>7152.6</v>
      </c>
      <c r="P1496" s="15" t="str">
        <f t="shared" si="167"/>
        <v>n.a.</v>
      </c>
      <c r="Q1496" s="7">
        <f>J1496*'Model inputs'!$B$8</f>
        <v>-155260</v>
      </c>
      <c r="R1496" s="1" t="s">
        <v>164</v>
      </c>
      <c r="S1496" s="1">
        <v>95</v>
      </c>
      <c r="T1496" s="1">
        <v>114</v>
      </c>
    </row>
    <row r="1497" spans="1:20" ht="21" customHeight="1">
      <c r="A1497" s="8">
        <v>46259</v>
      </c>
      <c r="B1497" s="1" t="s">
        <v>36</v>
      </c>
      <c r="C1497" s="1" t="s">
        <v>87</v>
      </c>
      <c r="D1497" s="7">
        <v>5000</v>
      </c>
      <c r="E1497" s="7">
        <v>5200</v>
      </c>
      <c r="F1497" s="7"/>
      <c r="G1497" s="7">
        <f>'Option source'!B81</f>
        <v>2100</v>
      </c>
      <c r="H1497" s="7">
        <f>'Option source'!B100</f>
        <v>1953.12</v>
      </c>
      <c r="I1497" s="7"/>
      <c r="J1497" s="7">
        <f t="shared" si="161"/>
        <v>-1806.2399999999998</v>
      </c>
      <c r="K1497" s="7">
        <f t="shared" si="162"/>
        <v>200</v>
      </c>
      <c r="L1497" s="7">
        <f t="shared" si="163"/>
        <v>2006.2399999999998</v>
      </c>
      <c r="M1497" s="7" t="str">
        <f t="shared" si="164"/>
        <v>Unlimited</v>
      </c>
      <c r="N1497" s="7" t="str">
        <f t="shared" si="165"/>
        <v>n.a.</v>
      </c>
      <c r="O1497" s="7">
        <f t="shared" si="166"/>
        <v>7206.24</v>
      </c>
      <c r="P1497" s="15" t="str">
        <f t="shared" si="167"/>
        <v>n.a.</v>
      </c>
      <c r="Q1497" s="7">
        <f>J1497*'Model inputs'!$B$8</f>
        <v>-180623.99999999997</v>
      </c>
      <c r="R1497" s="1" t="s">
        <v>164</v>
      </c>
      <c r="S1497" s="1">
        <v>76</v>
      </c>
      <c r="T1497" s="1">
        <v>95</v>
      </c>
    </row>
    <row r="1498" spans="1:20" ht="21" customHeight="1">
      <c r="A1498" s="8">
        <v>46259</v>
      </c>
      <c r="B1498" s="1" t="s">
        <v>36</v>
      </c>
      <c r="C1498" s="1" t="s">
        <v>87</v>
      </c>
      <c r="D1498" s="7">
        <v>4800</v>
      </c>
      <c r="E1498" s="7">
        <v>5000</v>
      </c>
      <c r="F1498" s="7"/>
      <c r="G1498" s="7">
        <f>'Option source'!B64</f>
        <v>2280</v>
      </c>
      <c r="H1498" s="7">
        <f>'Option source'!B81</f>
        <v>2100</v>
      </c>
      <c r="I1498" s="7"/>
      <c r="J1498" s="7">
        <f t="shared" si="161"/>
        <v>-1920</v>
      </c>
      <c r="K1498" s="7">
        <f t="shared" si="162"/>
        <v>200</v>
      </c>
      <c r="L1498" s="7">
        <f t="shared" si="163"/>
        <v>2120</v>
      </c>
      <c r="M1498" s="7" t="str">
        <f t="shared" si="164"/>
        <v>Unlimited</v>
      </c>
      <c r="N1498" s="7" t="str">
        <f t="shared" si="165"/>
        <v>n.a.</v>
      </c>
      <c r="O1498" s="7">
        <f t="shared" si="166"/>
        <v>7120</v>
      </c>
      <c r="P1498" s="15" t="str">
        <f t="shared" si="167"/>
        <v>n.a.</v>
      </c>
      <c r="Q1498" s="7">
        <f>J1498*'Model inputs'!$B$8</f>
        <v>-192000</v>
      </c>
      <c r="R1498" s="1" t="s">
        <v>164</v>
      </c>
      <c r="S1498" s="1">
        <v>59</v>
      </c>
      <c r="T1498" s="1">
        <v>76</v>
      </c>
    </row>
    <row r="1499" spans="1:20" ht="21" customHeight="1">
      <c r="A1499" s="8">
        <v>46259</v>
      </c>
      <c r="B1499" s="1" t="s">
        <v>36</v>
      </c>
      <c r="C1499" s="1" t="s">
        <v>87</v>
      </c>
      <c r="D1499" s="7">
        <v>4600</v>
      </c>
      <c r="E1499" s="7">
        <v>4800</v>
      </c>
      <c r="F1499" s="7"/>
      <c r="G1499" s="7">
        <f>'Option source'!B47</f>
        <v>2493.23</v>
      </c>
      <c r="H1499" s="7">
        <f>'Option source'!B64</f>
        <v>2280</v>
      </c>
      <c r="I1499" s="7"/>
      <c r="J1499" s="7">
        <f t="shared" si="161"/>
        <v>-2066.77</v>
      </c>
      <c r="K1499" s="7">
        <f t="shared" si="162"/>
        <v>200</v>
      </c>
      <c r="L1499" s="7">
        <f t="shared" si="163"/>
        <v>2266.77</v>
      </c>
      <c r="M1499" s="7" t="str">
        <f t="shared" si="164"/>
        <v>Unlimited</v>
      </c>
      <c r="N1499" s="7" t="str">
        <f t="shared" si="165"/>
        <v>n.a.</v>
      </c>
      <c r="O1499" s="7">
        <f t="shared" si="166"/>
        <v>7066.77</v>
      </c>
      <c r="P1499" s="15" t="str">
        <f t="shared" si="167"/>
        <v>n.a.</v>
      </c>
      <c r="Q1499" s="7">
        <f>J1499*'Model inputs'!$B$8</f>
        <v>-206677</v>
      </c>
      <c r="R1499" s="1" t="s">
        <v>164</v>
      </c>
      <c r="S1499" s="1">
        <v>42</v>
      </c>
      <c r="T1499" s="1">
        <v>59</v>
      </c>
    </row>
    <row r="1500" spans="1:20" ht="21" customHeight="1">
      <c r="A1500" s="8">
        <v>46259</v>
      </c>
      <c r="B1500" s="1" t="s">
        <v>36</v>
      </c>
      <c r="C1500" s="1" t="s">
        <v>87</v>
      </c>
      <c r="D1500" s="7">
        <v>4400</v>
      </c>
      <c r="E1500" s="7">
        <v>4600</v>
      </c>
      <c r="F1500" s="7"/>
      <c r="G1500" s="7">
        <f>'Option source'!B28</f>
        <v>2387.12</v>
      </c>
      <c r="H1500" s="7">
        <f>'Option source'!B47</f>
        <v>2493.23</v>
      </c>
      <c r="I1500" s="7"/>
      <c r="J1500" s="7">
        <f t="shared" si="161"/>
        <v>-2599.34</v>
      </c>
      <c r="K1500" s="7">
        <f t="shared" si="162"/>
        <v>200</v>
      </c>
      <c r="L1500" s="7">
        <f t="shared" si="163"/>
        <v>2799.34</v>
      </c>
      <c r="M1500" s="7" t="str">
        <f t="shared" si="164"/>
        <v>Unlimited</v>
      </c>
      <c r="N1500" s="7" t="str">
        <f t="shared" si="165"/>
        <v>n.a.</v>
      </c>
      <c r="O1500" s="7">
        <f t="shared" si="166"/>
        <v>7399.34</v>
      </c>
      <c r="P1500" s="15" t="str">
        <f t="shared" si="167"/>
        <v>n.a.</v>
      </c>
      <c r="Q1500" s="7">
        <f>J1500*'Model inputs'!$B$8</f>
        <v>-259934</v>
      </c>
      <c r="R1500" s="1" t="s">
        <v>164</v>
      </c>
      <c r="S1500" s="1">
        <v>23</v>
      </c>
      <c r="T1500" s="1">
        <v>42</v>
      </c>
    </row>
    <row r="1501" spans="1:20" ht="21" customHeight="1">
      <c r="A1501" s="8">
        <v>46259</v>
      </c>
      <c r="B1501" s="1" t="s">
        <v>36</v>
      </c>
      <c r="C1501" s="1" t="s">
        <v>87</v>
      </c>
      <c r="D1501" s="7">
        <v>4200</v>
      </c>
      <c r="E1501" s="7">
        <v>4400</v>
      </c>
      <c r="F1501" s="7"/>
      <c r="G1501" s="7">
        <f>'Option source'!B9</f>
        <v>2865.46</v>
      </c>
      <c r="H1501" s="7">
        <f>'Option source'!B28</f>
        <v>2387.12</v>
      </c>
      <c r="I1501" s="7"/>
      <c r="J1501" s="7">
        <f t="shared" si="161"/>
        <v>-1908.7799999999997</v>
      </c>
      <c r="K1501" s="7">
        <f t="shared" si="162"/>
        <v>200</v>
      </c>
      <c r="L1501" s="7">
        <f t="shared" si="163"/>
        <v>2108.7799999999997</v>
      </c>
      <c r="M1501" s="7" t="str">
        <f t="shared" si="164"/>
        <v>Unlimited</v>
      </c>
      <c r="N1501" s="7" t="str">
        <f t="shared" si="165"/>
        <v>n.a.</v>
      </c>
      <c r="O1501" s="7">
        <f t="shared" si="166"/>
        <v>6508.78</v>
      </c>
      <c r="P1501" s="15" t="str">
        <f t="shared" si="167"/>
        <v>n.a.</v>
      </c>
      <c r="Q1501" s="7">
        <f>J1501*'Model inputs'!$B$8</f>
        <v>-190877.99999999997</v>
      </c>
      <c r="R1501" s="1" t="s">
        <v>164</v>
      </c>
      <c r="S1501" s="1">
        <v>4</v>
      </c>
      <c r="T1501" s="1">
        <v>23</v>
      </c>
    </row>
    <row r="1502" spans="1:20" ht="21" customHeight="1">
      <c r="A1502" s="8">
        <v>46258</v>
      </c>
      <c r="B1502" s="1" t="s">
        <v>34</v>
      </c>
      <c r="C1502" s="1" t="s">
        <v>87</v>
      </c>
      <c r="D1502" s="7">
        <v>6800</v>
      </c>
      <c r="E1502" s="7">
        <v>7000</v>
      </c>
      <c r="F1502" s="7">
        <v>7200</v>
      </c>
      <c r="G1502" s="7">
        <f>'Option source'!B241</f>
        <v>686.77</v>
      </c>
      <c r="H1502" s="7">
        <f>'Option source'!B260</f>
        <v>579.21</v>
      </c>
      <c r="I1502" s="7">
        <f>'Option source'!B279</f>
        <v>485.19</v>
      </c>
      <c r="J1502" s="7">
        <f t="shared" si="161"/>
        <v>13.539999999999907</v>
      </c>
      <c r="K1502" s="7">
        <f t="shared" si="162"/>
        <v>200</v>
      </c>
      <c r="L1502" s="7">
        <f t="shared" si="163"/>
        <v>186.46000000000009</v>
      </c>
      <c r="M1502" s="7">
        <f t="shared" si="164"/>
        <v>13.539999999999907</v>
      </c>
      <c r="N1502" s="7">
        <f t="shared" si="165"/>
        <v>6813.54</v>
      </c>
      <c r="O1502" s="7">
        <f t="shared" si="166"/>
        <v>7186.46</v>
      </c>
      <c r="P1502" s="15">
        <f t="shared" si="167"/>
        <v>13.771048744460959</v>
      </c>
      <c r="Q1502" s="7">
        <f>J1502*'Model inputs'!$B$8</f>
        <v>1353.9999999999907</v>
      </c>
      <c r="R1502" s="1" t="s">
        <v>162</v>
      </c>
      <c r="S1502" s="1">
        <v>236</v>
      </c>
      <c r="T1502" s="1">
        <v>255</v>
      </c>
    </row>
    <row r="1503" spans="1:20" ht="21" customHeight="1">
      <c r="A1503" s="8">
        <v>46258</v>
      </c>
      <c r="B1503" s="1" t="s">
        <v>34</v>
      </c>
      <c r="C1503" s="1" t="s">
        <v>90</v>
      </c>
      <c r="D1503" s="7">
        <v>6800</v>
      </c>
      <c r="E1503" s="7">
        <v>7000</v>
      </c>
      <c r="F1503" s="7">
        <v>7200</v>
      </c>
      <c r="G1503" s="7">
        <f>'Option source'!B735</f>
        <v>309</v>
      </c>
      <c r="H1503" s="7">
        <f>'Option source'!B754</f>
        <v>400.7</v>
      </c>
      <c r="I1503" s="7">
        <f>'Option source'!B773</f>
        <v>509.16</v>
      </c>
      <c r="J1503" s="7">
        <f t="shared" si="161"/>
        <v>16.760000000000048</v>
      </c>
      <c r="K1503" s="7">
        <f t="shared" si="162"/>
        <v>200</v>
      </c>
      <c r="L1503" s="7">
        <f t="shared" si="163"/>
        <v>183.23999999999995</v>
      </c>
      <c r="M1503" s="7">
        <f t="shared" si="164"/>
        <v>16.760000000000048</v>
      </c>
      <c r="N1503" s="7">
        <f t="shared" si="165"/>
        <v>6816.76</v>
      </c>
      <c r="O1503" s="7">
        <f t="shared" si="166"/>
        <v>7183.24</v>
      </c>
      <c r="P1503" s="15">
        <f t="shared" si="167"/>
        <v>10.933174224343642</v>
      </c>
      <c r="Q1503" s="7">
        <f>J1503*'Model inputs'!$B$8</f>
        <v>1676.0000000000048</v>
      </c>
      <c r="R1503" s="1" t="s">
        <v>162</v>
      </c>
      <c r="S1503" s="1">
        <v>730</v>
      </c>
      <c r="T1503" s="1">
        <v>749</v>
      </c>
    </row>
    <row r="1504" spans="1:20" ht="21" customHeight="1">
      <c r="A1504" s="8">
        <v>46258</v>
      </c>
      <c r="B1504" s="1" t="s">
        <v>34</v>
      </c>
      <c r="C1504" s="1" t="s">
        <v>87</v>
      </c>
      <c r="D1504" s="7">
        <v>6600</v>
      </c>
      <c r="E1504" s="7">
        <v>6800</v>
      </c>
      <c r="F1504" s="7">
        <v>7000</v>
      </c>
      <c r="G1504" s="7">
        <f>'Option source'!B222</f>
        <v>801.3</v>
      </c>
      <c r="H1504" s="7">
        <f>'Option source'!B241</f>
        <v>686.77</v>
      </c>
      <c r="I1504" s="7">
        <f>'Option source'!B260</f>
        <v>579.21</v>
      </c>
      <c r="J1504" s="7">
        <f t="shared" si="161"/>
        <v>6.9700000000000273</v>
      </c>
      <c r="K1504" s="7">
        <f t="shared" si="162"/>
        <v>200</v>
      </c>
      <c r="L1504" s="7">
        <f t="shared" si="163"/>
        <v>193.02999999999997</v>
      </c>
      <c r="M1504" s="7">
        <f t="shared" si="164"/>
        <v>6.9700000000000273</v>
      </c>
      <c r="N1504" s="7">
        <f t="shared" si="165"/>
        <v>6606.97</v>
      </c>
      <c r="O1504" s="7">
        <f t="shared" si="166"/>
        <v>6993.03</v>
      </c>
      <c r="P1504" s="15">
        <f t="shared" si="167"/>
        <v>27.694404591104622</v>
      </c>
      <c r="Q1504" s="7">
        <f>J1504*'Model inputs'!$B$8</f>
        <v>697.00000000000273</v>
      </c>
      <c r="R1504" s="1" t="s">
        <v>162</v>
      </c>
      <c r="S1504" s="1">
        <v>217</v>
      </c>
      <c r="T1504" s="1">
        <v>236</v>
      </c>
    </row>
    <row r="1505" spans="1:20" ht="21" customHeight="1">
      <c r="A1505" s="8">
        <v>46258</v>
      </c>
      <c r="B1505" s="1" t="s">
        <v>34</v>
      </c>
      <c r="C1505" s="1" t="s">
        <v>90</v>
      </c>
      <c r="D1505" s="7">
        <v>6600</v>
      </c>
      <c r="E1505" s="7">
        <v>6800</v>
      </c>
      <c r="F1505" s="7">
        <v>7000</v>
      </c>
      <c r="G1505" s="7">
        <f>'Option source'!B716</f>
        <v>235.77</v>
      </c>
      <c r="H1505" s="7">
        <f>'Option source'!B735</f>
        <v>309</v>
      </c>
      <c r="I1505" s="7">
        <f>'Option source'!B754</f>
        <v>400.7</v>
      </c>
      <c r="J1505" s="7">
        <f t="shared" si="161"/>
        <v>18.46999999999997</v>
      </c>
      <c r="K1505" s="7">
        <f t="shared" si="162"/>
        <v>200</v>
      </c>
      <c r="L1505" s="7">
        <f t="shared" si="163"/>
        <v>181.53000000000003</v>
      </c>
      <c r="M1505" s="7">
        <f t="shared" si="164"/>
        <v>18.46999999999997</v>
      </c>
      <c r="N1505" s="7">
        <f t="shared" si="165"/>
        <v>6618.47</v>
      </c>
      <c r="O1505" s="7">
        <f t="shared" si="166"/>
        <v>6981.53</v>
      </c>
      <c r="P1505" s="15">
        <f t="shared" si="167"/>
        <v>9.8283703302653116</v>
      </c>
      <c r="Q1505" s="7">
        <f>J1505*'Model inputs'!$B$8</f>
        <v>1846.999999999997</v>
      </c>
      <c r="R1505" s="1" t="s">
        <v>162</v>
      </c>
      <c r="S1505" s="1">
        <v>711</v>
      </c>
      <c r="T1505" s="1">
        <v>730</v>
      </c>
    </row>
    <row r="1506" spans="1:20" ht="21" customHeight="1">
      <c r="A1506" s="8">
        <v>46258</v>
      </c>
      <c r="B1506" s="1" t="s">
        <v>34</v>
      </c>
      <c r="C1506" s="1" t="s">
        <v>87</v>
      </c>
      <c r="D1506" s="7">
        <v>7000</v>
      </c>
      <c r="E1506" s="7">
        <v>7200</v>
      </c>
      <c r="F1506" s="7">
        <v>7400</v>
      </c>
      <c r="G1506" s="7">
        <f>'Option source'!B260</f>
        <v>579.21</v>
      </c>
      <c r="H1506" s="7">
        <f>'Option source'!B279</f>
        <v>485.19</v>
      </c>
      <c r="I1506" s="7">
        <f>'Option source'!B298</f>
        <v>396.15</v>
      </c>
      <c r="J1506" s="7">
        <f t="shared" si="161"/>
        <v>4.9800000000000182</v>
      </c>
      <c r="K1506" s="7">
        <f t="shared" si="162"/>
        <v>200</v>
      </c>
      <c r="L1506" s="7">
        <f t="shared" si="163"/>
        <v>195.01999999999998</v>
      </c>
      <c r="M1506" s="7">
        <f t="shared" si="164"/>
        <v>4.9800000000000182</v>
      </c>
      <c r="N1506" s="7">
        <f t="shared" si="165"/>
        <v>7004.98</v>
      </c>
      <c r="O1506" s="7">
        <f t="shared" si="166"/>
        <v>7395.02</v>
      </c>
      <c r="P1506" s="15">
        <f t="shared" si="167"/>
        <v>39.160642570280977</v>
      </c>
      <c r="Q1506" s="7">
        <f>J1506*'Model inputs'!$B$8</f>
        <v>498.00000000000182</v>
      </c>
      <c r="R1506" s="1" t="s">
        <v>162</v>
      </c>
      <c r="S1506" s="1">
        <v>255</v>
      </c>
      <c r="T1506" s="1">
        <v>274</v>
      </c>
    </row>
    <row r="1507" spans="1:20" ht="21" customHeight="1">
      <c r="A1507" s="8">
        <v>46258</v>
      </c>
      <c r="B1507" s="1" t="s">
        <v>34</v>
      </c>
      <c r="C1507" s="1" t="s">
        <v>90</v>
      </c>
      <c r="D1507" s="7">
        <v>7000</v>
      </c>
      <c r="E1507" s="7">
        <v>7200</v>
      </c>
      <c r="F1507" s="7">
        <v>7400</v>
      </c>
      <c r="G1507" s="7">
        <f>'Option source'!B754</f>
        <v>400.7</v>
      </c>
      <c r="H1507" s="7">
        <f>'Option source'!B773</f>
        <v>509.16</v>
      </c>
      <c r="I1507" s="7">
        <f>'Option source'!B792</f>
        <v>620</v>
      </c>
      <c r="J1507" s="7">
        <f t="shared" si="161"/>
        <v>2.3799999999998818</v>
      </c>
      <c r="K1507" s="7">
        <f t="shared" si="162"/>
        <v>200</v>
      </c>
      <c r="L1507" s="7">
        <f t="shared" si="163"/>
        <v>197.62000000000012</v>
      </c>
      <c r="M1507" s="7">
        <f t="shared" si="164"/>
        <v>2.3799999999998818</v>
      </c>
      <c r="N1507" s="7">
        <f t="shared" si="165"/>
        <v>7002.38</v>
      </c>
      <c r="O1507" s="7">
        <f t="shared" si="166"/>
        <v>7397.62</v>
      </c>
      <c r="P1507" s="15">
        <f t="shared" si="167"/>
        <v>83.033613445382329</v>
      </c>
      <c r="Q1507" s="7">
        <f>J1507*'Model inputs'!$B$8</f>
        <v>237.99999999998818</v>
      </c>
      <c r="R1507" s="1" t="s">
        <v>162</v>
      </c>
      <c r="S1507" s="1">
        <v>749</v>
      </c>
      <c r="T1507" s="1">
        <v>768</v>
      </c>
    </row>
    <row r="1508" spans="1:20" ht="21" customHeight="1">
      <c r="A1508" s="8">
        <v>46258</v>
      </c>
      <c r="B1508" s="1" t="s">
        <v>34</v>
      </c>
      <c r="C1508" s="1" t="s">
        <v>87</v>
      </c>
      <c r="D1508" s="7">
        <v>6400</v>
      </c>
      <c r="E1508" s="7">
        <v>6600</v>
      </c>
      <c r="F1508" s="7">
        <v>6800</v>
      </c>
      <c r="G1508" s="7">
        <f>'Option source'!B203</f>
        <v>918.25</v>
      </c>
      <c r="H1508" s="7">
        <f>'Option source'!B222</f>
        <v>801.3</v>
      </c>
      <c r="I1508" s="7">
        <f>'Option source'!B241</f>
        <v>686.77</v>
      </c>
      <c r="J1508" s="7">
        <f t="shared" si="161"/>
        <v>2.4200000000000728</v>
      </c>
      <c r="K1508" s="7">
        <f t="shared" si="162"/>
        <v>200</v>
      </c>
      <c r="L1508" s="7">
        <f t="shared" si="163"/>
        <v>197.57999999999993</v>
      </c>
      <c r="M1508" s="7">
        <f t="shared" si="164"/>
        <v>2.4200000000000728</v>
      </c>
      <c r="N1508" s="7">
        <f t="shared" si="165"/>
        <v>6402.42</v>
      </c>
      <c r="O1508" s="7">
        <f t="shared" si="166"/>
        <v>6797.58</v>
      </c>
      <c r="P1508" s="15">
        <f t="shared" si="167"/>
        <v>81.644628099171072</v>
      </c>
      <c r="Q1508" s="7">
        <f>J1508*'Model inputs'!$B$8</f>
        <v>242.00000000000728</v>
      </c>
      <c r="R1508" s="1" t="s">
        <v>162</v>
      </c>
      <c r="S1508" s="1">
        <v>198</v>
      </c>
      <c r="T1508" s="1">
        <v>217</v>
      </c>
    </row>
    <row r="1509" spans="1:20" ht="21" customHeight="1">
      <c r="A1509" s="8">
        <v>46258</v>
      </c>
      <c r="B1509" s="1" t="s">
        <v>34</v>
      </c>
      <c r="C1509" s="1" t="s">
        <v>90</v>
      </c>
      <c r="D1509" s="7">
        <v>6400</v>
      </c>
      <c r="E1509" s="7">
        <v>6600</v>
      </c>
      <c r="F1509" s="7">
        <v>6800</v>
      </c>
      <c r="G1509" s="7">
        <f>'Option source'!B697</f>
        <v>175.6</v>
      </c>
      <c r="H1509" s="7">
        <f>'Option source'!B716</f>
        <v>235.77</v>
      </c>
      <c r="I1509" s="7">
        <f>'Option source'!B735</f>
        <v>309</v>
      </c>
      <c r="J1509" s="7">
        <f t="shared" si="161"/>
        <v>13.059999999999945</v>
      </c>
      <c r="K1509" s="7">
        <f t="shared" si="162"/>
        <v>200</v>
      </c>
      <c r="L1509" s="7">
        <f t="shared" si="163"/>
        <v>186.94000000000005</v>
      </c>
      <c r="M1509" s="7">
        <f t="shared" si="164"/>
        <v>13.059999999999945</v>
      </c>
      <c r="N1509" s="7">
        <f t="shared" si="165"/>
        <v>6413.0599999999995</v>
      </c>
      <c r="O1509" s="7">
        <f t="shared" si="166"/>
        <v>6786.9400000000005</v>
      </c>
      <c r="P1509" s="15">
        <f t="shared" si="167"/>
        <v>14.313935681470202</v>
      </c>
      <c r="Q1509" s="7">
        <f>J1509*'Model inputs'!$B$8</f>
        <v>1305.9999999999945</v>
      </c>
      <c r="R1509" s="1" t="s">
        <v>162</v>
      </c>
      <c r="S1509" s="1">
        <v>692</v>
      </c>
      <c r="T1509" s="1">
        <v>711</v>
      </c>
    </row>
    <row r="1510" spans="1:20" ht="21" customHeight="1">
      <c r="A1510" s="8">
        <v>46258</v>
      </c>
      <c r="B1510" s="1" t="s">
        <v>34</v>
      </c>
      <c r="C1510" s="1" t="s">
        <v>87</v>
      </c>
      <c r="D1510" s="7">
        <v>7200</v>
      </c>
      <c r="E1510" s="7">
        <v>7400</v>
      </c>
      <c r="F1510" s="7">
        <v>7600</v>
      </c>
      <c r="G1510" s="7">
        <f>'Option source'!B279</f>
        <v>485.19</v>
      </c>
      <c r="H1510" s="7">
        <f>'Option source'!B298</f>
        <v>396.15</v>
      </c>
      <c r="I1510" s="7">
        <f>'Option source'!B317</f>
        <v>327.63</v>
      </c>
      <c r="J1510" s="7">
        <f t="shared" si="161"/>
        <v>20.520000000000039</v>
      </c>
      <c r="K1510" s="7">
        <f t="shared" si="162"/>
        <v>200</v>
      </c>
      <c r="L1510" s="7">
        <f t="shared" si="163"/>
        <v>179.47999999999996</v>
      </c>
      <c r="M1510" s="7">
        <f t="shared" si="164"/>
        <v>20.520000000000039</v>
      </c>
      <c r="N1510" s="7">
        <f t="shared" si="165"/>
        <v>7220.52</v>
      </c>
      <c r="O1510" s="7">
        <f t="shared" si="166"/>
        <v>7579.48</v>
      </c>
      <c r="P1510" s="15">
        <f t="shared" si="167"/>
        <v>8.7465886939570971</v>
      </c>
      <c r="Q1510" s="7">
        <f>J1510*'Model inputs'!$B$8</f>
        <v>2052.0000000000036</v>
      </c>
      <c r="R1510" s="1" t="s">
        <v>162</v>
      </c>
      <c r="S1510" s="1">
        <v>274</v>
      </c>
      <c r="T1510" s="1">
        <v>293</v>
      </c>
    </row>
    <row r="1511" spans="1:20" ht="21" customHeight="1">
      <c r="A1511" s="8">
        <v>46258</v>
      </c>
      <c r="B1511" s="1" t="s">
        <v>34</v>
      </c>
      <c r="C1511" s="1" t="s">
        <v>90</v>
      </c>
      <c r="D1511" s="7">
        <v>6200</v>
      </c>
      <c r="E1511" s="7">
        <v>6400</v>
      </c>
      <c r="F1511" s="7">
        <v>6600</v>
      </c>
      <c r="G1511" s="7">
        <f>'Option source'!B678</f>
        <v>127.23</v>
      </c>
      <c r="H1511" s="7">
        <f>'Option source'!B697</f>
        <v>175.6</v>
      </c>
      <c r="I1511" s="7">
        <f>'Option source'!B716</f>
        <v>235.77</v>
      </c>
      <c r="J1511" s="7">
        <f t="shared" si="161"/>
        <v>11.80000000000004</v>
      </c>
      <c r="K1511" s="7">
        <f t="shared" si="162"/>
        <v>200</v>
      </c>
      <c r="L1511" s="7">
        <f t="shared" si="163"/>
        <v>188.19999999999996</v>
      </c>
      <c r="M1511" s="7">
        <f t="shared" si="164"/>
        <v>11.80000000000004</v>
      </c>
      <c r="N1511" s="7">
        <f t="shared" si="165"/>
        <v>6211.8</v>
      </c>
      <c r="O1511" s="7">
        <f t="shared" si="166"/>
        <v>6588.2</v>
      </c>
      <c r="P1511" s="15">
        <f t="shared" si="167"/>
        <v>15.949152542372824</v>
      </c>
      <c r="Q1511" s="7">
        <f>J1511*'Model inputs'!$B$8</f>
        <v>1180.0000000000041</v>
      </c>
      <c r="R1511" s="1" t="s">
        <v>162</v>
      </c>
      <c r="S1511" s="1">
        <v>673</v>
      </c>
      <c r="T1511" s="1">
        <v>692</v>
      </c>
    </row>
    <row r="1512" spans="1:20" ht="21" customHeight="1">
      <c r="A1512" s="8">
        <v>46258</v>
      </c>
      <c r="B1512" s="1" t="s">
        <v>34</v>
      </c>
      <c r="C1512" s="1" t="s">
        <v>87</v>
      </c>
      <c r="D1512" s="7">
        <v>7400</v>
      </c>
      <c r="E1512" s="7">
        <v>7600</v>
      </c>
      <c r="F1512" s="7">
        <v>7800</v>
      </c>
      <c r="G1512" s="7">
        <f>'Option source'!B298</f>
        <v>396.15</v>
      </c>
      <c r="H1512" s="7">
        <f>'Option source'!B317</f>
        <v>327.63</v>
      </c>
      <c r="I1512" s="7">
        <f>'Option source'!B336</f>
        <v>260.44</v>
      </c>
      <c r="J1512" s="7">
        <f t="shared" si="161"/>
        <v>1.3299999999999841</v>
      </c>
      <c r="K1512" s="7">
        <f t="shared" si="162"/>
        <v>200</v>
      </c>
      <c r="L1512" s="7">
        <f t="shared" si="163"/>
        <v>198.67000000000002</v>
      </c>
      <c r="M1512" s="7">
        <f t="shared" si="164"/>
        <v>1.3299999999999841</v>
      </c>
      <c r="N1512" s="7">
        <f t="shared" si="165"/>
        <v>7401.33</v>
      </c>
      <c r="O1512" s="7">
        <f t="shared" si="166"/>
        <v>7798.67</v>
      </c>
      <c r="P1512" s="15">
        <f t="shared" si="167"/>
        <v>149.37593984962587</v>
      </c>
      <c r="Q1512" s="7">
        <f>J1512*'Model inputs'!$B$8</f>
        <v>132.99999999999841</v>
      </c>
      <c r="R1512" s="1" t="s">
        <v>162</v>
      </c>
      <c r="S1512" s="1">
        <v>293</v>
      </c>
      <c r="T1512" s="1">
        <v>312</v>
      </c>
    </row>
    <row r="1513" spans="1:20" ht="21" customHeight="1">
      <c r="A1513" s="8">
        <v>46258</v>
      </c>
      <c r="B1513" s="1" t="s">
        <v>34</v>
      </c>
      <c r="C1513" s="1" t="s">
        <v>90</v>
      </c>
      <c r="D1513" s="7">
        <v>7400</v>
      </c>
      <c r="E1513" s="7">
        <v>7600</v>
      </c>
      <c r="F1513" s="7">
        <v>7800</v>
      </c>
      <c r="G1513" s="7">
        <f>'Option source'!B792</f>
        <v>620</v>
      </c>
      <c r="H1513" s="7">
        <f>'Option source'!B811</f>
        <v>711</v>
      </c>
      <c r="I1513" s="7">
        <f>'Option source'!B830</f>
        <v>871</v>
      </c>
      <c r="J1513" s="7">
        <f t="shared" si="161"/>
        <v>69</v>
      </c>
      <c r="K1513" s="7">
        <f t="shared" si="162"/>
        <v>200</v>
      </c>
      <c r="L1513" s="7">
        <f t="shared" si="163"/>
        <v>131</v>
      </c>
      <c r="M1513" s="7">
        <f t="shared" si="164"/>
        <v>69</v>
      </c>
      <c r="N1513" s="7">
        <f t="shared" si="165"/>
        <v>7469</v>
      </c>
      <c r="O1513" s="7">
        <f t="shared" si="166"/>
        <v>7731</v>
      </c>
      <c r="P1513" s="15">
        <f t="shared" si="167"/>
        <v>1.8985507246376812</v>
      </c>
      <c r="Q1513" s="7">
        <f>J1513*'Model inputs'!$B$8</f>
        <v>6900</v>
      </c>
      <c r="R1513" s="1" t="s">
        <v>162</v>
      </c>
      <c r="S1513" s="1">
        <v>787</v>
      </c>
      <c r="T1513" s="1">
        <v>806</v>
      </c>
    </row>
    <row r="1514" spans="1:20" ht="21" customHeight="1">
      <c r="A1514" s="8">
        <v>46258</v>
      </c>
      <c r="B1514" s="1" t="s">
        <v>34</v>
      </c>
      <c r="C1514" s="1" t="s">
        <v>90</v>
      </c>
      <c r="D1514" s="7">
        <v>6000</v>
      </c>
      <c r="E1514" s="7">
        <v>6200</v>
      </c>
      <c r="F1514" s="7">
        <v>6400</v>
      </c>
      <c r="G1514" s="7">
        <f>'Option source'!B659</f>
        <v>91.55</v>
      </c>
      <c r="H1514" s="7">
        <f>'Option source'!B678</f>
        <v>127.23</v>
      </c>
      <c r="I1514" s="7">
        <f>'Option source'!B697</f>
        <v>175.6</v>
      </c>
      <c r="J1514" s="7">
        <f t="shared" si="161"/>
        <v>12.689999999999969</v>
      </c>
      <c r="K1514" s="7">
        <f t="shared" si="162"/>
        <v>200</v>
      </c>
      <c r="L1514" s="7">
        <f t="shared" si="163"/>
        <v>187.31000000000003</v>
      </c>
      <c r="M1514" s="7">
        <f t="shared" si="164"/>
        <v>12.689999999999969</v>
      </c>
      <c r="N1514" s="7">
        <f t="shared" si="165"/>
        <v>6012.69</v>
      </c>
      <c r="O1514" s="7">
        <f t="shared" si="166"/>
        <v>6387.31</v>
      </c>
      <c r="P1514" s="15">
        <f t="shared" si="167"/>
        <v>14.760441292356225</v>
      </c>
      <c r="Q1514" s="7">
        <f>J1514*'Model inputs'!$B$8</f>
        <v>1268.9999999999968</v>
      </c>
      <c r="R1514" s="1" t="s">
        <v>162</v>
      </c>
      <c r="S1514" s="1">
        <v>654</v>
      </c>
      <c r="T1514" s="1">
        <v>673</v>
      </c>
    </row>
    <row r="1515" spans="1:20" ht="21" customHeight="1">
      <c r="A1515" s="8">
        <v>46258</v>
      </c>
      <c r="B1515" s="1" t="s">
        <v>34</v>
      </c>
      <c r="C1515" s="1" t="s">
        <v>87</v>
      </c>
      <c r="D1515" s="7">
        <v>7600</v>
      </c>
      <c r="E1515" s="7">
        <v>7800</v>
      </c>
      <c r="F1515" s="7">
        <v>8000</v>
      </c>
      <c r="G1515" s="7">
        <f>'Option source'!B317</f>
        <v>327.63</v>
      </c>
      <c r="H1515" s="7">
        <f>'Option source'!B336</f>
        <v>260.44</v>
      </c>
      <c r="I1515" s="7">
        <f>'Option source'!B355</f>
        <v>204.83</v>
      </c>
      <c r="J1515" s="7">
        <f t="shared" si="161"/>
        <v>11.580000000000013</v>
      </c>
      <c r="K1515" s="7">
        <f t="shared" si="162"/>
        <v>200</v>
      </c>
      <c r="L1515" s="7">
        <f t="shared" si="163"/>
        <v>188.42</v>
      </c>
      <c r="M1515" s="7">
        <f t="shared" si="164"/>
        <v>11.580000000000013</v>
      </c>
      <c r="N1515" s="7">
        <f t="shared" si="165"/>
        <v>7611.58</v>
      </c>
      <c r="O1515" s="7">
        <f t="shared" si="166"/>
        <v>7988.42</v>
      </c>
      <c r="P1515" s="15">
        <f t="shared" si="167"/>
        <v>16.271157167530205</v>
      </c>
      <c r="Q1515" s="7">
        <f>J1515*'Model inputs'!$B$8</f>
        <v>1158.0000000000014</v>
      </c>
      <c r="R1515" s="1" t="s">
        <v>162</v>
      </c>
      <c r="S1515" s="1">
        <v>312</v>
      </c>
      <c r="T1515" s="1">
        <v>331</v>
      </c>
    </row>
    <row r="1516" spans="1:20" ht="21" customHeight="1">
      <c r="A1516" s="8">
        <v>46258</v>
      </c>
      <c r="B1516" s="1" t="s">
        <v>34</v>
      </c>
      <c r="C1516" s="1" t="s">
        <v>90</v>
      </c>
      <c r="D1516" s="7">
        <v>5800</v>
      </c>
      <c r="E1516" s="7">
        <v>6000</v>
      </c>
      <c r="F1516" s="7">
        <v>6200</v>
      </c>
      <c r="G1516" s="7">
        <f>'Option source'!B640</f>
        <v>61.45</v>
      </c>
      <c r="H1516" s="7">
        <f>'Option source'!B659</f>
        <v>91.55</v>
      </c>
      <c r="I1516" s="7">
        <f>'Option source'!B678</f>
        <v>127.23</v>
      </c>
      <c r="J1516" s="7">
        <f t="shared" si="161"/>
        <v>5.5800000000000125</v>
      </c>
      <c r="K1516" s="7">
        <f t="shared" si="162"/>
        <v>200</v>
      </c>
      <c r="L1516" s="7">
        <f t="shared" si="163"/>
        <v>194.42</v>
      </c>
      <c r="M1516" s="7">
        <f t="shared" si="164"/>
        <v>5.5800000000000125</v>
      </c>
      <c r="N1516" s="7">
        <f t="shared" si="165"/>
        <v>5805.58</v>
      </c>
      <c r="O1516" s="7">
        <f t="shared" si="166"/>
        <v>6194.42</v>
      </c>
      <c r="P1516" s="15">
        <f t="shared" si="167"/>
        <v>34.842293906809957</v>
      </c>
      <c r="Q1516" s="7">
        <f>J1516*'Model inputs'!$B$8</f>
        <v>558.00000000000125</v>
      </c>
      <c r="R1516" s="1" t="s">
        <v>162</v>
      </c>
      <c r="S1516" s="1">
        <v>635</v>
      </c>
      <c r="T1516" s="1">
        <v>654</v>
      </c>
    </row>
    <row r="1517" spans="1:20" ht="21" customHeight="1">
      <c r="A1517" s="8">
        <v>46258</v>
      </c>
      <c r="B1517" s="1" t="s">
        <v>34</v>
      </c>
      <c r="C1517" s="1" t="s">
        <v>90</v>
      </c>
      <c r="D1517" s="7">
        <v>5600</v>
      </c>
      <c r="E1517" s="7">
        <v>5800</v>
      </c>
      <c r="F1517" s="7">
        <v>6000</v>
      </c>
      <c r="G1517" s="7">
        <f>'Option source'!B621</f>
        <v>39.35</v>
      </c>
      <c r="H1517" s="7">
        <f>'Option source'!B640</f>
        <v>61.45</v>
      </c>
      <c r="I1517" s="7">
        <f>'Option source'!B659</f>
        <v>91.55</v>
      </c>
      <c r="J1517" s="7">
        <f t="shared" si="161"/>
        <v>7.9999999999999858</v>
      </c>
      <c r="K1517" s="7">
        <f t="shared" si="162"/>
        <v>200</v>
      </c>
      <c r="L1517" s="7">
        <f t="shared" si="163"/>
        <v>192</v>
      </c>
      <c r="M1517" s="7">
        <f t="shared" si="164"/>
        <v>7.9999999999999858</v>
      </c>
      <c r="N1517" s="7">
        <f t="shared" si="165"/>
        <v>5608</v>
      </c>
      <c r="O1517" s="7">
        <f t="shared" si="166"/>
        <v>5992</v>
      </c>
      <c r="P1517" s="15">
        <f t="shared" si="167"/>
        <v>24.000000000000043</v>
      </c>
      <c r="Q1517" s="7">
        <f>J1517*'Model inputs'!$B$8</f>
        <v>799.99999999999864</v>
      </c>
      <c r="R1517" s="1" t="s">
        <v>162</v>
      </c>
      <c r="S1517" s="1">
        <v>616</v>
      </c>
      <c r="T1517" s="1">
        <v>635</v>
      </c>
    </row>
    <row r="1518" spans="1:20" ht="21" customHeight="1">
      <c r="A1518" s="8">
        <v>46258</v>
      </c>
      <c r="B1518" s="1" t="s">
        <v>34</v>
      </c>
      <c r="C1518" s="1" t="s">
        <v>87</v>
      </c>
      <c r="D1518" s="7">
        <v>8000</v>
      </c>
      <c r="E1518" s="7">
        <v>8300</v>
      </c>
      <c r="F1518" s="7">
        <v>8600</v>
      </c>
      <c r="G1518" s="7">
        <f>'Option source'!B355</f>
        <v>204.83</v>
      </c>
      <c r="H1518" s="7">
        <f>'Option source'!B374</f>
        <v>139.29</v>
      </c>
      <c r="I1518" s="7">
        <f>'Option source'!B393</f>
        <v>95.25</v>
      </c>
      <c r="J1518" s="7">
        <f t="shared" si="161"/>
        <v>21.500000000000028</v>
      </c>
      <c r="K1518" s="7">
        <f t="shared" si="162"/>
        <v>300</v>
      </c>
      <c r="L1518" s="7">
        <f t="shared" si="163"/>
        <v>278.5</v>
      </c>
      <c r="M1518" s="7">
        <f t="shared" si="164"/>
        <v>21.500000000000028</v>
      </c>
      <c r="N1518" s="7">
        <f t="shared" si="165"/>
        <v>8021.5</v>
      </c>
      <c r="O1518" s="7">
        <f t="shared" si="166"/>
        <v>8578.5</v>
      </c>
      <c r="P1518" s="15">
        <f t="shared" si="167"/>
        <v>12.953488372093005</v>
      </c>
      <c r="Q1518" s="7">
        <f>J1518*'Model inputs'!$B$8</f>
        <v>2150.0000000000027</v>
      </c>
      <c r="R1518" s="1" t="s">
        <v>162</v>
      </c>
      <c r="S1518" s="1">
        <v>350</v>
      </c>
      <c r="T1518" s="1">
        <v>369</v>
      </c>
    </row>
    <row r="1519" spans="1:20" ht="21" customHeight="1">
      <c r="A1519" s="8">
        <v>46258</v>
      </c>
      <c r="B1519" s="1" t="s">
        <v>34</v>
      </c>
      <c r="C1519" s="1" t="s">
        <v>90</v>
      </c>
      <c r="D1519" s="7">
        <v>5400</v>
      </c>
      <c r="E1519" s="7">
        <v>5600</v>
      </c>
      <c r="F1519" s="7">
        <v>5800</v>
      </c>
      <c r="G1519" s="7">
        <f>'Option source'!B602</f>
        <v>26.64</v>
      </c>
      <c r="H1519" s="7">
        <f>'Option source'!B621</f>
        <v>39.35</v>
      </c>
      <c r="I1519" s="7">
        <f>'Option source'!B640</f>
        <v>61.45</v>
      </c>
      <c r="J1519" s="7">
        <f t="shared" si="161"/>
        <v>9.39</v>
      </c>
      <c r="K1519" s="7">
        <f t="shared" si="162"/>
        <v>200</v>
      </c>
      <c r="L1519" s="7">
        <f t="shared" si="163"/>
        <v>190.61</v>
      </c>
      <c r="M1519" s="7">
        <f t="shared" si="164"/>
        <v>9.39</v>
      </c>
      <c r="N1519" s="7">
        <f t="shared" si="165"/>
        <v>5409.39</v>
      </c>
      <c r="O1519" s="7">
        <f t="shared" si="166"/>
        <v>5790.61</v>
      </c>
      <c r="P1519" s="15">
        <f t="shared" si="167"/>
        <v>20.299254526091588</v>
      </c>
      <c r="Q1519" s="7">
        <f>J1519*'Model inputs'!$B$8</f>
        <v>939</v>
      </c>
      <c r="R1519" s="1" t="s">
        <v>162</v>
      </c>
      <c r="S1519" s="1">
        <v>597</v>
      </c>
      <c r="T1519" s="1">
        <v>616</v>
      </c>
    </row>
    <row r="1520" spans="1:20" ht="21" customHeight="1">
      <c r="A1520" s="8">
        <v>46258</v>
      </c>
      <c r="B1520" s="1" t="s">
        <v>34</v>
      </c>
      <c r="C1520" s="1" t="s">
        <v>90</v>
      </c>
      <c r="D1520" s="7">
        <v>5200</v>
      </c>
      <c r="E1520" s="7">
        <v>5400</v>
      </c>
      <c r="F1520" s="7">
        <v>5600</v>
      </c>
      <c r="G1520" s="7">
        <f>'Option source'!B583</f>
        <v>16.73</v>
      </c>
      <c r="H1520" s="7">
        <f>'Option source'!B602</f>
        <v>26.64</v>
      </c>
      <c r="I1520" s="7">
        <f>'Option source'!B621</f>
        <v>39.35</v>
      </c>
      <c r="J1520" s="7">
        <f t="shared" si="161"/>
        <v>2.8000000000000043</v>
      </c>
      <c r="K1520" s="7">
        <f t="shared" si="162"/>
        <v>200</v>
      </c>
      <c r="L1520" s="7">
        <f t="shared" si="163"/>
        <v>197.2</v>
      </c>
      <c r="M1520" s="7">
        <f t="shared" si="164"/>
        <v>2.8000000000000043</v>
      </c>
      <c r="N1520" s="7">
        <f t="shared" si="165"/>
        <v>5202.8</v>
      </c>
      <c r="O1520" s="7">
        <f t="shared" si="166"/>
        <v>5597.2</v>
      </c>
      <c r="P1520" s="15">
        <f t="shared" si="167"/>
        <v>70.428571428571317</v>
      </c>
      <c r="Q1520" s="7">
        <f>J1520*'Model inputs'!$B$8</f>
        <v>280.00000000000045</v>
      </c>
      <c r="R1520" s="1" t="s">
        <v>162</v>
      </c>
      <c r="S1520" s="1">
        <v>578</v>
      </c>
      <c r="T1520" s="1">
        <v>597</v>
      </c>
    </row>
    <row r="1521" spans="1:20" ht="21" customHeight="1">
      <c r="A1521" s="8">
        <v>46258</v>
      </c>
      <c r="B1521" s="1" t="s">
        <v>34</v>
      </c>
      <c r="C1521" s="1" t="s">
        <v>87</v>
      </c>
      <c r="D1521" s="7">
        <v>8300</v>
      </c>
      <c r="E1521" s="7">
        <v>8600</v>
      </c>
      <c r="F1521" s="7">
        <v>8900</v>
      </c>
      <c r="G1521" s="7">
        <f>'Option source'!B374</f>
        <v>139.29</v>
      </c>
      <c r="H1521" s="7">
        <f>'Option source'!B393</f>
        <v>95.25</v>
      </c>
      <c r="I1521" s="7">
        <f>'Option source'!B412</f>
        <v>63.96</v>
      </c>
      <c r="J1521" s="7">
        <f t="shared" si="161"/>
        <v>12.749999999999993</v>
      </c>
      <c r="K1521" s="7">
        <f t="shared" si="162"/>
        <v>300</v>
      </c>
      <c r="L1521" s="7">
        <f t="shared" si="163"/>
        <v>287.25</v>
      </c>
      <c r="M1521" s="7">
        <f t="shared" si="164"/>
        <v>12.749999999999993</v>
      </c>
      <c r="N1521" s="7">
        <f t="shared" si="165"/>
        <v>8312.75</v>
      </c>
      <c r="O1521" s="7">
        <f t="shared" si="166"/>
        <v>8887.25</v>
      </c>
      <c r="P1521" s="15">
        <f t="shared" si="167"/>
        <v>22.529411764705895</v>
      </c>
      <c r="Q1521" s="7">
        <f>J1521*'Model inputs'!$B$8</f>
        <v>1274.9999999999993</v>
      </c>
      <c r="R1521" s="1" t="s">
        <v>162</v>
      </c>
      <c r="S1521" s="1">
        <v>369</v>
      </c>
      <c r="T1521" s="1">
        <v>388</v>
      </c>
    </row>
    <row r="1522" spans="1:20" ht="21" customHeight="1">
      <c r="A1522" s="8">
        <v>46258</v>
      </c>
      <c r="B1522" s="1" t="s">
        <v>34</v>
      </c>
      <c r="C1522" s="1" t="s">
        <v>90</v>
      </c>
      <c r="D1522" s="7">
        <v>5000</v>
      </c>
      <c r="E1522" s="7">
        <v>5200</v>
      </c>
      <c r="F1522" s="7">
        <v>5400</v>
      </c>
      <c r="G1522" s="7">
        <f>'Option source'!B564</f>
        <v>11.17</v>
      </c>
      <c r="H1522" s="7">
        <f>'Option source'!B583</f>
        <v>16.73</v>
      </c>
      <c r="I1522" s="7">
        <f>'Option source'!B602</f>
        <v>26.64</v>
      </c>
      <c r="J1522" s="7">
        <f t="shared" si="161"/>
        <v>4.3500000000000014</v>
      </c>
      <c r="K1522" s="7">
        <f t="shared" si="162"/>
        <v>200</v>
      </c>
      <c r="L1522" s="7">
        <f t="shared" si="163"/>
        <v>195.65</v>
      </c>
      <c r="M1522" s="7">
        <f t="shared" si="164"/>
        <v>4.3500000000000014</v>
      </c>
      <c r="N1522" s="7">
        <f t="shared" si="165"/>
        <v>5004.3500000000004</v>
      </c>
      <c r="O1522" s="7">
        <f t="shared" si="166"/>
        <v>5395.65</v>
      </c>
      <c r="P1522" s="15">
        <f t="shared" si="167"/>
        <v>44.977011494252864</v>
      </c>
      <c r="Q1522" s="7">
        <f>J1522*'Model inputs'!$B$8</f>
        <v>435.00000000000011</v>
      </c>
      <c r="R1522" s="1" t="s">
        <v>162</v>
      </c>
      <c r="S1522" s="1">
        <v>559</v>
      </c>
      <c r="T1522" s="1">
        <v>578</v>
      </c>
    </row>
    <row r="1523" spans="1:20" ht="21" customHeight="1">
      <c r="A1523" s="8">
        <v>46258</v>
      </c>
      <c r="B1523" s="1" t="s">
        <v>34</v>
      </c>
      <c r="C1523" s="1" t="s">
        <v>87</v>
      </c>
      <c r="D1523" s="7">
        <v>8600</v>
      </c>
      <c r="E1523" s="7">
        <v>8900</v>
      </c>
      <c r="F1523" s="7">
        <v>9200</v>
      </c>
      <c r="G1523" s="7">
        <f>'Option source'!B393</f>
        <v>95.25</v>
      </c>
      <c r="H1523" s="7">
        <f>'Option source'!B412</f>
        <v>63.96</v>
      </c>
      <c r="I1523" s="7">
        <f>'Option source'!B431</f>
        <v>43.1</v>
      </c>
      <c r="J1523" s="7">
        <f t="shared" si="161"/>
        <v>10.43</v>
      </c>
      <c r="K1523" s="7">
        <f t="shared" si="162"/>
        <v>300</v>
      </c>
      <c r="L1523" s="7">
        <f t="shared" si="163"/>
        <v>289.57</v>
      </c>
      <c r="M1523" s="7">
        <f t="shared" si="164"/>
        <v>10.43</v>
      </c>
      <c r="N1523" s="7">
        <f t="shared" si="165"/>
        <v>8610.43</v>
      </c>
      <c r="O1523" s="7">
        <f t="shared" si="166"/>
        <v>9189.57</v>
      </c>
      <c r="P1523" s="15">
        <f t="shared" si="167"/>
        <v>27.763183125599234</v>
      </c>
      <c r="Q1523" s="7">
        <f>J1523*'Model inputs'!$B$8</f>
        <v>1043</v>
      </c>
      <c r="R1523" s="1" t="s">
        <v>162</v>
      </c>
      <c r="S1523" s="1">
        <v>388</v>
      </c>
      <c r="T1523" s="1">
        <v>407</v>
      </c>
    </row>
    <row r="1524" spans="1:20" ht="21" customHeight="1">
      <c r="A1524" s="8">
        <v>46258</v>
      </c>
      <c r="B1524" s="1" t="s">
        <v>34</v>
      </c>
      <c r="C1524" s="1" t="s">
        <v>90</v>
      </c>
      <c r="D1524" s="7">
        <v>4800</v>
      </c>
      <c r="E1524" s="7">
        <v>5000</v>
      </c>
      <c r="F1524" s="7">
        <v>5200</v>
      </c>
      <c r="G1524" s="7">
        <f>'Option source'!B545</f>
        <v>6</v>
      </c>
      <c r="H1524" s="7">
        <f>'Option source'!B564</f>
        <v>11.17</v>
      </c>
      <c r="I1524" s="7">
        <f>'Option source'!B583</f>
        <v>16.73</v>
      </c>
      <c r="J1524" s="7">
        <f t="shared" si="161"/>
        <v>0.39000000000000057</v>
      </c>
      <c r="K1524" s="7">
        <f t="shared" si="162"/>
        <v>200</v>
      </c>
      <c r="L1524" s="7">
        <f t="shared" si="163"/>
        <v>199.61</v>
      </c>
      <c r="M1524" s="7">
        <f t="shared" si="164"/>
        <v>0.39000000000000057</v>
      </c>
      <c r="N1524" s="7">
        <f t="shared" si="165"/>
        <v>4800.3900000000003</v>
      </c>
      <c r="O1524" s="7">
        <f t="shared" si="166"/>
        <v>5199.6099999999997</v>
      </c>
      <c r="P1524" s="15">
        <f t="shared" si="167"/>
        <v>511.82051282051214</v>
      </c>
      <c r="Q1524" s="7">
        <f>J1524*'Model inputs'!$B$8</f>
        <v>39.000000000000057</v>
      </c>
      <c r="R1524" s="1" t="s">
        <v>162</v>
      </c>
      <c r="S1524" s="1">
        <v>540</v>
      </c>
      <c r="T1524" s="1">
        <v>559</v>
      </c>
    </row>
    <row r="1525" spans="1:20" ht="21" customHeight="1">
      <c r="A1525" s="8">
        <v>46258</v>
      </c>
      <c r="B1525" s="1" t="s">
        <v>34</v>
      </c>
      <c r="C1525" s="1" t="s">
        <v>90</v>
      </c>
      <c r="D1525" s="7">
        <v>4600</v>
      </c>
      <c r="E1525" s="7">
        <v>4800</v>
      </c>
      <c r="F1525" s="7">
        <v>5000</v>
      </c>
      <c r="G1525" s="7">
        <f>'Option source'!B526</f>
        <v>4.68</v>
      </c>
      <c r="H1525" s="7">
        <f>'Option source'!B545</f>
        <v>6</v>
      </c>
      <c r="I1525" s="7">
        <f>'Option source'!B564</f>
        <v>11.17</v>
      </c>
      <c r="J1525" s="7">
        <f t="shared" si="161"/>
        <v>3.8499999999999996</v>
      </c>
      <c r="K1525" s="7">
        <f t="shared" si="162"/>
        <v>200</v>
      </c>
      <c r="L1525" s="7">
        <f t="shared" si="163"/>
        <v>196.15</v>
      </c>
      <c r="M1525" s="7">
        <f t="shared" si="164"/>
        <v>3.8499999999999996</v>
      </c>
      <c r="N1525" s="7">
        <f t="shared" si="165"/>
        <v>4603.8500000000004</v>
      </c>
      <c r="O1525" s="7">
        <f t="shared" si="166"/>
        <v>4996.1499999999996</v>
      </c>
      <c r="P1525" s="15">
        <f t="shared" si="167"/>
        <v>50.948051948051955</v>
      </c>
      <c r="Q1525" s="7">
        <f>J1525*'Model inputs'!$B$8</f>
        <v>384.99999999999994</v>
      </c>
      <c r="R1525" s="1" t="s">
        <v>162</v>
      </c>
      <c r="S1525" s="1">
        <v>521</v>
      </c>
      <c r="T1525" s="1">
        <v>540</v>
      </c>
    </row>
    <row r="1526" spans="1:20" ht="21" customHeight="1">
      <c r="A1526" s="8">
        <v>46258</v>
      </c>
      <c r="B1526" s="1" t="s">
        <v>34</v>
      </c>
      <c r="C1526" s="1" t="s">
        <v>87</v>
      </c>
      <c r="D1526" s="7">
        <v>8900</v>
      </c>
      <c r="E1526" s="7">
        <v>9200</v>
      </c>
      <c r="F1526" s="7">
        <v>9500</v>
      </c>
      <c r="G1526" s="7">
        <f>'Option source'!B412</f>
        <v>63.96</v>
      </c>
      <c r="H1526" s="7">
        <f>'Option source'!B431</f>
        <v>43.1</v>
      </c>
      <c r="I1526" s="7">
        <f>'Option source'!B450</f>
        <v>28.72</v>
      </c>
      <c r="J1526" s="7">
        <f t="shared" si="161"/>
        <v>6.4799999999999969</v>
      </c>
      <c r="K1526" s="7">
        <f t="shared" si="162"/>
        <v>300</v>
      </c>
      <c r="L1526" s="7">
        <f t="shared" si="163"/>
        <v>293.52</v>
      </c>
      <c r="M1526" s="7">
        <f t="shared" si="164"/>
        <v>6.4799999999999969</v>
      </c>
      <c r="N1526" s="7">
        <f t="shared" si="165"/>
        <v>8906.48</v>
      </c>
      <c r="O1526" s="7">
        <f t="shared" si="166"/>
        <v>9493.52</v>
      </c>
      <c r="P1526" s="15">
        <f t="shared" si="167"/>
        <v>45.296296296296312</v>
      </c>
      <c r="Q1526" s="7">
        <f>J1526*'Model inputs'!$B$8</f>
        <v>647.99999999999966</v>
      </c>
      <c r="R1526" s="1" t="s">
        <v>162</v>
      </c>
      <c r="S1526" s="1">
        <v>407</v>
      </c>
      <c r="T1526" s="1">
        <v>426</v>
      </c>
    </row>
    <row r="1527" spans="1:20" ht="21" customHeight="1">
      <c r="A1527" s="8">
        <v>46258</v>
      </c>
      <c r="B1527" s="1" t="s">
        <v>34</v>
      </c>
      <c r="C1527" s="1" t="s">
        <v>90</v>
      </c>
      <c r="D1527" s="7">
        <v>4400</v>
      </c>
      <c r="E1527" s="7">
        <v>4600</v>
      </c>
      <c r="F1527" s="7">
        <v>4800</v>
      </c>
      <c r="G1527" s="7">
        <f>'Option source'!B507</f>
        <v>3.67</v>
      </c>
      <c r="H1527" s="7">
        <f>'Option source'!B526</f>
        <v>4.68</v>
      </c>
      <c r="I1527" s="7">
        <f>'Option source'!B545</f>
        <v>6</v>
      </c>
      <c r="J1527" s="7">
        <f t="shared" si="161"/>
        <v>0.3100000000000005</v>
      </c>
      <c r="K1527" s="7">
        <f t="shared" si="162"/>
        <v>200</v>
      </c>
      <c r="L1527" s="7">
        <f t="shared" si="163"/>
        <v>199.69</v>
      </c>
      <c r="M1527" s="7">
        <f t="shared" si="164"/>
        <v>0.3100000000000005</v>
      </c>
      <c r="N1527" s="7">
        <f t="shared" si="165"/>
        <v>4400.3100000000004</v>
      </c>
      <c r="O1527" s="7">
        <f t="shared" si="166"/>
        <v>4799.6899999999996</v>
      </c>
      <c r="P1527" s="15">
        <f t="shared" si="167"/>
        <v>644.16129032257959</v>
      </c>
      <c r="Q1527" s="7">
        <f>J1527*'Model inputs'!$B$8</f>
        <v>31.00000000000005</v>
      </c>
      <c r="R1527" s="1" t="s">
        <v>162</v>
      </c>
      <c r="S1527" s="1">
        <v>502</v>
      </c>
      <c r="T1527" s="1">
        <v>521</v>
      </c>
    </row>
    <row r="1528" spans="1:20" ht="21" customHeight="1">
      <c r="A1528" s="8">
        <v>46258</v>
      </c>
      <c r="B1528" s="1" t="s">
        <v>34</v>
      </c>
      <c r="C1528" s="1" t="s">
        <v>90</v>
      </c>
      <c r="D1528" s="7">
        <v>7200</v>
      </c>
      <c r="E1528" s="7">
        <v>7400</v>
      </c>
      <c r="F1528" s="7">
        <v>7600</v>
      </c>
      <c r="G1528" s="7">
        <f>'Option source'!B773</f>
        <v>509.16</v>
      </c>
      <c r="H1528" s="7">
        <f>'Option source'!B792</f>
        <v>620</v>
      </c>
      <c r="I1528" s="7">
        <f>'Option source'!B811</f>
        <v>711</v>
      </c>
      <c r="J1528" s="7">
        <f t="shared" si="161"/>
        <v>-19.839999999999918</v>
      </c>
      <c r="K1528" s="7">
        <f t="shared" si="162"/>
        <v>200</v>
      </c>
      <c r="L1528" s="7">
        <f t="shared" si="163"/>
        <v>219.83999999999992</v>
      </c>
      <c r="M1528" s="7">
        <f t="shared" si="164"/>
        <v>0</v>
      </c>
      <c r="N1528" s="7" t="str">
        <f t="shared" si="165"/>
        <v>n.a.</v>
      </c>
      <c r="O1528" s="7" t="str">
        <f t="shared" si="166"/>
        <v>n.a.</v>
      </c>
      <c r="P1528" s="15" t="str">
        <f t="shared" si="167"/>
        <v>n.a.</v>
      </c>
      <c r="Q1528" s="7">
        <f>J1528*'Model inputs'!$B$8</f>
        <v>-1983.9999999999918</v>
      </c>
      <c r="R1528" s="1" t="s">
        <v>163</v>
      </c>
      <c r="S1528" s="1">
        <v>768</v>
      </c>
      <c r="T1528" s="1">
        <v>787</v>
      </c>
    </row>
    <row r="1529" spans="1:20" ht="21" customHeight="1">
      <c r="A1529" s="8">
        <v>46258</v>
      </c>
      <c r="B1529" s="1" t="s">
        <v>34</v>
      </c>
      <c r="C1529" s="1" t="s">
        <v>87</v>
      </c>
      <c r="D1529" s="7">
        <v>6200</v>
      </c>
      <c r="E1529" s="7">
        <v>6400</v>
      </c>
      <c r="F1529" s="7">
        <v>6600</v>
      </c>
      <c r="G1529" s="7">
        <f>'Option source'!B184</f>
        <v>1075</v>
      </c>
      <c r="H1529" s="7">
        <f>'Option source'!B203</f>
        <v>918.25</v>
      </c>
      <c r="I1529" s="7">
        <f>'Option source'!B222</f>
        <v>801.3</v>
      </c>
      <c r="J1529" s="7">
        <f t="shared" si="161"/>
        <v>39.799999999999955</v>
      </c>
      <c r="K1529" s="7">
        <f t="shared" si="162"/>
        <v>200</v>
      </c>
      <c r="L1529" s="7">
        <f t="shared" si="163"/>
        <v>160.20000000000005</v>
      </c>
      <c r="M1529" s="7">
        <f t="shared" si="164"/>
        <v>39.799999999999955</v>
      </c>
      <c r="N1529" s="7">
        <f t="shared" si="165"/>
        <v>6239.8</v>
      </c>
      <c r="O1529" s="7">
        <f t="shared" si="166"/>
        <v>6560.2</v>
      </c>
      <c r="P1529" s="15">
        <f t="shared" si="167"/>
        <v>4.0251256281407093</v>
      </c>
      <c r="Q1529" s="7">
        <f>J1529*'Model inputs'!$B$8</f>
        <v>3979.9999999999955</v>
      </c>
      <c r="R1529" s="1" t="s">
        <v>164</v>
      </c>
      <c r="S1529" s="1">
        <v>179</v>
      </c>
      <c r="T1529" s="1">
        <v>198</v>
      </c>
    </row>
    <row r="1530" spans="1:20" ht="21" customHeight="1">
      <c r="A1530" s="8">
        <v>46258</v>
      </c>
      <c r="B1530" s="1" t="s">
        <v>34</v>
      </c>
      <c r="C1530" s="1" t="s">
        <v>87</v>
      </c>
      <c r="D1530" s="7">
        <v>6000</v>
      </c>
      <c r="E1530" s="7">
        <v>6200</v>
      </c>
      <c r="F1530" s="7">
        <v>6400</v>
      </c>
      <c r="G1530" s="7">
        <f>'Option source'!B165</f>
        <v>1350</v>
      </c>
      <c r="H1530" s="7">
        <f>'Option source'!B184</f>
        <v>1075</v>
      </c>
      <c r="I1530" s="7">
        <f>'Option source'!B203</f>
        <v>918.25</v>
      </c>
      <c r="J1530" s="7">
        <f t="shared" si="161"/>
        <v>118.25</v>
      </c>
      <c r="K1530" s="7">
        <f t="shared" si="162"/>
        <v>200</v>
      </c>
      <c r="L1530" s="7">
        <f t="shared" si="163"/>
        <v>81.75</v>
      </c>
      <c r="M1530" s="7">
        <f t="shared" si="164"/>
        <v>118.25</v>
      </c>
      <c r="N1530" s="7">
        <f t="shared" si="165"/>
        <v>6118.25</v>
      </c>
      <c r="O1530" s="7">
        <f t="shared" si="166"/>
        <v>6281.75</v>
      </c>
      <c r="P1530" s="15">
        <f t="shared" si="167"/>
        <v>0.69133192389006337</v>
      </c>
      <c r="Q1530" s="7">
        <f>J1530*'Model inputs'!$B$8</f>
        <v>11825</v>
      </c>
      <c r="R1530" s="1" t="s">
        <v>164</v>
      </c>
      <c r="S1530" s="1">
        <v>160</v>
      </c>
      <c r="T1530" s="1">
        <v>179</v>
      </c>
    </row>
    <row r="1531" spans="1:20" ht="21" customHeight="1">
      <c r="A1531" s="8">
        <v>46258</v>
      </c>
      <c r="B1531" s="1" t="s">
        <v>34</v>
      </c>
      <c r="C1531" s="1" t="s">
        <v>90</v>
      </c>
      <c r="D1531" s="7">
        <v>7600</v>
      </c>
      <c r="E1531" s="7">
        <v>7800</v>
      </c>
      <c r="F1531" s="7">
        <v>8000</v>
      </c>
      <c r="G1531" s="7">
        <f>'Option source'!B811</f>
        <v>711</v>
      </c>
      <c r="H1531" s="7">
        <f>'Option source'!B830</f>
        <v>871</v>
      </c>
      <c r="I1531" s="7">
        <f>'Option source'!B849</f>
        <v>1000</v>
      </c>
      <c r="J1531" s="7">
        <f t="shared" si="161"/>
        <v>-31</v>
      </c>
      <c r="K1531" s="7">
        <f t="shared" si="162"/>
        <v>200</v>
      </c>
      <c r="L1531" s="7">
        <f t="shared" si="163"/>
        <v>231</v>
      </c>
      <c r="M1531" s="7">
        <f t="shared" si="164"/>
        <v>0</v>
      </c>
      <c r="N1531" s="7" t="str">
        <f t="shared" si="165"/>
        <v>n.a.</v>
      </c>
      <c r="O1531" s="7" t="str">
        <f t="shared" si="166"/>
        <v>n.a.</v>
      </c>
      <c r="P1531" s="15" t="str">
        <f t="shared" si="167"/>
        <v>n.a.</v>
      </c>
      <c r="Q1531" s="7">
        <f>J1531*'Model inputs'!$B$8</f>
        <v>-3100</v>
      </c>
      <c r="R1531" s="1" t="s">
        <v>163</v>
      </c>
      <c r="S1531" s="1">
        <v>806</v>
      </c>
      <c r="T1531" s="1">
        <v>825</v>
      </c>
    </row>
    <row r="1532" spans="1:20" ht="21" customHeight="1">
      <c r="A1532" s="8">
        <v>46258</v>
      </c>
      <c r="B1532" s="1" t="s">
        <v>34</v>
      </c>
      <c r="C1532" s="1" t="s">
        <v>90</v>
      </c>
      <c r="D1532" s="7">
        <v>8000</v>
      </c>
      <c r="E1532" s="7">
        <v>8300</v>
      </c>
      <c r="F1532" s="7">
        <v>8600</v>
      </c>
      <c r="G1532" s="7">
        <f>'Option source'!B849</f>
        <v>1000</v>
      </c>
      <c r="H1532" s="7">
        <f>'Option source'!B868</f>
        <v>1310</v>
      </c>
      <c r="I1532" s="7">
        <f>'Option source'!B887</f>
        <v>1173.55</v>
      </c>
      <c r="J1532" s="7">
        <f t="shared" si="161"/>
        <v>-446.45000000000005</v>
      </c>
      <c r="K1532" s="7">
        <f t="shared" si="162"/>
        <v>300</v>
      </c>
      <c r="L1532" s="7">
        <f t="shared" si="163"/>
        <v>746.45</v>
      </c>
      <c r="M1532" s="7">
        <f t="shared" si="164"/>
        <v>0</v>
      </c>
      <c r="N1532" s="7" t="str">
        <f t="shared" si="165"/>
        <v>n.a.</v>
      </c>
      <c r="O1532" s="7" t="str">
        <f t="shared" si="166"/>
        <v>n.a.</v>
      </c>
      <c r="P1532" s="15" t="str">
        <f t="shared" si="167"/>
        <v>n.a.</v>
      </c>
      <c r="Q1532" s="7">
        <f>J1532*'Model inputs'!$B$8</f>
        <v>-44645.000000000007</v>
      </c>
      <c r="R1532" s="1" t="s">
        <v>163</v>
      </c>
      <c r="S1532" s="1">
        <v>844</v>
      </c>
      <c r="T1532" s="1">
        <v>863</v>
      </c>
    </row>
    <row r="1533" spans="1:20" ht="21" customHeight="1">
      <c r="A1533" s="8">
        <v>46258</v>
      </c>
      <c r="B1533" s="1" t="s">
        <v>34</v>
      </c>
      <c r="C1533" s="1" t="s">
        <v>87</v>
      </c>
      <c r="D1533" s="7">
        <v>5200</v>
      </c>
      <c r="E1533" s="7">
        <v>5400</v>
      </c>
      <c r="F1533" s="7">
        <v>5600</v>
      </c>
      <c r="G1533" s="7">
        <f>'Option source'!B99</f>
        <v>1962</v>
      </c>
      <c r="H1533" s="7">
        <f>'Option source'!B118</f>
        <v>1781.31</v>
      </c>
      <c r="I1533" s="7">
        <f>'Option source'!B136</f>
        <v>1460.62</v>
      </c>
      <c r="J1533" s="7">
        <f t="shared" si="161"/>
        <v>-140</v>
      </c>
      <c r="K1533" s="7">
        <f t="shared" si="162"/>
        <v>200</v>
      </c>
      <c r="L1533" s="7">
        <f t="shared" si="163"/>
        <v>340</v>
      </c>
      <c r="M1533" s="7">
        <f t="shared" si="164"/>
        <v>0</v>
      </c>
      <c r="N1533" s="7" t="str">
        <f t="shared" si="165"/>
        <v>n.a.</v>
      </c>
      <c r="O1533" s="7" t="str">
        <f t="shared" si="166"/>
        <v>n.a.</v>
      </c>
      <c r="P1533" s="15" t="str">
        <f t="shared" si="167"/>
        <v>n.a.</v>
      </c>
      <c r="Q1533" s="7">
        <f>J1533*'Model inputs'!$B$8</f>
        <v>-14000</v>
      </c>
      <c r="R1533" s="1" t="s">
        <v>163</v>
      </c>
      <c r="S1533" s="1">
        <v>94</v>
      </c>
      <c r="T1533" s="1">
        <v>113</v>
      </c>
    </row>
    <row r="1534" spans="1:20" ht="21" customHeight="1">
      <c r="A1534" s="8">
        <v>46258</v>
      </c>
      <c r="B1534" s="1" t="s">
        <v>34</v>
      </c>
      <c r="C1534" s="1" t="s">
        <v>87</v>
      </c>
      <c r="D1534" s="7">
        <v>4200</v>
      </c>
      <c r="E1534" s="7">
        <v>4400</v>
      </c>
      <c r="F1534" s="7">
        <v>4600</v>
      </c>
      <c r="G1534" s="7">
        <f>'Option source'!B8</f>
        <v>2844.35</v>
      </c>
      <c r="H1534" s="7">
        <f>'Option source'!B27</f>
        <v>2387.12</v>
      </c>
      <c r="I1534" s="7">
        <f>'Option source'!B46</f>
        <v>2195.25</v>
      </c>
      <c r="J1534" s="7">
        <f t="shared" si="161"/>
        <v>265.36000000000013</v>
      </c>
      <c r="K1534" s="7">
        <f t="shared" si="162"/>
        <v>200</v>
      </c>
      <c r="L1534" s="7">
        <f t="shared" si="163"/>
        <v>-65.360000000000127</v>
      </c>
      <c r="M1534" s="7">
        <f t="shared" si="164"/>
        <v>265.36000000000013</v>
      </c>
      <c r="N1534" s="7" t="str">
        <f t="shared" si="165"/>
        <v>n.a.</v>
      </c>
      <c r="O1534" s="7" t="str">
        <f t="shared" si="166"/>
        <v>n.a.</v>
      </c>
      <c r="P1534" s="15" t="str">
        <f t="shared" si="167"/>
        <v>n.a.</v>
      </c>
      <c r="Q1534" s="7">
        <f>J1534*'Model inputs'!$B$8</f>
        <v>26536.000000000015</v>
      </c>
      <c r="R1534" s="1" t="s">
        <v>163</v>
      </c>
      <c r="S1534" s="1">
        <v>3</v>
      </c>
      <c r="T1534" s="1">
        <v>22</v>
      </c>
    </row>
    <row r="1535" spans="1:20" ht="21" customHeight="1">
      <c r="A1535" s="8">
        <v>46258</v>
      </c>
      <c r="B1535" s="1" t="s">
        <v>34</v>
      </c>
      <c r="C1535" s="1" t="s">
        <v>90</v>
      </c>
      <c r="D1535" s="7">
        <v>4200</v>
      </c>
      <c r="E1535" s="7">
        <v>4400</v>
      </c>
      <c r="F1535" s="7">
        <v>4600</v>
      </c>
      <c r="G1535" s="7">
        <f>'Option source'!B488</f>
        <v>2.44</v>
      </c>
      <c r="H1535" s="7">
        <f>'Option source'!B507</f>
        <v>3.67</v>
      </c>
      <c r="I1535" s="7">
        <f>'Option source'!B526</f>
        <v>4.68</v>
      </c>
      <c r="J1535" s="7">
        <f t="shared" si="161"/>
        <v>-0.22000000000000064</v>
      </c>
      <c r="K1535" s="7">
        <f t="shared" si="162"/>
        <v>200</v>
      </c>
      <c r="L1535" s="7">
        <f t="shared" si="163"/>
        <v>200.22</v>
      </c>
      <c r="M1535" s="7">
        <f t="shared" si="164"/>
        <v>0</v>
      </c>
      <c r="N1535" s="7" t="str">
        <f t="shared" si="165"/>
        <v>n.a.</v>
      </c>
      <c r="O1535" s="7" t="str">
        <f t="shared" si="166"/>
        <v>n.a.</v>
      </c>
      <c r="P1535" s="15" t="str">
        <f t="shared" si="167"/>
        <v>n.a.</v>
      </c>
      <c r="Q1535" s="7">
        <f>J1535*'Model inputs'!$B$8</f>
        <v>-22.000000000000064</v>
      </c>
      <c r="R1535" s="1" t="s">
        <v>163</v>
      </c>
      <c r="S1535" s="1">
        <v>483</v>
      </c>
      <c r="T1535" s="1">
        <v>502</v>
      </c>
    </row>
    <row r="1536" spans="1:20" ht="21" customHeight="1">
      <c r="A1536" s="8">
        <v>46258</v>
      </c>
      <c r="B1536" s="1" t="s">
        <v>36</v>
      </c>
      <c r="C1536" s="1" t="s">
        <v>87</v>
      </c>
      <c r="D1536" s="7">
        <v>6800</v>
      </c>
      <c r="E1536" s="7">
        <v>7000</v>
      </c>
      <c r="F1536" s="7"/>
      <c r="G1536" s="7">
        <f>'Option source'!B241</f>
        <v>686.77</v>
      </c>
      <c r="H1536" s="7">
        <f>'Option source'!B260</f>
        <v>579.21</v>
      </c>
      <c r="I1536" s="7"/>
      <c r="J1536" s="7">
        <f t="shared" si="161"/>
        <v>-471.65000000000009</v>
      </c>
      <c r="K1536" s="7">
        <f t="shared" si="162"/>
        <v>200</v>
      </c>
      <c r="L1536" s="7">
        <f t="shared" si="163"/>
        <v>671.65000000000009</v>
      </c>
      <c r="M1536" s="7" t="str">
        <f t="shared" si="164"/>
        <v>Unlimited</v>
      </c>
      <c r="N1536" s="7" t="str">
        <f t="shared" si="165"/>
        <v>n.a.</v>
      </c>
      <c r="O1536" s="7">
        <f t="shared" si="166"/>
        <v>7671.65</v>
      </c>
      <c r="P1536" s="15" t="str">
        <f t="shared" si="167"/>
        <v>n.a.</v>
      </c>
      <c r="Q1536" s="7">
        <f>J1536*'Model inputs'!$B$8</f>
        <v>-47165.000000000007</v>
      </c>
      <c r="R1536" s="1" t="s">
        <v>162</v>
      </c>
      <c r="S1536" s="1">
        <v>236</v>
      </c>
      <c r="T1536" s="1">
        <v>255</v>
      </c>
    </row>
    <row r="1537" spans="1:20" ht="21" customHeight="1">
      <c r="A1537" s="8">
        <v>46258</v>
      </c>
      <c r="B1537" s="1" t="s">
        <v>36</v>
      </c>
      <c r="C1537" s="1" t="s">
        <v>90</v>
      </c>
      <c r="D1537" s="7">
        <v>7200</v>
      </c>
      <c r="E1537" s="7">
        <v>7000</v>
      </c>
      <c r="F1537" s="7"/>
      <c r="G1537" s="7">
        <f>'Option source'!B773</f>
        <v>509.16</v>
      </c>
      <c r="H1537" s="7">
        <f>'Option source'!B754</f>
        <v>400.7</v>
      </c>
      <c r="I1537" s="7"/>
      <c r="J1537" s="7">
        <f t="shared" si="161"/>
        <v>-292.23999999999995</v>
      </c>
      <c r="K1537" s="7">
        <f t="shared" si="162"/>
        <v>200</v>
      </c>
      <c r="L1537" s="7">
        <f t="shared" si="163"/>
        <v>492.23999999999995</v>
      </c>
      <c r="M1537" s="7">
        <f t="shared" si="164"/>
        <v>6507.76</v>
      </c>
      <c r="N1537" s="7">
        <f t="shared" si="165"/>
        <v>6507.76</v>
      </c>
      <c r="O1537" s="7" t="str">
        <f t="shared" si="166"/>
        <v>n.a.</v>
      </c>
      <c r="P1537" s="15" t="str">
        <f t="shared" si="167"/>
        <v>n.a.</v>
      </c>
      <c r="Q1537" s="7">
        <f>J1537*'Model inputs'!$B$8</f>
        <v>-29223.999999999996</v>
      </c>
      <c r="R1537" s="1" t="s">
        <v>162</v>
      </c>
      <c r="S1537" s="1">
        <v>768</v>
      </c>
      <c r="T1537" s="1">
        <v>749</v>
      </c>
    </row>
    <row r="1538" spans="1:20" ht="21" customHeight="1">
      <c r="A1538" s="8">
        <v>46258</v>
      </c>
      <c r="B1538" s="1" t="s">
        <v>36</v>
      </c>
      <c r="C1538" s="1" t="s">
        <v>87</v>
      </c>
      <c r="D1538" s="7">
        <v>6600</v>
      </c>
      <c r="E1538" s="7">
        <v>6800</v>
      </c>
      <c r="F1538" s="7"/>
      <c r="G1538" s="7">
        <f>'Option source'!B222</f>
        <v>801.3</v>
      </c>
      <c r="H1538" s="7">
        <f>'Option source'!B241</f>
        <v>686.77</v>
      </c>
      <c r="I1538" s="7"/>
      <c r="J1538" s="7">
        <f t="shared" si="161"/>
        <v>-572.24</v>
      </c>
      <c r="K1538" s="7">
        <f t="shared" si="162"/>
        <v>200</v>
      </c>
      <c r="L1538" s="7">
        <f t="shared" si="163"/>
        <v>772.24</v>
      </c>
      <c r="M1538" s="7" t="str">
        <f t="shared" si="164"/>
        <v>Unlimited</v>
      </c>
      <c r="N1538" s="7" t="str">
        <f t="shared" si="165"/>
        <v>n.a.</v>
      </c>
      <c r="O1538" s="7">
        <f t="shared" si="166"/>
        <v>7572.24</v>
      </c>
      <c r="P1538" s="15" t="str">
        <f t="shared" si="167"/>
        <v>n.a.</v>
      </c>
      <c r="Q1538" s="7">
        <f>J1538*'Model inputs'!$B$8</f>
        <v>-57224</v>
      </c>
      <c r="R1538" s="1" t="s">
        <v>162</v>
      </c>
      <c r="S1538" s="1">
        <v>217</v>
      </c>
      <c r="T1538" s="1">
        <v>236</v>
      </c>
    </row>
    <row r="1539" spans="1:20" ht="21" customHeight="1">
      <c r="A1539" s="8">
        <v>46258</v>
      </c>
      <c r="B1539" s="1" t="s">
        <v>36</v>
      </c>
      <c r="C1539" s="1" t="s">
        <v>90</v>
      </c>
      <c r="D1539" s="7">
        <v>7000</v>
      </c>
      <c r="E1539" s="7">
        <v>6800</v>
      </c>
      <c r="F1539" s="7"/>
      <c r="G1539" s="7">
        <f>'Option source'!B754</f>
        <v>400.7</v>
      </c>
      <c r="H1539" s="7">
        <f>'Option source'!B735</f>
        <v>309</v>
      </c>
      <c r="I1539" s="7"/>
      <c r="J1539" s="7">
        <f t="shared" si="161"/>
        <v>-217.3</v>
      </c>
      <c r="K1539" s="7">
        <f t="shared" si="162"/>
        <v>200</v>
      </c>
      <c r="L1539" s="7">
        <f t="shared" si="163"/>
        <v>417.3</v>
      </c>
      <c r="M1539" s="7">
        <f t="shared" si="164"/>
        <v>6382.7</v>
      </c>
      <c r="N1539" s="7">
        <f t="shared" si="165"/>
        <v>6382.7</v>
      </c>
      <c r="O1539" s="7" t="str">
        <f t="shared" si="166"/>
        <v>n.a.</v>
      </c>
      <c r="P1539" s="15" t="str">
        <f t="shared" si="167"/>
        <v>n.a.</v>
      </c>
      <c r="Q1539" s="7">
        <f>J1539*'Model inputs'!$B$8</f>
        <v>-21730</v>
      </c>
      <c r="R1539" s="1" t="s">
        <v>162</v>
      </c>
      <c r="S1539" s="1">
        <v>749</v>
      </c>
      <c r="T1539" s="1">
        <v>730</v>
      </c>
    </row>
    <row r="1540" spans="1:20" ht="21" customHeight="1">
      <c r="A1540" s="8">
        <v>46258</v>
      </c>
      <c r="B1540" s="1" t="s">
        <v>36</v>
      </c>
      <c r="C1540" s="1" t="s">
        <v>87</v>
      </c>
      <c r="D1540" s="7">
        <v>7000</v>
      </c>
      <c r="E1540" s="7">
        <v>7200</v>
      </c>
      <c r="F1540" s="7"/>
      <c r="G1540" s="7">
        <f>'Option source'!B260</f>
        <v>579.21</v>
      </c>
      <c r="H1540" s="7">
        <f>'Option source'!B279</f>
        <v>485.19</v>
      </c>
      <c r="I1540" s="7"/>
      <c r="J1540" s="7">
        <f t="shared" si="161"/>
        <v>-391.16999999999996</v>
      </c>
      <c r="K1540" s="7">
        <f t="shared" si="162"/>
        <v>200</v>
      </c>
      <c r="L1540" s="7">
        <f t="shared" si="163"/>
        <v>591.16999999999996</v>
      </c>
      <c r="M1540" s="7" t="str">
        <f t="shared" si="164"/>
        <v>Unlimited</v>
      </c>
      <c r="N1540" s="7" t="str">
        <f t="shared" si="165"/>
        <v>n.a.</v>
      </c>
      <c r="O1540" s="7">
        <f t="shared" si="166"/>
        <v>7791.17</v>
      </c>
      <c r="P1540" s="15" t="str">
        <f t="shared" si="167"/>
        <v>n.a.</v>
      </c>
      <c r="Q1540" s="7">
        <f>J1540*'Model inputs'!$B$8</f>
        <v>-39116.999999999993</v>
      </c>
      <c r="R1540" s="1" t="s">
        <v>162</v>
      </c>
      <c r="S1540" s="1">
        <v>255</v>
      </c>
      <c r="T1540" s="1">
        <v>274</v>
      </c>
    </row>
    <row r="1541" spans="1:20" ht="21" customHeight="1">
      <c r="A1541" s="8">
        <v>46258</v>
      </c>
      <c r="B1541" s="1" t="s">
        <v>36</v>
      </c>
      <c r="C1541" s="1" t="s">
        <v>90</v>
      </c>
      <c r="D1541" s="7">
        <v>7400</v>
      </c>
      <c r="E1541" s="7">
        <v>7200</v>
      </c>
      <c r="F1541" s="7"/>
      <c r="G1541" s="7">
        <f>'Option source'!B792</f>
        <v>620</v>
      </c>
      <c r="H1541" s="7">
        <f>'Option source'!B773</f>
        <v>509.16</v>
      </c>
      <c r="I1541" s="7"/>
      <c r="J1541" s="7">
        <f t="shared" si="161"/>
        <v>-398.32000000000005</v>
      </c>
      <c r="K1541" s="7">
        <f t="shared" si="162"/>
        <v>200</v>
      </c>
      <c r="L1541" s="7">
        <f t="shared" si="163"/>
        <v>598.32000000000005</v>
      </c>
      <c r="M1541" s="7">
        <f t="shared" si="164"/>
        <v>6601.68</v>
      </c>
      <c r="N1541" s="7">
        <f t="shared" si="165"/>
        <v>6601.68</v>
      </c>
      <c r="O1541" s="7" t="str">
        <f t="shared" si="166"/>
        <v>n.a.</v>
      </c>
      <c r="P1541" s="15" t="str">
        <f t="shared" si="167"/>
        <v>n.a.</v>
      </c>
      <c r="Q1541" s="7">
        <f>J1541*'Model inputs'!$B$8</f>
        <v>-39832.000000000007</v>
      </c>
      <c r="R1541" s="1" t="s">
        <v>162</v>
      </c>
      <c r="S1541" s="1">
        <v>787</v>
      </c>
      <c r="T1541" s="1">
        <v>768</v>
      </c>
    </row>
    <row r="1542" spans="1:20" ht="21" customHeight="1">
      <c r="A1542" s="8">
        <v>46258</v>
      </c>
      <c r="B1542" s="1" t="s">
        <v>36</v>
      </c>
      <c r="C1542" s="1" t="s">
        <v>87</v>
      </c>
      <c r="D1542" s="7">
        <v>6400</v>
      </c>
      <c r="E1542" s="7">
        <v>6600</v>
      </c>
      <c r="F1542" s="7"/>
      <c r="G1542" s="7">
        <f>'Option source'!B203</f>
        <v>918.25</v>
      </c>
      <c r="H1542" s="7">
        <f>'Option source'!B222</f>
        <v>801.3</v>
      </c>
      <c r="I1542" s="7"/>
      <c r="J1542" s="7">
        <f t="shared" si="161"/>
        <v>-684.34999999999991</v>
      </c>
      <c r="K1542" s="7">
        <f t="shared" si="162"/>
        <v>200</v>
      </c>
      <c r="L1542" s="7">
        <f t="shared" si="163"/>
        <v>884.34999999999991</v>
      </c>
      <c r="M1542" s="7" t="str">
        <f t="shared" si="164"/>
        <v>Unlimited</v>
      </c>
      <c r="N1542" s="7" t="str">
        <f t="shared" si="165"/>
        <v>n.a.</v>
      </c>
      <c r="O1542" s="7">
        <f t="shared" si="166"/>
        <v>7484.35</v>
      </c>
      <c r="P1542" s="15" t="str">
        <f t="shared" si="167"/>
        <v>n.a.</v>
      </c>
      <c r="Q1542" s="7">
        <f>J1542*'Model inputs'!$B$8</f>
        <v>-68434.999999999985</v>
      </c>
      <c r="R1542" s="1" t="s">
        <v>162</v>
      </c>
      <c r="S1542" s="1">
        <v>198</v>
      </c>
      <c r="T1542" s="1">
        <v>217</v>
      </c>
    </row>
    <row r="1543" spans="1:20" ht="21" customHeight="1">
      <c r="A1543" s="8">
        <v>46258</v>
      </c>
      <c r="B1543" s="1" t="s">
        <v>36</v>
      </c>
      <c r="C1543" s="1" t="s">
        <v>90</v>
      </c>
      <c r="D1543" s="7">
        <v>6800</v>
      </c>
      <c r="E1543" s="7">
        <v>6600</v>
      </c>
      <c r="F1543" s="7"/>
      <c r="G1543" s="7">
        <f>'Option source'!B735</f>
        <v>309</v>
      </c>
      <c r="H1543" s="7">
        <f>'Option source'!B716</f>
        <v>235.77</v>
      </c>
      <c r="I1543" s="7"/>
      <c r="J1543" s="7">
        <f t="shared" ref="J1543:J1606" si="168">G1543-2*H1543+IF(B1543="Butterfly",I1543,0)</f>
        <v>-162.54000000000002</v>
      </c>
      <c r="K1543" s="7">
        <f t="shared" ref="K1543:K1606" si="169">ABS(E1543-D1543)</f>
        <v>200</v>
      </c>
      <c r="L1543" s="7">
        <f t="shared" ref="L1543:L1606" si="170">K1543-J1543</f>
        <v>362.54</v>
      </c>
      <c r="M1543" s="7">
        <f t="shared" ref="M1543:M1606" si="171">IF(B1543="Butterfly",MAX(J1543,0),IF(C1543="call","Unlimited",MAX(2*E1543-D1543+J1543,J1543,0)))</f>
        <v>6237.46</v>
      </c>
      <c r="N1543" s="7">
        <f t="shared" ref="N1543:N1606" si="172">IF(B1543="Butterfly",IF(AND(J1543&gt;0,J1543&lt;K1543),D1543+J1543,"n.a."),IF(C1543="call",IF(AND(J1543&gt;0,J1543&lt;K1543),D1543+J1543,"n.a."),IF(AND(K1543&gt;J1543,2*E1543-D1543+J1543&gt;=0),2*E1543-D1543+J1543,"n.a.")))</f>
        <v>6237.46</v>
      </c>
      <c r="O1543" s="7" t="str">
        <f t="shared" ref="O1543:O1606" si="173">IF(B1543="Butterfly",IF(AND(J1543&gt;0,J1543&lt;K1543),F1543-J1543,"n.a."),IF(C1543="call",IF(K1543&gt;J1543,2*E1543-D1543-J1543,"n.a."),IF(AND(J1543&gt;0,J1543&lt;K1543),D1543-J1543,"n.a.")))</f>
        <v>n.a.</v>
      </c>
      <c r="P1543" s="15" t="str">
        <f t="shared" ref="P1543:P1606" si="174">IF(AND(B1543="Butterfly",J1543&gt;0,J1543&lt;K1543),L1543/J1543,"n.a.")</f>
        <v>n.a.</v>
      </c>
      <c r="Q1543" s="7">
        <f>J1543*'Model inputs'!$B$8</f>
        <v>-16254.000000000002</v>
      </c>
      <c r="R1543" s="1" t="s">
        <v>162</v>
      </c>
      <c r="S1543" s="1">
        <v>730</v>
      </c>
      <c r="T1543" s="1">
        <v>711</v>
      </c>
    </row>
    <row r="1544" spans="1:20" ht="21" customHeight="1">
      <c r="A1544" s="8">
        <v>46258</v>
      </c>
      <c r="B1544" s="1" t="s">
        <v>36</v>
      </c>
      <c r="C1544" s="1" t="s">
        <v>87</v>
      </c>
      <c r="D1544" s="7">
        <v>7200</v>
      </c>
      <c r="E1544" s="7">
        <v>7400</v>
      </c>
      <c r="F1544" s="7"/>
      <c r="G1544" s="7">
        <f>'Option source'!B279</f>
        <v>485.19</v>
      </c>
      <c r="H1544" s="7">
        <f>'Option source'!B298</f>
        <v>396.15</v>
      </c>
      <c r="I1544" s="7"/>
      <c r="J1544" s="7">
        <f t="shared" si="168"/>
        <v>-307.10999999999996</v>
      </c>
      <c r="K1544" s="7">
        <f t="shared" si="169"/>
        <v>200</v>
      </c>
      <c r="L1544" s="7">
        <f t="shared" si="170"/>
        <v>507.10999999999996</v>
      </c>
      <c r="M1544" s="7" t="str">
        <f t="shared" si="171"/>
        <v>Unlimited</v>
      </c>
      <c r="N1544" s="7" t="str">
        <f t="shared" si="172"/>
        <v>n.a.</v>
      </c>
      <c r="O1544" s="7">
        <f t="shared" si="173"/>
        <v>7907.11</v>
      </c>
      <c r="P1544" s="15" t="str">
        <f t="shared" si="174"/>
        <v>n.a.</v>
      </c>
      <c r="Q1544" s="7">
        <f>J1544*'Model inputs'!$B$8</f>
        <v>-30710.999999999996</v>
      </c>
      <c r="R1544" s="1" t="s">
        <v>162</v>
      </c>
      <c r="S1544" s="1">
        <v>274</v>
      </c>
      <c r="T1544" s="1">
        <v>293</v>
      </c>
    </row>
    <row r="1545" spans="1:20" ht="21" customHeight="1">
      <c r="A1545" s="8">
        <v>46258</v>
      </c>
      <c r="B1545" s="1" t="s">
        <v>36</v>
      </c>
      <c r="C1545" s="1" t="s">
        <v>90</v>
      </c>
      <c r="D1545" s="7">
        <v>7600</v>
      </c>
      <c r="E1545" s="7">
        <v>7400</v>
      </c>
      <c r="F1545" s="7"/>
      <c r="G1545" s="7">
        <f>'Option source'!B811</f>
        <v>711</v>
      </c>
      <c r="H1545" s="7">
        <f>'Option source'!B792</f>
        <v>620</v>
      </c>
      <c r="I1545" s="7"/>
      <c r="J1545" s="7">
        <f t="shared" si="168"/>
        <v>-529</v>
      </c>
      <c r="K1545" s="7">
        <f t="shared" si="169"/>
        <v>200</v>
      </c>
      <c r="L1545" s="7">
        <f t="shared" si="170"/>
        <v>729</v>
      </c>
      <c r="M1545" s="7">
        <f t="shared" si="171"/>
        <v>6671</v>
      </c>
      <c r="N1545" s="7">
        <f t="shared" si="172"/>
        <v>6671</v>
      </c>
      <c r="O1545" s="7" t="str">
        <f t="shared" si="173"/>
        <v>n.a.</v>
      </c>
      <c r="P1545" s="15" t="str">
        <f t="shared" si="174"/>
        <v>n.a.</v>
      </c>
      <c r="Q1545" s="7">
        <f>J1545*'Model inputs'!$B$8</f>
        <v>-52900</v>
      </c>
      <c r="R1545" s="1" t="s">
        <v>162</v>
      </c>
      <c r="S1545" s="1">
        <v>806</v>
      </c>
      <c r="T1545" s="1">
        <v>787</v>
      </c>
    </row>
    <row r="1546" spans="1:20" ht="21" customHeight="1">
      <c r="A1546" s="8">
        <v>46258</v>
      </c>
      <c r="B1546" s="1" t="s">
        <v>36</v>
      </c>
      <c r="C1546" s="1" t="s">
        <v>90</v>
      </c>
      <c r="D1546" s="7">
        <v>6600</v>
      </c>
      <c r="E1546" s="7">
        <v>6400</v>
      </c>
      <c r="F1546" s="7"/>
      <c r="G1546" s="7">
        <f>'Option source'!B716</f>
        <v>235.77</v>
      </c>
      <c r="H1546" s="7">
        <f>'Option source'!B697</f>
        <v>175.6</v>
      </c>
      <c r="I1546" s="7"/>
      <c r="J1546" s="7">
        <f t="shared" si="168"/>
        <v>-115.42999999999998</v>
      </c>
      <c r="K1546" s="7">
        <f t="shared" si="169"/>
        <v>200</v>
      </c>
      <c r="L1546" s="7">
        <f t="shared" si="170"/>
        <v>315.42999999999995</v>
      </c>
      <c r="M1546" s="7">
        <f t="shared" si="171"/>
        <v>6084.57</v>
      </c>
      <c r="N1546" s="7">
        <f t="shared" si="172"/>
        <v>6084.57</v>
      </c>
      <c r="O1546" s="7" t="str">
        <f t="shared" si="173"/>
        <v>n.a.</v>
      </c>
      <c r="P1546" s="15" t="str">
        <f t="shared" si="174"/>
        <v>n.a.</v>
      </c>
      <c r="Q1546" s="7">
        <f>J1546*'Model inputs'!$B$8</f>
        <v>-11542.999999999998</v>
      </c>
      <c r="R1546" s="1" t="s">
        <v>162</v>
      </c>
      <c r="S1546" s="1">
        <v>711</v>
      </c>
      <c r="T1546" s="1">
        <v>692</v>
      </c>
    </row>
    <row r="1547" spans="1:20" ht="21" customHeight="1">
      <c r="A1547" s="8">
        <v>46258</v>
      </c>
      <c r="B1547" s="1" t="s">
        <v>36</v>
      </c>
      <c r="C1547" s="1" t="s">
        <v>87</v>
      </c>
      <c r="D1547" s="7">
        <v>7400</v>
      </c>
      <c r="E1547" s="7">
        <v>7600</v>
      </c>
      <c r="F1547" s="7"/>
      <c r="G1547" s="7">
        <f>'Option source'!B298</f>
        <v>396.15</v>
      </c>
      <c r="H1547" s="7">
        <f>'Option source'!B317</f>
        <v>327.63</v>
      </c>
      <c r="I1547" s="7"/>
      <c r="J1547" s="7">
        <f t="shared" si="168"/>
        <v>-259.11</v>
      </c>
      <c r="K1547" s="7">
        <f t="shared" si="169"/>
        <v>200</v>
      </c>
      <c r="L1547" s="7">
        <f t="shared" si="170"/>
        <v>459.11</v>
      </c>
      <c r="M1547" s="7" t="str">
        <f t="shared" si="171"/>
        <v>Unlimited</v>
      </c>
      <c r="N1547" s="7" t="str">
        <f t="shared" si="172"/>
        <v>n.a.</v>
      </c>
      <c r="O1547" s="7">
        <f t="shared" si="173"/>
        <v>8059.11</v>
      </c>
      <c r="P1547" s="15" t="str">
        <f t="shared" si="174"/>
        <v>n.a.</v>
      </c>
      <c r="Q1547" s="7">
        <f>J1547*'Model inputs'!$B$8</f>
        <v>-25911</v>
      </c>
      <c r="R1547" s="1" t="s">
        <v>162</v>
      </c>
      <c r="S1547" s="1">
        <v>293</v>
      </c>
      <c r="T1547" s="1">
        <v>312</v>
      </c>
    </row>
    <row r="1548" spans="1:20" ht="21" customHeight="1">
      <c r="A1548" s="8">
        <v>46258</v>
      </c>
      <c r="B1548" s="1" t="s">
        <v>36</v>
      </c>
      <c r="C1548" s="1" t="s">
        <v>90</v>
      </c>
      <c r="D1548" s="7">
        <v>7800</v>
      </c>
      <c r="E1548" s="7">
        <v>7600</v>
      </c>
      <c r="F1548" s="7"/>
      <c r="G1548" s="7">
        <f>'Option source'!B830</f>
        <v>871</v>
      </c>
      <c r="H1548" s="7">
        <f>'Option source'!B811</f>
        <v>711</v>
      </c>
      <c r="I1548" s="7"/>
      <c r="J1548" s="7">
        <f t="shared" si="168"/>
        <v>-551</v>
      </c>
      <c r="K1548" s="7">
        <f t="shared" si="169"/>
        <v>200</v>
      </c>
      <c r="L1548" s="7">
        <f t="shared" si="170"/>
        <v>751</v>
      </c>
      <c r="M1548" s="7">
        <f t="shared" si="171"/>
        <v>6849</v>
      </c>
      <c r="N1548" s="7">
        <f t="shared" si="172"/>
        <v>6849</v>
      </c>
      <c r="O1548" s="7" t="str">
        <f t="shared" si="173"/>
        <v>n.a.</v>
      </c>
      <c r="P1548" s="15" t="str">
        <f t="shared" si="174"/>
        <v>n.a.</v>
      </c>
      <c r="Q1548" s="7">
        <f>J1548*'Model inputs'!$B$8</f>
        <v>-55100</v>
      </c>
      <c r="R1548" s="1" t="s">
        <v>162</v>
      </c>
      <c r="S1548" s="1">
        <v>825</v>
      </c>
      <c r="T1548" s="1">
        <v>806</v>
      </c>
    </row>
    <row r="1549" spans="1:20" ht="21" customHeight="1">
      <c r="A1549" s="8">
        <v>46258</v>
      </c>
      <c r="B1549" s="1" t="s">
        <v>36</v>
      </c>
      <c r="C1549" s="1" t="s">
        <v>90</v>
      </c>
      <c r="D1549" s="7">
        <v>6400</v>
      </c>
      <c r="E1549" s="7">
        <v>6200</v>
      </c>
      <c r="F1549" s="7"/>
      <c r="G1549" s="7">
        <f>'Option source'!B697</f>
        <v>175.6</v>
      </c>
      <c r="H1549" s="7">
        <f>'Option source'!B678</f>
        <v>127.23</v>
      </c>
      <c r="I1549" s="7"/>
      <c r="J1549" s="7">
        <f t="shared" si="168"/>
        <v>-78.860000000000014</v>
      </c>
      <c r="K1549" s="7">
        <f t="shared" si="169"/>
        <v>200</v>
      </c>
      <c r="L1549" s="7">
        <f t="shared" si="170"/>
        <v>278.86</v>
      </c>
      <c r="M1549" s="7">
        <f t="shared" si="171"/>
        <v>5921.14</v>
      </c>
      <c r="N1549" s="7">
        <f t="shared" si="172"/>
        <v>5921.14</v>
      </c>
      <c r="O1549" s="7" t="str">
        <f t="shared" si="173"/>
        <v>n.a.</v>
      </c>
      <c r="P1549" s="15" t="str">
        <f t="shared" si="174"/>
        <v>n.a.</v>
      </c>
      <c r="Q1549" s="7">
        <f>J1549*'Model inputs'!$B$8</f>
        <v>-7886.0000000000018</v>
      </c>
      <c r="R1549" s="1" t="s">
        <v>162</v>
      </c>
      <c r="S1549" s="1">
        <v>692</v>
      </c>
      <c r="T1549" s="1">
        <v>673</v>
      </c>
    </row>
    <row r="1550" spans="1:20" ht="21" customHeight="1">
      <c r="A1550" s="8">
        <v>46258</v>
      </c>
      <c r="B1550" s="1" t="s">
        <v>36</v>
      </c>
      <c r="C1550" s="1" t="s">
        <v>87</v>
      </c>
      <c r="D1550" s="7">
        <v>7600</v>
      </c>
      <c r="E1550" s="7">
        <v>7800</v>
      </c>
      <c r="F1550" s="7"/>
      <c r="G1550" s="7">
        <f>'Option source'!B317</f>
        <v>327.63</v>
      </c>
      <c r="H1550" s="7">
        <f>'Option source'!B336</f>
        <v>260.44</v>
      </c>
      <c r="I1550" s="7"/>
      <c r="J1550" s="7">
        <f t="shared" si="168"/>
        <v>-193.25</v>
      </c>
      <c r="K1550" s="7">
        <f t="shared" si="169"/>
        <v>200</v>
      </c>
      <c r="L1550" s="7">
        <f t="shared" si="170"/>
        <v>393.25</v>
      </c>
      <c r="M1550" s="7" t="str">
        <f t="shared" si="171"/>
        <v>Unlimited</v>
      </c>
      <c r="N1550" s="7" t="str">
        <f t="shared" si="172"/>
        <v>n.a.</v>
      </c>
      <c r="O1550" s="7">
        <f t="shared" si="173"/>
        <v>8193.25</v>
      </c>
      <c r="P1550" s="15" t="str">
        <f t="shared" si="174"/>
        <v>n.a.</v>
      </c>
      <c r="Q1550" s="7">
        <f>J1550*'Model inputs'!$B$8</f>
        <v>-19325</v>
      </c>
      <c r="R1550" s="1" t="s">
        <v>162</v>
      </c>
      <c r="S1550" s="1">
        <v>312</v>
      </c>
      <c r="T1550" s="1">
        <v>331</v>
      </c>
    </row>
    <row r="1551" spans="1:20" ht="21" customHeight="1">
      <c r="A1551" s="8">
        <v>46258</v>
      </c>
      <c r="B1551" s="1" t="s">
        <v>36</v>
      </c>
      <c r="C1551" s="1" t="s">
        <v>90</v>
      </c>
      <c r="D1551" s="7">
        <v>6200</v>
      </c>
      <c r="E1551" s="7">
        <v>6000</v>
      </c>
      <c r="F1551" s="7"/>
      <c r="G1551" s="7">
        <f>'Option source'!B678</f>
        <v>127.23</v>
      </c>
      <c r="H1551" s="7">
        <f>'Option source'!B659</f>
        <v>91.55</v>
      </c>
      <c r="I1551" s="7"/>
      <c r="J1551" s="7">
        <f t="shared" si="168"/>
        <v>-55.86999999999999</v>
      </c>
      <c r="K1551" s="7">
        <f t="shared" si="169"/>
        <v>200</v>
      </c>
      <c r="L1551" s="7">
        <f t="shared" si="170"/>
        <v>255.87</v>
      </c>
      <c r="M1551" s="7">
        <f t="shared" si="171"/>
        <v>5744.13</v>
      </c>
      <c r="N1551" s="7">
        <f t="shared" si="172"/>
        <v>5744.13</v>
      </c>
      <c r="O1551" s="7" t="str">
        <f t="shared" si="173"/>
        <v>n.a.</v>
      </c>
      <c r="P1551" s="15" t="str">
        <f t="shared" si="174"/>
        <v>n.a.</v>
      </c>
      <c r="Q1551" s="7">
        <f>J1551*'Model inputs'!$B$8</f>
        <v>-5586.9999999999991</v>
      </c>
      <c r="R1551" s="1" t="s">
        <v>162</v>
      </c>
      <c r="S1551" s="1">
        <v>673</v>
      </c>
      <c r="T1551" s="1">
        <v>654</v>
      </c>
    </row>
    <row r="1552" spans="1:20" ht="21" customHeight="1">
      <c r="A1552" s="8">
        <v>46258</v>
      </c>
      <c r="B1552" s="1" t="s">
        <v>36</v>
      </c>
      <c r="C1552" s="1" t="s">
        <v>87</v>
      </c>
      <c r="D1552" s="7">
        <v>7800</v>
      </c>
      <c r="E1552" s="7">
        <v>8000</v>
      </c>
      <c r="F1552" s="7"/>
      <c r="G1552" s="7">
        <f>'Option source'!B336</f>
        <v>260.44</v>
      </c>
      <c r="H1552" s="7">
        <f>'Option source'!B355</f>
        <v>204.83</v>
      </c>
      <c r="I1552" s="7"/>
      <c r="J1552" s="7">
        <f t="shared" si="168"/>
        <v>-149.22000000000003</v>
      </c>
      <c r="K1552" s="7">
        <f t="shared" si="169"/>
        <v>200</v>
      </c>
      <c r="L1552" s="7">
        <f t="shared" si="170"/>
        <v>349.22</v>
      </c>
      <c r="M1552" s="7" t="str">
        <f t="shared" si="171"/>
        <v>Unlimited</v>
      </c>
      <c r="N1552" s="7" t="str">
        <f t="shared" si="172"/>
        <v>n.a.</v>
      </c>
      <c r="O1552" s="7">
        <f t="shared" si="173"/>
        <v>8349.2199999999993</v>
      </c>
      <c r="P1552" s="15" t="str">
        <f t="shared" si="174"/>
        <v>n.a.</v>
      </c>
      <c r="Q1552" s="7">
        <f>J1552*'Model inputs'!$B$8</f>
        <v>-14922.000000000004</v>
      </c>
      <c r="R1552" s="1" t="s">
        <v>162</v>
      </c>
      <c r="S1552" s="1">
        <v>331</v>
      </c>
      <c r="T1552" s="1">
        <v>350</v>
      </c>
    </row>
    <row r="1553" spans="1:20" ht="21" customHeight="1">
      <c r="A1553" s="8">
        <v>46258</v>
      </c>
      <c r="B1553" s="1" t="s">
        <v>36</v>
      </c>
      <c r="C1553" s="1" t="s">
        <v>90</v>
      </c>
      <c r="D1553" s="7">
        <v>6000</v>
      </c>
      <c r="E1553" s="7">
        <v>5800</v>
      </c>
      <c r="F1553" s="7"/>
      <c r="G1553" s="7">
        <f>'Option source'!B659</f>
        <v>91.55</v>
      </c>
      <c r="H1553" s="7">
        <f>'Option source'!B640</f>
        <v>61.45</v>
      </c>
      <c r="I1553" s="7"/>
      <c r="J1553" s="7">
        <f t="shared" si="168"/>
        <v>-31.350000000000009</v>
      </c>
      <c r="K1553" s="7">
        <f t="shared" si="169"/>
        <v>200</v>
      </c>
      <c r="L1553" s="7">
        <f t="shared" si="170"/>
        <v>231.35000000000002</v>
      </c>
      <c r="M1553" s="7">
        <f t="shared" si="171"/>
        <v>5568.65</v>
      </c>
      <c r="N1553" s="7">
        <f t="shared" si="172"/>
        <v>5568.65</v>
      </c>
      <c r="O1553" s="7" t="str">
        <f t="shared" si="173"/>
        <v>n.a.</v>
      </c>
      <c r="P1553" s="15" t="str">
        <f t="shared" si="174"/>
        <v>n.a.</v>
      </c>
      <c r="Q1553" s="7">
        <f>J1553*'Model inputs'!$B$8</f>
        <v>-3135.0000000000009</v>
      </c>
      <c r="R1553" s="1" t="s">
        <v>162</v>
      </c>
      <c r="S1553" s="1">
        <v>654</v>
      </c>
      <c r="T1553" s="1">
        <v>635</v>
      </c>
    </row>
    <row r="1554" spans="1:20" ht="21" customHeight="1">
      <c r="A1554" s="8">
        <v>46258</v>
      </c>
      <c r="B1554" s="1" t="s">
        <v>36</v>
      </c>
      <c r="C1554" s="1" t="s">
        <v>87</v>
      </c>
      <c r="D1554" s="7">
        <v>8000</v>
      </c>
      <c r="E1554" s="7">
        <v>8300</v>
      </c>
      <c r="F1554" s="7"/>
      <c r="G1554" s="7">
        <f>'Option source'!B355</f>
        <v>204.83</v>
      </c>
      <c r="H1554" s="7">
        <f>'Option source'!B374</f>
        <v>139.29</v>
      </c>
      <c r="I1554" s="7"/>
      <c r="J1554" s="7">
        <f t="shared" si="168"/>
        <v>-73.749999999999972</v>
      </c>
      <c r="K1554" s="7">
        <f t="shared" si="169"/>
        <v>300</v>
      </c>
      <c r="L1554" s="7">
        <f t="shared" si="170"/>
        <v>373.75</v>
      </c>
      <c r="M1554" s="7" t="str">
        <f t="shared" si="171"/>
        <v>Unlimited</v>
      </c>
      <c r="N1554" s="7" t="str">
        <f t="shared" si="172"/>
        <v>n.a.</v>
      </c>
      <c r="O1554" s="7">
        <f t="shared" si="173"/>
        <v>8673.75</v>
      </c>
      <c r="P1554" s="15" t="str">
        <f t="shared" si="174"/>
        <v>n.a.</v>
      </c>
      <c r="Q1554" s="7">
        <f>J1554*'Model inputs'!$B$8</f>
        <v>-7374.9999999999973</v>
      </c>
      <c r="R1554" s="1" t="s">
        <v>162</v>
      </c>
      <c r="S1554" s="1">
        <v>350</v>
      </c>
      <c r="T1554" s="1">
        <v>369</v>
      </c>
    </row>
    <row r="1555" spans="1:20" ht="21" customHeight="1">
      <c r="A1555" s="8">
        <v>46258</v>
      </c>
      <c r="B1555" s="1" t="s">
        <v>36</v>
      </c>
      <c r="C1555" s="1" t="s">
        <v>90</v>
      </c>
      <c r="D1555" s="7">
        <v>5800</v>
      </c>
      <c r="E1555" s="7">
        <v>5600</v>
      </c>
      <c r="F1555" s="7"/>
      <c r="G1555" s="7">
        <f>'Option source'!B640</f>
        <v>61.45</v>
      </c>
      <c r="H1555" s="7">
        <f>'Option source'!B621</f>
        <v>39.35</v>
      </c>
      <c r="I1555" s="7"/>
      <c r="J1555" s="7">
        <f t="shared" si="168"/>
        <v>-17.25</v>
      </c>
      <c r="K1555" s="7">
        <f t="shared" si="169"/>
        <v>200</v>
      </c>
      <c r="L1555" s="7">
        <f t="shared" si="170"/>
        <v>217.25</v>
      </c>
      <c r="M1555" s="7">
        <f t="shared" si="171"/>
        <v>5382.75</v>
      </c>
      <c r="N1555" s="7">
        <f t="shared" si="172"/>
        <v>5382.75</v>
      </c>
      <c r="O1555" s="7" t="str">
        <f t="shared" si="173"/>
        <v>n.a.</v>
      </c>
      <c r="P1555" s="15" t="str">
        <f t="shared" si="174"/>
        <v>n.a.</v>
      </c>
      <c r="Q1555" s="7">
        <f>J1555*'Model inputs'!$B$8</f>
        <v>-1725</v>
      </c>
      <c r="R1555" s="1" t="s">
        <v>162</v>
      </c>
      <c r="S1555" s="1">
        <v>635</v>
      </c>
      <c r="T1555" s="1">
        <v>616</v>
      </c>
    </row>
    <row r="1556" spans="1:20" ht="21" customHeight="1">
      <c r="A1556" s="8">
        <v>46258</v>
      </c>
      <c r="B1556" s="1" t="s">
        <v>36</v>
      </c>
      <c r="C1556" s="1" t="s">
        <v>90</v>
      </c>
      <c r="D1556" s="7">
        <v>5600</v>
      </c>
      <c r="E1556" s="7">
        <v>5400</v>
      </c>
      <c r="F1556" s="7"/>
      <c r="G1556" s="7">
        <f>'Option source'!B621</f>
        <v>39.35</v>
      </c>
      <c r="H1556" s="7">
        <f>'Option source'!B602</f>
        <v>26.64</v>
      </c>
      <c r="I1556" s="7"/>
      <c r="J1556" s="7">
        <f t="shared" si="168"/>
        <v>-13.93</v>
      </c>
      <c r="K1556" s="7">
        <f t="shared" si="169"/>
        <v>200</v>
      </c>
      <c r="L1556" s="7">
        <f t="shared" si="170"/>
        <v>213.93</v>
      </c>
      <c r="M1556" s="7">
        <f t="shared" si="171"/>
        <v>5186.07</v>
      </c>
      <c r="N1556" s="7">
        <f t="shared" si="172"/>
        <v>5186.07</v>
      </c>
      <c r="O1556" s="7" t="str">
        <f t="shared" si="173"/>
        <v>n.a.</v>
      </c>
      <c r="P1556" s="15" t="str">
        <f t="shared" si="174"/>
        <v>n.a.</v>
      </c>
      <c r="Q1556" s="7">
        <f>J1556*'Model inputs'!$B$8</f>
        <v>-1393</v>
      </c>
      <c r="R1556" s="1" t="s">
        <v>162</v>
      </c>
      <c r="S1556" s="1">
        <v>616</v>
      </c>
      <c r="T1556" s="1">
        <v>597</v>
      </c>
    </row>
    <row r="1557" spans="1:20" ht="21" customHeight="1">
      <c r="A1557" s="8">
        <v>46258</v>
      </c>
      <c r="B1557" s="1" t="s">
        <v>36</v>
      </c>
      <c r="C1557" s="1" t="s">
        <v>87</v>
      </c>
      <c r="D1557" s="7">
        <v>8300</v>
      </c>
      <c r="E1557" s="7">
        <v>8600</v>
      </c>
      <c r="F1557" s="7"/>
      <c r="G1557" s="7">
        <f>'Option source'!B374</f>
        <v>139.29</v>
      </c>
      <c r="H1557" s="7">
        <f>'Option source'!B393</f>
        <v>95.25</v>
      </c>
      <c r="I1557" s="7"/>
      <c r="J1557" s="7">
        <f t="shared" si="168"/>
        <v>-51.210000000000008</v>
      </c>
      <c r="K1557" s="7">
        <f t="shared" si="169"/>
        <v>300</v>
      </c>
      <c r="L1557" s="7">
        <f t="shared" si="170"/>
        <v>351.21000000000004</v>
      </c>
      <c r="M1557" s="7" t="str">
        <f t="shared" si="171"/>
        <v>Unlimited</v>
      </c>
      <c r="N1557" s="7" t="str">
        <f t="shared" si="172"/>
        <v>n.a.</v>
      </c>
      <c r="O1557" s="7">
        <f t="shared" si="173"/>
        <v>8951.2099999999991</v>
      </c>
      <c r="P1557" s="15" t="str">
        <f t="shared" si="174"/>
        <v>n.a.</v>
      </c>
      <c r="Q1557" s="7">
        <f>J1557*'Model inputs'!$B$8</f>
        <v>-5121.0000000000009</v>
      </c>
      <c r="R1557" s="1" t="s">
        <v>162</v>
      </c>
      <c r="S1557" s="1">
        <v>369</v>
      </c>
      <c r="T1557" s="1">
        <v>388</v>
      </c>
    </row>
    <row r="1558" spans="1:20" ht="21" customHeight="1">
      <c r="A1558" s="8">
        <v>46258</v>
      </c>
      <c r="B1558" s="1" t="s">
        <v>36</v>
      </c>
      <c r="C1558" s="1" t="s">
        <v>90</v>
      </c>
      <c r="D1558" s="7">
        <v>5400</v>
      </c>
      <c r="E1558" s="7">
        <v>5200</v>
      </c>
      <c r="F1558" s="7"/>
      <c r="G1558" s="7">
        <f>'Option source'!B602</f>
        <v>26.64</v>
      </c>
      <c r="H1558" s="7">
        <f>'Option source'!B583</f>
        <v>16.73</v>
      </c>
      <c r="I1558" s="7"/>
      <c r="J1558" s="7">
        <f t="shared" si="168"/>
        <v>-6.82</v>
      </c>
      <c r="K1558" s="7">
        <f t="shared" si="169"/>
        <v>200</v>
      </c>
      <c r="L1558" s="7">
        <f t="shared" si="170"/>
        <v>206.82</v>
      </c>
      <c r="M1558" s="7">
        <f t="shared" si="171"/>
        <v>4993.18</v>
      </c>
      <c r="N1558" s="7">
        <f t="shared" si="172"/>
        <v>4993.18</v>
      </c>
      <c r="O1558" s="7" t="str">
        <f t="shared" si="173"/>
        <v>n.a.</v>
      </c>
      <c r="P1558" s="15" t="str">
        <f t="shared" si="174"/>
        <v>n.a.</v>
      </c>
      <c r="Q1558" s="7">
        <f>J1558*'Model inputs'!$B$8</f>
        <v>-682</v>
      </c>
      <c r="R1558" s="1" t="s">
        <v>162</v>
      </c>
      <c r="S1558" s="1">
        <v>597</v>
      </c>
      <c r="T1558" s="1">
        <v>578</v>
      </c>
    </row>
    <row r="1559" spans="1:20" ht="21" customHeight="1">
      <c r="A1559" s="8">
        <v>46258</v>
      </c>
      <c r="B1559" s="1" t="s">
        <v>36</v>
      </c>
      <c r="C1559" s="1" t="s">
        <v>87</v>
      </c>
      <c r="D1559" s="7">
        <v>8600</v>
      </c>
      <c r="E1559" s="7">
        <v>8900</v>
      </c>
      <c r="F1559" s="7"/>
      <c r="G1559" s="7">
        <f>'Option source'!B393</f>
        <v>95.25</v>
      </c>
      <c r="H1559" s="7">
        <f>'Option source'!B412</f>
        <v>63.96</v>
      </c>
      <c r="I1559" s="7"/>
      <c r="J1559" s="7">
        <f t="shared" si="168"/>
        <v>-32.67</v>
      </c>
      <c r="K1559" s="7">
        <f t="shared" si="169"/>
        <v>300</v>
      </c>
      <c r="L1559" s="7">
        <f t="shared" si="170"/>
        <v>332.67</v>
      </c>
      <c r="M1559" s="7" t="str">
        <f t="shared" si="171"/>
        <v>Unlimited</v>
      </c>
      <c r="N1559" s="7" t="str">
        <f t="shared" si="172"/>
        <v>n.a.</v>
      </c>
      <c r="O1559" s="7">
        <f t="shared" si="173"/>
        <v>9232.67</v>
      </c>
      <c r="P1559" s="15" t="str">
        <f t="shared" si="174"/>
        <v>n.a.</v>
      </c>
      <c r="Q1559" s="7">
        <f>J1559*'Model inputs'!$B$8</f>
        <v>-3267</v>
      </c>
      <c r="R1559" s="1" t="s">
        <v>162</v>
      </c>
      <c r="S1559" s="1">
        <v>388</v>
      </c>
      <c r="T1559" s="1">
        <v>407</v>
      </c>
    </row>
    <row r="1560" spans="1:20" ht="21" customHeight="1">
      <c r="A1560" s="8">
        <v>46258</v>
      </c>
      <c r="B1560" s="1" t="s">
        <v>36</v>
      </c>
      <c r="C1560" s="1" t="s">
        <v>90</v>
      </c>
      <c r="D1560" s="7">
        <v>5200</v>
      </c>
      <c r="E1560" s="7">
        <v>5000</v>
      </c>
      <c r="F1560" s="7"/>
      <c r="G1560" s="7">
        <f>'Option source'!B583</f>
        <v>16.73</v>
      </c>
      <c r="H1560" s="7">
        <f>'Option source'!B564</f>
        <v>11.17</v>
      </c>
      <c r="I1560" s="7"/>
      <c r="J1560" s="7">
        <f t="shared" si="168"/>
        <v>-5.6099999999999994</v>
      </c>
      <c r="K1560" s="7">
        <f t="shared" si="169"/>
        <v>200</v>
      </c>
      <c r="L1560" s="7">
        <f t="shared" si="170"/>
        <v>205.61</v>
      </c>
      <c r="M1560" s="7">
        <f t="shared" si="171"/>
        <v>4794.3900000000003</v>
      </c>
      <c r="N1560" s="7">
        <f t="shared" si="172"/>
        <v>4794.3900000000003</v>
      </c>
      <c r="O1560" s="7" t="str">
        <f t="shared" si="173"/>
        <v>n.a.</v>
      </c>
      <c r="P1560" s="15" t="str">
        <f t="shared" si="174"/>
        <v>n.a.</v>
      </c>
      <c r="Q1560" s="7">
        <f>J1560*'Model inputs'!$B$8</f>
        <v>-561</v>
      </c>
      <c r="R1560" s="1" t="s">
        <v>162</v>
      </c>
      <c r="S1560" s="1">
        <v>578</v>
      </c>
      <c r="T1560" s="1">
        <v>559</v>
      </c>
    </row>
    <row r="1561" spans="1:20" ht="21" customHeight="1">
      <c r="A1561" s="8">
        <v>46258</v>
      </c>
      <c r="B1561" s="1" t="s">
        <v>36</v>
      </c>
      <c r="C1561" s="1" t="s">
        <v>90</v>
      </c>
      <c r="D1561" s="7">
        <v>5000</v>
      </c>
      <c r="E1561" s="7">
        <v>4800</v>
      </c>
      <c r="F1561" s="7"/>
      <c r="G1561" s="7">
        <f>'Option source'!B564</f>
        <v>11.17</v>
      </c>
      <c r="H1561" s="7">
        <f>'Option source'!B545</f>
        <v>6</v>
      </c>
      <c r="I1561" s="7"/>
      <c r="J1561" s="7">
        <f t="shared" si="168"/>
        <v>-0.83000000000000007</v>
      </c>
      <c r="K1561" s="7">
        <f t="shared" si="169"/>
        <v>200</v>
      </c>
      <c r="L1561" s="7">
        <f t="shared" si="170"/>
        <v>200.83</v>
      </c>
      <c r="M1561" s="7">
        <f t="shared" si="171"/>
        <v>4599.17</v>
      </c>
      <c r="N1561" s="7">
        <f t="shared" si="172"/>
        <v>4599.17</v>
      </c>
      <c r="O1561" s="7" t="str">
        <f t="shared" si="173"/>
        <v>n.a.</v>
      </c>
      <c r="P1561" s="15" t="str">
        <f t="shared" si="174"/>
        <v>n.a.</v>
      </c>
      <c r="Q1561" s="7">
        <f>J1561*'Model inputs'!$B$8</f>
        <v>-83</v>
      </c>
      <c r="R1561" s="1" t="s">
        <v>162</v>
      </c>
      <c r="S1561" s="1">
        <v>559</v>
      </c>
      <c r="T1561" s="1">
        <v>540</v>
      </c>
    </row>
    <row r="1562" spans="1:20" ht="21" customHeight="1">
      <c r="A1562" s="8">
        <v>46258</v>
      </c>
      <c r="B1562" s="1" t="s">
        <v>36</v>
      </c>
      <c r="C1562" s="1" t="s">
        <v>87</v>
      </c>
      <c r="D1562" s="7">
        <v>8900</v>
      </c>
      <c r="E1562" s="7">
        <v>9200</v>
      </c>
      <c r="F1562" s="7"/>
      <c r="G1562" s="7">
        <f>'Option source'!B412</f>
        <v>63.96</v>
      </c>
      <c r="H1562" s="7">
        <f>'Option source'!B431</f>
        <v>43.1</v>
      </c>
      <c r="I1562" s="7"/>
      <c r="J1562" s="7">
        <f t="shared" si="168"/>
        <v>-22.240000000000002</v>
      </c>
      <c r="K1562" s="7">
        <f t="shared" si="169"/>
        <v>300</v>
      </c>
      <c r="L1562" s="7">
        <f t="shared" si="170"/>
        <v>322.24</v>
      </c>
      <c r="M1562" s="7" t="str">
        <f t="shared" si="171"/>
        <v>Unlimited</v>
      </c>
      <c r="N1562" s="7" t="str">
        <f t="shared" si="172"/>
        <v>n.a.</v>
      </c>
      <c r="O1562" s="7">
        <f t="shared" si="173"/>
        <v>9522.24</v>
      </c>
      <c r="P1562" s="15" t="str">
        <f t="shared" si="174"/>
        <v>n.a.</v>
      </c>
      <c r="Q1562" s="7">
        <f>J1562*'Model inputs'!$B$8</f>
        <v>-2224</v>
      </c>
      <c r="R1562" s="1" t="s">
        <v>162</v>
      </c>
      <c r="S1562" s="1">
        <v>407</v>
      </c>
      <c r="T1562" s="1">
        <v>426</v>
      </c>
    </row>
    <row r="1563" spans="1:20" ht="21" customHeight="1">
      <c r="A1563" s="8">
        <v>46258</v>
      </c>
      <c r="B1563" s="1" t="s">
        <v>36</v>
      </c>
      <c r="C1563" s="1" t="s">
        <v>90</v>
      </c>
      <c r="D1563" s="7">
        <v>4800</v>
      </c>
      <c r="E1563" s="7">
        <v>4600</v>
      </c>
      <c r="F1563" s="7"/>
      <c r="G1563" s="7">
        <f>'Option source'!B545</f>
        <v>6</v>
      </c>
      <c r="H1563" s="7">
        <f>'Option source'!B526</f>
        <v>4.68</v>
      </c>
      <c r="I1563" s="7"/>
      <c r="J1563" s="7">
        <f t="shared" si="168"/>
        <v>-3.3599999999999994</v>
      </c>
      <c r="K1563" s="7">
        <f t="shared" si="169"/>
        <v>200</v>
      </c>
      <c r="L1563" s="7">
        <f t="shared" si="170"/>
        <v>203.36</v>
      </c>
      <c r="M1563" s="7">
        <f t="shared" si="171"/>
        <v>4396.6400000000003</v>
      </c>
      <c r="N1563" s="7">
        <f t="shared" si="172"/>
        <v>4396.6400000000003</v>
      </c>
      <c r="O1563" s="7" t="str">
        <f t="shared" si="173"/>
        <v>n.a.</v>
      </c>
      <c r="P1563" s="15" t="str">
        <f t="shared" si="174"/>
        <v>n.a.</v>
      </c>
      <c r="Q1563" s="7">
        <f>J1563*'Model inputs'!$B$8</f>
        <v>-335.99999999999994</v>
      </c>
      <c r="R1563" s="1" t="s">
        <v>162</v>
      </c>
      <c r="S1563" s="1">
        <v>540</v>
      </c>
      <c r="T1563" s="1">
        <v>521</v>
      </c>
    </row>
    <row r="1564" spans="1:20" ht="21" customHeight="1">
      <c r="A1564" s="8">
        <v>46258</v>
      </c>
      <c r="B1564" s="1" t="s">
        <v>36</v>
      </c>
      <c r="C1564" s="1" t="s">
        <v>87</v>
      </c>
      <c r="D1564" s="7">
        <v>9200</v>
      </c>
      <c r="E1564" s="7">
        <v>9500</v>
      </c>
      <c r="F1564" s="7"/>
      <c r="G1564" s="7">
        <f>'Option source'!B431</f>
        <v>43.1</v>
      </c>
      <c r="H1564" s="7">
        <f>'Option source'!B450</f>
        <v>28.72</v>
      </c>
      <c r="I1564" s="7"/>
      <c r="J1564" s="7">
        <f t="shared" si="168"/>
        <v>-14.339999999999996</v>
      </c>
      <c r="K1564" s="7">
        <f t="shared" si="169"/>
        <v>300</v>
      </c>
      <c r="L1564" s="7">
        <f t="shared" si="170"/>
        <v>314.33999999999997</v>
      </c>
      <c r="M1564" s="7" t="str">
        <f t="shared" si="171"/>
        <v>Unlimited</v>
      </c>
      <c r="N1564" s="7" t="str">
        <f t="shared" si="172"/>
        <v>n.a.</v>
      </c>
      <c r="O1564" s="7">
        <f t="shared" si="173"/>
        <v>9814.34</v>
      </c>
      <c r="P1564" s="15" t="str">
        <f t="shared" si="174"/>
        <v>n.a.</v>
      </c>
      <c r="Q1564" s="7">
        <f>J1564*'Model inputs'!$B$8</f>
        <v>-1433.9999999999995</v>
      </c>
      <c r="R1564" s="1" t="s">
        <v>162</v>
      </c>
      <c r="S1564" s="1">
        <v>426</v>
      </c>
      <c r="T1564" s="1">
        <v>445</v>
      </c>
    </row>
    <row r="1565" spans="1:20" ht="21" customHeight="1">
      <c r="A1565" s="8">
        <v>46258</v>
      </c>
      <c r="B1565" s="1" t="s">
        <v>36</v>
      </c>
      <c r="C1565" s="1" t="s">
        <v>90</v>
      </c>
      <c r="D1565" s="7">
        <v>4600</v>
      </c>
      <c r="E1565" s="7">
        <v>4400</v>
      </c>
      <c r="F1565" s="7"/>
      <c r="G1565" s="7">
        <f>'Option source'!B526</f>
        <v>4.68</v>
      </c>
      <c r="H1565" s="7">
        <f>'Option source'!B507</f>
        <v>3.67</v>
      </c>
      <c r="I1565" s="7"/>
      <c r="J1565" s="7">
        <f t="shared" si="168"/>
        <v>-2.66</v>
      </c>
      <c r="K1565" s="7">
        <f t="shared" si="169"/>
        <v>200</v>
      </c>
      <c r="L1565" s="7">
        <f t="shared" si="170"/>
        <v>202.66</v>
      </c>
      <c r="M1565" s="7">
        <f t="shared" si="171"/>
        <v>4197.34</v>
      </c>
      <c r="N1565" s="7">
        <f t="shared" si="172"/>
        <v>4197.34</v>
      </c>
      <c r="O1565" s="7" t="str">
        <f t="shared" si="173"/>
        <v>n.a.</v>
      </c>
      <c r="P1565" s="15" t="str">
        <f t="shared" si="174"/>
        <v>n.a.</v>
      </c>
      <c r="Q1565" s="7">
        <f>J1565*'Model inputs'!$B$8</f>
        <v>-266</v>
      </c>
      <c r="R1565" s="1" t="s">
        <v>162</v>
      </c>
      <c r="S1565" s="1">
        <v>521</v>
      </c>
      <c r="T1565" s="1">
        <v>502</v>
      </c>
    </row>
    <row r="1566" spans="1:20" ht="21" customHeight="1">
      <c r="A1566" s="8">
        <v>46258</v>
      </c>
      <c r="B1566" s="1" t="s">
        <v>36</v>
      </c>
      <c r="C1566" s="1" t="s">
        <v>90</v>
      </c>
      <c r="D1566" s="7">
        <v>4400</v>
      </c>
      <c r="E1566" s="7">
        <v>4200</v>
      </c>
      <c r="F1566" s="7"/>
      <c r="G1566" s="7">
        <f>'Option source'!B507</f>
        <v>3.67</v>
      </c>
      <c r="H1566" s="7">
        <f>'Option source'!B488</f>
        <v>2.44</v>
      </c>
      <c r="I1566" s="7"/>
      <c r="J1566" s="7">
        <f t="shared" si="168"/>
        <v>-1.21</v>
      </c>
      <c r="K1566" s="7">
        <f t="shared" si="169"/>
        <v>200</v>
      </c>
      <c r="L1566" s="7">
        <f t="shared" si="170"/>
        <v>201.21</v>
      </c>
      <c r="M1566" s="7">
        <f t="shared" si="171"/>
        <v>3998.79</v>
      </c>
      <c r="N1566" s="7">
        <f t="shared" si="172"/>
        <v>3998.79</v>
      </c>
      <c r="O1566" s="7" t="str">
        <f t="shared" si="173"/>
        <v>n.a.</v>
      </c>
      <c r="P1566" s="15" t="str">
        <f t="shared" si="174"/>
        <v>n.a.</v>
      </c>
      <c r="Q1566" s="7">
        <f>J1566*'Model inputs'!$B$8</f>
        <v>-121</v>
      </c>
      <c r="R1566" s="1" t="s">
        <v>162</v>
      </c>
      <c r="S1566" s="1">
        <v>502</v>
      </c>
      <c r="T1566" s="1">
        <v>483</v>
      </c>
    </row>
    <row r="1567" spans="1:20" ht="21" customHeight="1">
      <c r="A1567" s="8">
        <v>46258</v>
      </c>
      <c r="B1567" s="1" t="s">
        <v>36</v>
      </c>
      <c r="C1567" s="1" t="s">
        <v>87</v>
      </c>
      <c r="D1567" s="7">
        <v>9500</v>
      </c>
      <c r="E1567" s="7">
        <v>9900</v>
      </c>
      <c r="F1567" s="7"/>
      <c r="G1567" s="7">
        <f>'Option source'!B450</f>
        <v>28.72</v>
      </c>
      <c r="H1567" s="7">
        <f>'Option source'!B469</f>
        <v>17.04</v>
      </c>
      <c r="I1567" s="7"/>
      <c r="J1567" s="7">
        <f t="shared" si="168"/>
        <v>-5.3599999999999994</v>
      </c>
      <c r="K1567" s="7">
        <f t="shared" si="169"/>
        <v>400</v>
      </c>
      <c r="L1567" s="7">
        <f t="shared" si="170"/>
        <v>405.36</v>
      </c>
      <c r="M1567" s="7" t="str">
        <f t="shared" si="171"/>
        <v>Unlimited</v>
      </c>
      <c r="N1567" s="7" t="str">
        <f t="shared" si="172"/>
        <v>n.a.</v>
      </c>
      <c r="O1567" s="7">
        <f t="shared" si="173"/>
        <v>10305.36</v>
      </c>
      <c r="P1567" s="15" t="str">
        <f t="shared" si="174"/>
        <v>n.a.</v>
      </c>
      <c r="Q1567" s="7">
        <f>J1567*'Model inputs'!$B$8</f>
        <v>-536</v>
      </c>
      <c r="R1567" s="1" t="s">
        <v>162</v>
      </c>
      <c r="S1567" s="1">
        <v>445</v>
      </c>
      <c r="T1567" s="1">
        <v>464</v>
      </c>
    </row>
    <row r="1568" spans="1:20" ht="21" customHeight="1">
      <c r="A1568" s="8">
        <v>46258</v>
      </c>
      <c r="B1568" s="1" t="s">
        <v>36</v>
      </c>
      <c r="C1568" s="1" t="s">
        <v>87</v>
      </c>
      <c r="D1568" s="7">
        <v>6200</v>
      </c>
      <c r="E1568" s="7">
        <v>6400</v>
      </c>
      <c r="F1568" s="7"/>
      <c r="G1568" s="7">
        <f>'Option source'!B184</f>
        <v>1075</v>
      </c>
      <c r="H1568" s="7">
        <f>'Option source'!B203</f>
        <v>918.25</v>
      </c>
      <c r="I1568" s="7"/>
      <c r="J1568" s="7">
        <f t="shared" si="168"/>
        <v>-761.5</v>
      </c>
      <c r="K1568" s="7">
        <f t="shared" si="169"/>
        <v>200</v>
      </c>
      <c r="L1568" s="7">
        <f t="shared" si="170"/>
        <v>961.5</v>
      </c>
      <c r="M1568" s="7" t="str">
        <f t="shared" si="171"/>
        <v>Unlimited</v>
      </c>
      <c r="N1568" s="7" t="str">
        <f t="shared" si="172"/>
        <v>n.a.</v>
      </c>
      <c r="O1568" s="7">
        <f t="shared" si="173"/>
        <v>7361.5</v>
      </c>
      <c r="P1568" s="15" t="str">
        <f t="shared" si="174"/>
        <v>n.a.</v>
      </c>
      <c r="Q1568" s="7">
        <f>J1568*'Model inputs'!$B$8</f>
        <v>-76150</v>
      </c>
      <c r="R1568" s="1" t="s">
        <v>164</v>
      </c>
      <c r="S1568" s="1">
        <v>179</v>
      </c>
      <c r="T1568" s="1">
        <v>198</v>
      </c>
    </row>
    <row r="1569" spans="1:20" ht="21" customHeight="1">
      <c r="A1569" s="8">
        <v>46258</v>
      </c>
      <c r="B1569" s="1" t="s">
        <v>36</v>
      </c>
      <c r="C1569" s="1" t="s">
        <v>87</v>
      </c>
      <c r="D1569" s="7">
        <v>6000</v>
      </c>
      <c r="E1569" s="7">
        <v>6200</v>
      </c>
      <c r="F1569" s="7"/>
      <c r="G1569" s="7">
        <f>'Option source'!B165</f>
        <v>1350</v>
      </c>
      <c r="H1569" s="7">
        <f>'Option source'!B184</f>
        <v>1075</v>
      </c>
      <c r="I1569" s="7"/>
      <c r="J1569" s="7">
        <f t="shared" si="168"/>
        <v>-800</v>
      </c>
      <c r="K1569" s="7">
        <f t="shared" si="169"/>
        <v>200</v>
      </c>
      <c r="L1569" s="7">
        <f t="shared" si="170"/>
        <v>1000</v>
      </c>
      <c r="M1569" s="7" t="str">
        <f t="shared" si="171"/>
        <v>Unlimited</v>
      </c>
      <c r="N1569" s="7" t="str">
        <f t="shared" si="172"/>
        <v>n.a.</v>
      </c>
      <c r="O1569" s="7">
        <f t="shared" si="173"/>
        <v>7200</v>
      </c>
      <c r="P1569" s="15" t="str">
        <f t="shared" si="174"/>
        <v>n.a.</v>
      </c>
      <c r="Q1569" s="7">
        <f>J1569*'Model inputs'!$B$8</f>
        <v>-80000</v>
      </c>
      <c r="R1569" s="1" t="s">
        <v>164</v>
      </c>
      <c r="S1569" s="1">
        <v>160</v>
      </c>
      <c r="T1569" s="1">
        <v>179</v>
      </c>
    </row>
    <row r="1570" spans="1:20" ht="21" customHeight="1">
      <c r="A1570" s="8">
        <v>46258</v>
      </c>
      <c r="B1570" s="1" t="s">
        <v>36</v>
      </c>
      <c r="C1570" s="1" t="s">
        <v>90</v>
      </c>
      <c r="D1570" s="7">
        <v>8000</v>
      </c>
      <c r="E1570" s="7">
        <v>7800</v>
      </c>
      <c r="F1570" s="7"/>
      <c r="G1570" s="7">
        <f>'Option source'!B849</f>
        <v>1000</v>
      </c>
      <c r="H1570" s="7">
        <f>'Option source'!B830</f>
        <v>871</v>
      </c>
      <c r="I1570" s="7"/>
      <c r="J1570" s="7">
        <f t="shared" si="168"/>
        <v>-742</v>
      </c>
      <c r="K1570" s="7">
        <f t="shared" si="169"/>
        <v>200</v>
      </c>
      <c r="L1570" s="7">
        <f t="shared" si="170"/>
        <v>942</v>
      </c>
      <c r="M1570" s="7">
        <f t="shared" si="171"/>
        <v>6858</v>
      </c>
      <c r="N1570" s="7">
        <f t="shared" si="172"/>
        <v>6858</v>
      </c>
      <c r="O1570" s="7" t="str">
        <f t="shared" si="173"/>
        <v>n.a.</v>
      </c>
      <c r="P1570" s="15" t="str">
        <f t="shared" si="174"/>
        <v>n.a.</v>
      </c>
      <c r="Q1570" s="7">
        <f>J1570*'Model inputs'!$B$8</f>
        <v>-74200</v>
      </c>
      <c r="R1570" s="1" t="s">
        <v>164</v>
      </c>
      <c r="S1570" s="1">
        <v>844</v>
      </c>
      <c r="T1570" s="1">
        <v>825</v>
      </c>
    </row>
    <row r="1571" spans="1:20" ht="21" customHeight="1">
      <c r="A1571" s="8">
        <v>46258</v>
      </c>
      <c r="B1571" s="1" t="s">
        <v>36</v>
      </c>
      <c r="C1571" s="1" t="s">
        <v>87</v>
      </c>
      <c r="D1571" s="7">
        <v>5600</v>
      </c>
      <c r="E1571" s="7">
        <v>6000</v>
      </c>
      <c r="F1571" s="7"/>
      <c r="G1571" s="7">
        <f>'Option source'!B136</f>
        <v>1460.62</v>
      </c>
      <c r="H1571" s="7">
        <f>'Option source'!B165</f>
        <v>1350</v>
      </c>
      <c r="I1571" s="7"/>
      <c r="J1571" s="7">
        <f t="shared" si="168"/>
        <v>-1239.3800000000001</v>
      </c>
      <c r="K1571" s="7">
        <f t="shared" si="169"/>
        <v>400</v>
      </c>
      <c r="L1571" s="7">
        <f t="shared" si="170"/>
        <v>1639.38</v>
      </c>
      <c r="M1571" s="7" t="str">
        <f t="shared" si="171"/>
        <v>Unlimited</v>
      </c>
      <c r="N1571" s="7" t="str">
        <f t="shared" si="172"/>
        <v>n.a.</v>
      </c>
      <c r="O1571" s="7">
        <f t="shared" si="173"/>
        <v>7639.38</v>
      </c>
      <c r="P1571" s="15" t="str">
        <f t="shared" si="174"/>
        <v>n.a.</v>
      </c>
      <c r="Q1571" s="7">
        <f>J1571*'Model inputs'!$B$8</f>
        <v>-123938.00000000001</v>
      </c>
      <c r="R1571" s="1" t="s">
        <v>164</v>
      </c>
      <c r="S1571" s="1">
        <v>131</v>
      </c>
      <c r="T1571" s="1">
        <v>160</v>
      </c>
    </row>
    <row r="1572" spans="1:20" ht="21" customHeight="1">
      <c r="A1572" s="8">
        <v>46258</v>
      </c>
      <c r="B1572" s="1" t="s">
        <v>36</v>
      </c>
      <c r="C1572" s="1" t="s">
        <v>90</v>
      </c>
      <c r="D1572" s="7">
        <v>8300</v>
      </c>
      <c r="E1572" s="7">
        <v>8000</v>
      </c>
      <c r="F1572" s="7"/>
      <c r="G1572" s="7">
        <f>'Option source'!B868</f>
        <v>1310</v>
      </c>
      <c r="H1572" s="7">
        <f>'Option source'!B849</f>
        <v>1000</v>
      </c>
      <c r="I1572" s="7"/>
      <c r="J1572" s="7">
        <f t="shared" si="168"/>
        <v>-690</v>
      </c>
      <c r="K1572" s="7">
        <f t="shared" si="169"/>
        <v>300</v>
      </c>
      <c r="L1572" s="7">
        <f t="shared" si="170"/>
        <v>990</v>
      </c>
      <c r="M1572" s="7">
        <f t="shared" si="171"/>
        <v>7010</v>
      </c>
      <c r="N1572" s="7">
        <f t="shared" si="172"/>
        <v>7010</v>
      </c>
      <c r="O1572" s="7" t="str">
        <f t="shared" si="173"/>
        <v>n.a.</v>
      </c>
      <c r="P1572" s="15" t="str">
        <f t="shared" si="174"/>
        <v>n.a.</v>
      </c>
      <c r="Q1572" s="7">
        <f>J1572*'Model inputs'!$B$8</f>
        <v>-69000</v>
      </c>
      <c r="R1572" s="1" t="s">
        <v>164</v>
      </c>
      <c r="S1572" s="1">
        <v>863</v>
      </c>
      <c r="T1572" s="1">
        <v>844</v>
      </c>
    </row>
    <row r="1573" spans="1:20" ht="21" customHeight="1">
      <c r="A1573" s="8">
        <v>46258</v>
      </c>
      <c r="B1573" s="1" t="s">
        <v>36</v>
      </c>
      <c r="C1573" s="1" t="s">
        <v>87</v>
      </c>
      <c r="D1573" s="7">
        <v>5400</v>
      </c>
      <c r="E1573" s="7">
        <v>5600</v>
      </c>
      <c r="F1573" s="7"/>
      <c r="G1573" s="7">
        <f>'Option source'!B118</f>
        <v>1781.31</v>
      </c>
      <c r="H1573" s="7">
        <f>'Option source'!B136</f>
        <v>1460.62</v>
      </c>
      <c r="I1573" s="7"/>
      <c r="J1573" s="7">
        <f t="shared" si="168"/>
        <v>-1139.9299999999998</v>
      </c>
      <c r="K1573" s="7">
        <f t="shared" si="169"/>
        <v>200</v>
      </c>
      <c r="L1573" s="7">
        <f t="shared" si="170"/>
        <v>1339.9299999999998</v>
      </c>
      <c r="M1573" s="7" t="str">
        <f t="shared" si="171"/>
        <v>Unlimited</v>
      </c>
      <c r="N1573" s="7" t="str">
        <f t="shared" si="172"/>
        <v>n.a.</v>
      </c>
      <c r="O1573" s="7">
        <f t="shared" si="173"/>
        <v>6939.93</v>
      </c>
      <c r="P1573" s="15" t="str">
        <f t="shared" si="174"/>
        <v>n.a.</v>
      </c>
      <c r="Q1573" s="7">
        <f>J1573*'Model inputs'!$B$8</f>
        <v>-113992.99999999999</v>
      </c>
      <c r="R1573" s="1" t="s">
        <v>164</v>
      </c>
      <c r="S1573" s="1">
        <v>113</v>
      </c>
      <c r="T1573" s="1">
        <v>131</v>
      </c>
    </row>
    <row r="1574" spans="1:20" ht="21" customHeight="1">
      <c r="A1574" s="8">
        <v>46258</v>
      </c>
      <c r="B1574" s="1" t="s">
        <v>36</v>
      </c>
      <c r="C1574" s="1" t="s">
        <v>90</v>
      </c>
      <c r="D1574" s="7">
        <v>8600</v>
      </c>
      <c r="E1574" s="7">
        <v>8300</v>
      </c>
      <c r="F1574" s="7"/>
      <c r="G1574" s="7">
        <f>'Option source'!B887</f>
        <v>1173.55</v>
      </c>
      <c r="H1574" s="7">
        <f>'Option source'!B868</f>
        <v>1310</v>
      </c>
      <c r="I1574" s="7"/>
      <c r="J1574" s="7">
        <f t="shared" si="168"/>
        <v>-1446.45</v>
      </c>
      <c r="K1574" s="7">
        <f t="shared" si="169"/>
        <v>300</v>
      </c>
      <c r="L1574" s="7">
        <f t="shared" si="170"/>
        <v>1746.45</v>
      </c>
      <c r="M1574" s="7">
        <f t="shared" si="171"/>
        <v>6553.55</v>
      </c>
      <c r="N1574" s="7">
        <f t="shared" si="172"/>
        <v>6553.55</v>
      </c>
      <c r="O1574" s="7" t="str">
        <f t="shared" si="173"/>
        <v>n.a.</v>
      </c>
      <c r="P1574" s="15" t="str">
        <f t="shared" si="174"/>
        <v>n.a.</v>
      </c>
      <c r="Q1574" s="7">
        <f>J1574*'Model inputs'!$B$8</f>
        <v>-144645</v>
      </c>
      <c r="R1574" s="1" t="s">
        <v>164</v>
      </c>
      <c r="S1574" s="1">
        <v>882</v>
      </c>
      <c r="T1574" s="1">
        <v>863</v>
      </c>
    </row>
    <row r="1575" spans="1:20" ht="21" customHeight="1">
      <c r="A1575" s="8">
        <v>46258</v>
      </c>
      <c r="B1575" s="1" t="s">
        <v>36</v>
      </c>
      <c r="C1575" s="1" t="s">
        <v>87</v>
      </c>
      <c r="D1575" s="7">
        <v>5200</v>
      </c>
      <c r="E1575" s="7">
        <v>5400</v>
      </c>
      <c r="F1575" s="7"/>
      <c r="G1575" s="7">
        <f>'Option source'!B99</f>
        <v>1962</v>
      </c>
      <c r="H1575" s="7">
        <f>'Option source'!B118</f>
        <v>1781.31</v>
      </c>
      <c r="I1575" s="7"/>
      <c r="J1575" s="7">
        <f t="shared" si="168"/>
        <v>-1600.62</v>
      </c>
      <c r="K1575" s="7">
        <f t="shared" si="169"/>
        <v>200</v>
      </c>
      <c r="L1575" s="7">
        <f t="shared" si="170"/>
        <v>1800.62</v>
      </c>
      <c r="M1575" s="7" t="str">
        <f t="shared" si="171"/>
        <v>Unlimited</v>
      </c>
      <c r="N1575" s="7" t="str">
        <f t="shared" si="172"/>
        <v>n.a.</v>
      </c>
      <c r="O1575" s="7">
        <f t="shared" si="173"/>
        <v>7200.62</v>
      </c>
      <c r="P1575" s="15" t="str">
        <f t="shared" si="174"/>
        <v>n.a.</v>
      </c>
      <c r="Q1575" s="7">
        <f>J1575*'Model inputs'!$B$8</f>
        <v>-160062</v>
      </c>
      <c r="R1575" s="1" t="s">
        <v>164</v>
      </c>
      <c r="S1575" s="1">
        <v>94</v>
      </c>
      <c r="T1575" s="1">
        <v>113</v>
      </c>
    </row>
    <row r="1576" spans="1:20" ht="21" customHeight="1">
      <c r="A1576" s="8">
        <v>46258</v>
      </c>
      <c r="B1576" s="1" t="s">
        <v>36</v>
      </c>
      <c r="C1576" s="1" t="s">
        <v>87</v>
      </c>
      <c r="D1576" s="7">
        <v>4600</v>
      </c>
      <c r="E1576" s="7">
        <v>5200</v>
      </c>
      <c r="F1576" s="7"/>
      <c r="G1576" s="7">
        <f>'Option source'!B46</f>
        <v>2195.25</v>
      </c>
      <c r="H1576" s="7">
        <f>'Option source'!B99</f>
        <v>1962</v>
      </c>
      <c r="I1576" s="7"/>
      <c r="J1576" s="7">
        <f t="shared" si="168"/>
        <v>-1728.75</v>
      </c>
      <c r="K1576" s="7">
        <f t="shared" si="169"/>
        <v>600</v>
      </c>
      <c r="L1576" s="7">
        <f t="shared" si="170"/>
        <v>2328.75</v>
      </c>
      <c r="M1576" s="7" t="str">
        <f t="shared" si="171"/>
        <v>Unlimited</v>
      </c>
      <c r="N1576" s="7" t="str">
        <f t="shared" si="172"/>
        <v>n.a.</v>
      </c>
      <c r="O1576" s="7">
        <f t="shared" si="173"/>
        <v>7528.75</v>
      </c>
      <c r="P1576" s="15" t="str">
        <f t="shared" si="174"/>
        <v>n.a.</v>
      </c>
      <c r="Q1576" s="7">
        <f>J1576*'Model inputs'!$B$8</f>
        <v>-172875</v>
      </c>
      <c r="R1576" s="1" t="s">
        <v>164</v>
      </c>
      <c r="S1576" s="1">
        <v>41</v>
      </c>
      <c r="T1576" s="1">
        <v>94</v>
      </c>
    </row>
    <row r="1577" spans="1:20" ht="21" customHeight="1">
      <c r="A1577" s="8">
        <v>46258</v>
      </c>
      <c r="B1577" s="1" t="s">
        <v>36</v>
      </c>
      <c r="C1577" s="1" t="s">
        <v>87</v>
      </c>
      <c r="D1577" s="7">
        <v>4400</v>
      </c>
      <c r="E1577" s="7">
        <v>4600</v>
      </c>
      <c r="F1577" s="7"/>
      <c r="G1577" s="7">
        <f>'Option source'!B27</f>
        <v>2387.12</v>
      </c>
      <c r="H1577" s="7">
        <f>'Option source'!B46</f>
        <v>2195.25</v>
      </c>
      <c r="I1577" s="7"/>
      <c r="J1577" s="7">
        <f t="shared" si="168"/>
        <v>-2003.38</v>
      </c>
      <c r="K1577" s="7">
        <f t="shared" si="169"/>
        <v>200</v>
      </c>
      <c r="L1577" s="7">
        <f t="shared" si="170"/>
        <v>2203.38</v>
      </c>
      <c r="M1577" s="7" t="str">
        <f t="shared" si="171"/>
        <v>Unlimited</v>
      </c>
      <c r="N1577" s="7" t="str">
        <f t="shared" si="172"/>
        <v>n.a.</v>
      </c>
      <c r="O1577" s="7">
        <f t="shared" si="173"/>
        <v>6803.38</v>
      </c>
      <c r="P1577" s="15" t="str">
        <f t="shared" si="174"/>
        <v>n.a.</v>
      </c>
      <c r="Q1577" s="7">
        <f>J1577*'Model inputs'!$B$8</f>
        <v>-200338</v>
      </c>
      <c r="R1577" s="1" t="s">
        <v>164</v>
      </c>
      <c r="S1577" s="1">
        <v>22</v>
      </c>
      <c r="T1577" s="1">
        <v>41</v>
      </c>
    </row>
    <row r="1578" spans="1:20" ht="21" customHeight="1">
      <c r="A1578" s="8">
        <v>46258</v>
      </c>
      <c r="B1578" s="1" t="s">
        <v>36</v>
      </c>
      <c r="C1578" s="1" t="s">
        <v>87</v>
      </c>
      <c r="D1578" s="7">
        <v>4200</v>
      </c>
      <c r="E1578" s="7">
        <v>4400</v>
      </c>
      <c r="F1578" s="7"/>
      <c r="G1578" s="7">
        <f>'Option source'!B8</f>
        <v>2844.35</v>
      </c>
      <c r="H1578" s="7">
        <f>'Option source'!B27</f>
        <v>2387.12</v>
      </c>
      <c r="I1578" s="7"/>
      <c r="J1578" s="7">
        <f t="shared" si="168"/>
        <v>-1929.8899999999999</v>
      </c>
      <c r="K1578" s="7">
        <f t="shared" si="169"/>
        <v>200</v>
      </c>
      <c r="L1578" s="7">
        <f t="shared" si="170"/>
        <v>2129.89</v>
      </c>
      <c r="M1578" s="7" t="str">
        <f t="shared" si="171"/>
        <v>Unlimited</v>
      </c>
      <c r="N1578" s="7" t="str">
        <f t="shared" si="172"/>
        <v>n.a.</v>
      </c>
      <c r="O1578" s="7">
        <f t="shared" si="173"/>
        <v>6529.8899999999994</v>
      </c>
      <c r="P1578" s="15" t="str">
        <f t="shared" si="174"/>
        <v>n.a.</v>
      </c>
      <c r="Q1578" s="7">
        <f>J1578*'Model inputs'!$B$8</f>
        <v>-192989</v>
      </c>
      <c r="R1578" s="1" t="s">
        <v>164</v>
      </c>
      <c r="S1578" s="1">
        <v>3</v>
      </c>
      <c r="T1578" s="1">
        <v>22</v>
      </c>
    </row>
    <row r="1579" spans="1:20" ht="21" customHeight="1">
      <c r="A1579" s="8">
        <v>46255</v>
      </c>
      <c r="B1579" s="1" t="s">
        <v>34</v>
      </c>
      <c r="C1579" s="1" t="s">
        <v>87</v>
      </c>
      <c r="D1579" s="7">
        <v>6600</v>
      </c>
      <c r="E1579" s="7">
        <v>6800</v>
      </c>
      <c r="F1579" s="7">
        <v>7000</v>
      </c>
      <c r="G1579" s="7">
        <f>'Option source'!B221</f>
        <v>630</v>
      </c>
      <c r="H1579" s="7">
        <f>'Option source'!B240</f>
        <v>520</v>
      </c>
      <c r="I1579" s="7">
        <f>'Option source'!B259</f>
        <v>419.73</v>
      </c>
      <c r="J1579" s="7">
        <f t="shared" si="168"/>
        <v>9.7300000000000182</v>
      </c>
      <c r="K1579" s="7">
        <f t="shared" si="169"/>
        <v>200</v>
      </c>
      <c r="L1579" s="7">
        <f t="shared" si="170"/>
        <v>190.26999999999998</v>
      </c>
      <c r="M1579" s="7">
        <f t="shared" si="171"/>
        <v>9.7300000000000182</v>
      </c>
      <c r="N1579" s="7">
        <f t="shared" si="172"/>
        <v>6609.73</v>
      </c>
      <c r="O1579" s="7">
        <f t="shared" si="173"/>
        <v>6990.27</v>
      </c>
      <c r="P1579" s="15">
        <f t="shared" si="174"/>
        <v>19.554984583761524</v>
      </c>
      <c r="Q1579" s="7">
        <f>J1579*'Model inputs'!$B$8</f>
        <v>973.00000000000182</v>
      </c>
      <c r="R1579" s="1" t="s">
        <v>162</v>
      </c>
      <c r="S1579" s="1">
        <v>216</v>
      </c>
      <c r="T1579" s="1">
        <v>235</v>
      </c>
    </row>
    <row r="1580" spans="1:20" ht="21" customHeight="1">
      <c r="A1580" s="8">
        <v>46255</v>
      </c>
      <c r="B1580" s="1" t="s">
        <v>34</v>
      </c>
      <c r="C1580" s="1" t="s">
        <v>90</v>
      </c>
      <c r="D1580" s="7">
        <v>6600</v>
      </c>
      <c r="E1580" s="7">
        <v>6800</v>
      </c>
      <c r="F1580" s="7">
        <v>7000</v>
      </c>
      <c r="G1580" s="7">
        <f>'Option source'!B715</f>
        <v>374.07</v>
      </c>
      <c r="H1580" s="7">
        <f>'Option source'!B734</f>
        <v>450.05</v>
      </c>
      <c r="I1580" s="7">
        <f>'Option source'!B753</f>
        <v>570</v>
      </c>
      <c r="J1580" s="7">
        <f t="shared" si="168"/>
        <v>43.970000000000027</v>
      </c>
      <c r="K1580" s="7">
        <f t="shared" si="169"/>
        <v>200</v>
      </c>
      <c r="L1580" s="7">
        <f t="shared" si="170"/>
        <v>156.02999999999997</v>
      </c>
      <c r="M1580" s="7">
        <f t="shared" si="171"/>
        <v>43.970000000000027</v>
      </c>
      <c r="N1580" s="7">
        <f t="shared" si="172"/>
        <v>6643.97</v>
      </c>
      <c r="O1580" s="7">
        <f t="shared" si="173"/>
        <v>6956.03</v>
      </c>
      <c r="P1580" s="15">
        <f t="shared" si="174"/>
        <v>3.5485558335228538</v>
      </c>
      <c r="Q1580" s="7">
        <f>J1580*'Model inputs'!$B$8</f>
        <v>4397.0000000000027</v>
      </c>
      <c r="R1580" s="1" t="s">
        <v>162</v>
      </c>
      <c r="S1580" s="1">
        <v>710</v>
      </c>
      <c r="T1580" s="1">
        <v>729</v>
      </c>
    </row>
    <row r="1581" spans="1:20" ht="21" customHeight="1">
      <c r="A1581" s="8">
        <v>46255</v>
      </c>
      <c r="B1581" s="1" t="s">
        <v>34</v>
      </c>
      <c r="C1581" s="1" t="s">
        <v>87</v>
      </c>
      <c r="D1581" s="7">
        <v>6200</v>
      </c>
      <c r="E1581" s="7">
        <v>6400</v>
      </c>
      <c r="F1581" s="7">
        <v>6600</v>
      </c>
      <c r="G1581" s="7">
        <f>'Option source'!B183</f>
        <v>845</v>
      </c>
      <c r="H1581" s="7">
        <f>'Option source'!B202</f>
        <v>711</v>
      </c>
      <c r="I1581" s="7">
        <f>'Option source'!B221</f>
        <v>630</v>
      </c>
      <c r="J1581" s="7">
        <f t="shared" si="168"/>
        <v>53</v>
      </c>
      <c r="K1581" s="7">
        <f t="shared" si="169"/>
        <v>200</v>
      </c>
      <c r="L1581" s="7">
        <f t="shared" si="170"/>
        <v>147</v>
      </c>
      <c r="M1581" s="7">
        <f t="shared" si="171"/>
        <v>53</v>
      </c>
      <c r="N1581" s="7">
        <f t="shared" si="172"/>
        <v>6253</v>
      </c>
      <c r="O1581" s="7">
        <f t="shared" si="173"/>
        <v>6547</v>
      </c>
      <c r="P1581" s="15">
        <f t="shared" si="174"/>
        <v>2.7735849056603774</v>
      </c>
      <c r="Q1581" s="7">
        <f>J1581*'Model inputs'!$B$8</f>
        <v>5300</v>
      </c>
      <c r="R1581" s="1" t="s">
        <v>162</v>
      </c>
      <c r="S1581" s="1">
        <v>178</v>
      </c>
      <c r="T1581" s="1">
        <v>197</v>
      </c>
    </row>
    <row r="1582" spans="1:20" ht="21" customHeight="1">
      <c r="A1582" s="8">
        <v>46255</v>
      </c>
      <c r="B1582" s="1" t="s">
        <v>34</v>
      </c>
      <c r="C1582" s="1" t="s">
        <v>87</v>
      </c>
      <c r="D1582" s="7">
        <v>6800</v>
      </c>
      <c r="E1582" s="7">
        <v>7000</v>
      </c>
      <c r="F1582" s="7">
        <v>7200</v>
      </c>
      <c r="G1582" s="7">
        <f>'Option source'!B240</f>
        <v>520</v>
      </c>
      <c r="H1582" s="7">
        <f>'Option source'!B259</f>
        <v>419.73</v>
      </c>
      <c r="I1582" s="7">
        <f>'Option source'!B278</f>
        <v>339.33</v>
      </c>
      <c r="J1582" s="7">
        <f t="shared" si="168"/>
        <v>19.869999999999948</v>
      </c>
      <c r="K1582" s="7">
        <f t="shared" si="169"/>
        <v>200</v>
      </c>
      <c r="L1582" s="7">
        <f t="shared" si="170"/>
        <v>180.13000000000005</v>
      </c>
      <c r="M1582" s="7">
        <f t="shared" si="171"/>
        <v>19.869999999999948</v>
      </c>
      <c r="N1582" s="7">
        <f t="shared" si="172"/>
        <v>6819.87</v>
      </c>
      <c r="O1582" s="7">
        <f t="shared" si="173"/>
        <v>7180.13</v>
      </c>
      <c r="P1582" s="15">
        <f t="shared" si="174"/>
        <v>9.0654252642174402</v>
      </c>
      <c r="Q1582" s="7">
        <f>J1582*'Model inputs'!$B$8</f>
        <v>1986.9999999999948</v>
      </c>
      <c r="R1582" s="1" t="s">
        <v>162</v>
      </c>
      <c r="S1582" s="1">
        <v>235</v>
      </c>
      <c r="T1582" s="1">
        <v>254</v>
      </c>
    </row>
    <row r="1583" spans="1:20" ht="21" customHeight="1">
      <c r="A1583" s="8">
        <v>46255</v>
      </c>
      <c r="B1583" s="1" t="s">
        <v>34</v>
      </c>
      <c r="C1583" s="1" t="s">
        <v>90</v>
      </c>
      <c r="D1583" s="7">
        <v>6800</v>
      </c>
      <c r="E1583" s="7">
        <v>7000</v>
      </c>
      <c r="F1583" s="7">
        <v>7200</v>
      </c>
      <c r="G1583" s="7">
        <f>'Option source'!B734</f>
        <v>450.05</v>
      </c>
      <c r="H1583" s="7">
        <f>'Option source'!B753</f>
        <v>570</v>
      </c>
      <c r="I1583" s="7">
        <f>'Option source'!B772</f>
        <v>731.63</v>
      </c>
      <c r="J1583" s="7">
        <f t="shared" si="168"/>
        <v>41.67999999999995</v>
      </c>
      <c r="K1583" s="7">
        <f t="shared" si="169"/>
        <v>200</v>
      </c>
      <c r="L1583" s="7">
        <f t="shared" si="170"/>
        <v>158.32000000000005</v>
      </c>
      <c r="M1583" s="7">
        <f t="shared" si="171"/>
        <v>41.67999999999995</v>
      </c>
      <c r="N1583" s="7">
        <f t="shared" si="172"/>
        <v>6841.68</v>
      </c>
      <c r="O1583" s="7">
        <f t="shared" si="173"/>
        <v>7158.32</v>
      </c>
      <c r="P1583" s="15">
        <f t="shared" si="174"/>
        <v>3.7984644913627696</v>
      </c>
      <c r="Q1583" s="7">
        <f>J1583*'Model inputs'!$B$8</f>
        <v>4167.9999999999945</v>
      </c>
      <c r="R1583" s="1" t="s">
        <v>162</v>
      </c>
      <c r="S1583" s="1">
        <v>729</v>
      </c>
      <c r="T1583" s="1">
        <v>748</v>
      </c>
    </row>
    <row r="1584" spans="1:20" ht="21" customHeight="1">
      <c r="A1584" s="8">
        <v>46255</v>
      </c>
      <c r="B1584" s="1" t="s">
        <v>34</v>
      </c>
      <c r="C1584" s="1" t="s">
        <v>87</v>
      </c>
      <c r="D1584" s="7">
        <v>6000</v>
      </c>
      <c r="E1584" s="7">
        <v>6200</v>
      </c>
      <c r="F1584" s="7">
        <v>6400</v>
      </c>
      <c r="G1584" s="7">
        <f>'Option source'!B164</f>
        <v>995</v>
      </c>
      <c r="H1584" s="7">
        <f>'Option source'!B183</f>
        <v>845</v>
      </c>
      <c r="I1584" s="7">
        <f>'Option source'!B202</f>
        <v>711</v>
      </c>
      <c r="J1584" s="7">
        <f t="shared" si="168"/>
        <v>16</v>
      </c>
      <c r="K1584" s="7">
        <f t="shared" si="169"/>
        <v>200</v>
      </c>
      <c r="L1584" s="7">
        <f t="shared" si="170"/>
        <v>184</v>
      </c>
      <c r="M1584" s="7">
        <f t="shared" si="171"/>
        <v>16</v>
      </c>
      <c r="N1584" s="7">
        <f t="shared" si="172"/>
        <v>6016</v>
      </c>
      <c r="O1584" s="7">
        <f t="shared" si="173"/>
        <v>6384</v>
      </c>
      <c r="P1584" s="15">
        <f t="shared" si="174"/>
        <v>11.5</v>
      </c>
      <c r="Q1584" s="7">
        <f>J1584*'Model inputs'!$B$8</f>
        <v>1600</v>
      </c>
      <c r="R1584" s="1" t="s">
        <v>162</v>
      </c>
      <c r="S1584" s="1">
        <v>159</v>
      </c>
      <c r="T1584" s="1">
        <v>178</v>
      </c>
    </row>
    <row r="1585" spans="1:20" ht="21" customHeight="1">
      <c r="A1585" s="8">
        <v>46255</v>
      </c>
      <c r="B1585" s="1" t="s">
        <v>34</v>
      </c>
      <c r="C1585" s="1" t="s">
        <v>90</v>
      </c>
      <c r="D1585" s="7">
        <v>6000</v>
      </c>
      <c r="E1585" s="7">
        <v>6200</v>
      </c>
      <c r="F1585" s="7">
        <v>6400</v>
      </c>
      <c r="G1585" s="7">
        <f>'Option source'!B658</f>
        <v>145.03</v>
      </c>
      <c r="H1585" s="7">
        <f>'Option source'!B677</f>
        <v>201.71</v>
      </c>
      <c r="I1585" s="7">
        <f>'Option source'!B696</f>
        <v>290.5</v>
      </c>
      <c r="J1585" s="7">
        <f t="shared" si="168"/>
        <v>32.110000000000014</v>
      </c>
      <c r="K1585" s="7">
        <f t="shared" si="169"/>
        <v>200</v>
      </c>
      <c r="L1585" s="7">
        <f t="shared" si="170"/>
        <v>167.89</v>
      </c>
      <c r="M1585" s="7">
        <f t="shared" si="171"/>
        <v>32.110000000000014</v>
      </c>
      <c r="N1585" s="7">
        <f t="shared" si="172"/>
        <v>6032.11</v>
      </c>
      <c r="O1585" s="7">
        <f t="shared" si="173"/>
        <v>6367.89</v>
      </c>
      <c r="P1585" s="15">
        <f t="shared" si="174"/>
        <v>5.2285892245406389</v>
      </c>
      <c r="Q1585" s="7">
        <f>J1585*'Model inputs'!$B$8</f>
        <v>3211.0000000000014</v>
      </c>
      <c r="R1585" s="1" t="s">
        <v>162</v>
      </c>
      <c r="S1585" s="1">
        <v>653</v>
      </c>
      <c r="T1585" s="1">
        <v>672</v>
      </c>
    </row>
    <row r="1586" spans="1:20" ht="21" customHeight="1">
      <c r="A1586" s="8">
        <v>46255</v>
      </c>
      <c r="B1586" s="1" t="s">
        <v>34</v>
      </c>
      <c r="C1586" s="1" t="s">
        <v>87</v>
      </c>
      <c r="D1586" s="7">
        <v>7000</v>
      </c>
      <c r="E1586" s="7">
        <v>7200</v>
      </c>
      <c r="F1586" s="7">
        <v>7400</v>
      </c>
      <c r="G1586" s="7">
        <f>'Option source'!B259</f>
        <v>419.73</v>
      </c>
      <c r="H1586" s="7">
        <f>'Option source'!B278</f>
        <v>339.33</v>
      </c>
      <c r="I1586" s="7">
        <f>'Option source'!B297</f>
        <v>271.72000000000003</v>
      </c>
      <c r="J1586" s="7">
        <f t="shared" si="168"/>
        <v>12.790000000000077</v>
      </c>
      <c r="K1586" s="7">
        <f t="shared" si="169"/>
        <v>200</v>
      </c>
      <c r="L1586" s="7">
        <f t="shared" si="170"/>
        <v>187.20999999999992</v>
      </c>
      <c r="M1586" s="7">
        <f t="shared" si="171"/>
        <v>12.790000000000077</v>
      </c>
      <c r="N1586" s="7">
        <f t="shared" si="172"/>
        <v>7012.79</v>
      </c>
      <c r="O1586" s="7">
        <f t="shared" si="173"/>
        <v>7387.21</v>
      </c>
      <c r="P1586" s="15">
        <f t="shared" si="174"/>
        <v>14.637216575449475</v>
      </c>
      <c r="Q1586" s="7">
        <f>J1586*'Model inputs'!$B$8</f>
        <v>1279.0000000000077</v>
      </c>
      <c r="R1586" s="1" t="s">
        <v>162</v>
      </c>
      <c r="S1586" s="1">
        <v>254</v>
      </c>
      <c r="T1586" s="1">
        <v>273</v>
      </c>
    </row>
    <row r="1587" spans="1:20" ht="21" customHeight="1">
      <c r="A1587" s="8">
        <v>46255</v>
      </c>
      <c r="B1587" s="1" t="s">
        <v>34</v>
      </c>
      <c r="C1587" s="1" t="s">
        <v>90</v>
      </c>
      <c r="D1587" s="7">
        <v>5800</v>
      </c>
      <c r="E1587" s="7">
        <v>6000</v>
      </c>
      <c r="F1587" s="7">
        <v>6200</v>
      </c>
      <c r="G1587" s="7">
        <f>'Option source'!B639</f>
        <v>96.17</v>
      </c>
      <c r="H1587" s="7">
        <f>'Option source'!B658</f>
        <v>145.03</v>
      </c>
      <c r="I1587" s="7">
        <f>'Option source'!B677</f>
        <v>201.71</v>
      </c>
      <c r="J1587" s="7">
        <f t="shared" si="168"/>
        <v>7.8200000000000216</v>
      </c>
      <c r="K1587" s="7">
        <f t="shared" si="169"/>
        <v>200</v>
      </c>
      <c r="L1587" s="7">
        <f t="shared" si="170"/>
        <v>192.17999999999998</v>
      </c>
      <c r="M1587" s="7">
        <f t="shared" si="171"/>
        <v>7.8200000000000216</v>
      </c>
      <c r="N1587" s="7">
        <f t="shared" si="172"/>
        <v>5807.82</v>
      </c>
      <c r="O1587" s="7">
        <f t="shared" si="173"/>
        <v>6192.18</v>
      </c>
      <c r="P1587" s="15">
        <f t="shared" si="174"/>
        <v>24.575447570332411</v>
      </c>
      <c r="Q1587" s="7">
        <f>J1587*'Model inputs'!$B$8</f>
        <v>782.00000000000216</v>
      </c>
      <c r="R1587" s="1" t="s">
        <v>162</v>
      </c>
      <c r="S1587" s="1">
        <v>634</v>
      </c>
      <c r="T1587" s="1">
        <v>653</v>
      </c>
    </row>
    <row r="1588" spans="1:20" ht="21" customHeight="1">
      <c r="A1588" s="8">
        <v>46255</v>
      </c>
      <c r="B1588" s="1" t="s">
        <v>34</v>
      </c>
      <c r="C1588" s="1" t="s">
        <v>87</v>
      </c>
      <c r="D1588" s="7">
        <v>7200</v>
      </c>
      <c r="E1588" s="7">
        <v>7400</v>
      </c>
      <c r="F1588" s="7">
        <v>7600</v>
      </c>
      <c r="G1588" s="7">
        <f>'Option source'!B278</f>
        <v>339.33</v>
      </c>
      <c r="H1588" s="7">
        <f>'Option source'!B297</f>
        <v>271.72000000000003</v>
      </c>
      <c r="I1588" s="7">
        <f>'Option source'!B316</f>
        <v>215.5</v>
      </c>
      <c r="J1588" s="7">
        <f t="shared" si="168"/>
        <v>11.38999999999993</v>
      </c>
      <c r="K1588" s="7">
        <f t="shared" si="169"/>
        <v>200</v>
      </c>
      <c r="L1588" s="7">
        <f t="shared" si="170"/>
        <v>188.61000000000007</v>
      </c>
      <c r="M1588" s="7">
        <f t="shared" si="171"/>
        <v>11.38999999999993</v>
      </c>
      <c r="N1588" s="7">
        <f t="shared" si="172"/>
        <v>7211.39</v>
      </c>
      <c r="O1588" s="7">
        <f t="shared" si="173"/>
        <v>7588.61</v>
      </c>
      <c r="P1588" s="15">
        <f t="shared" si="174"/>
        <v>16.559262510974648</v>
      </c>
      <c r="Q1588" s="7">
        <f>J1588*'Model inputs'!$B$8</f>
        <v>1138.999999999993</v>
      </c>
      <c r="R1588" s="1" t="s">
        <v>162</v>
      </c>
      <c r="S1588" s="1">
        <v>273</v>
      </c>
      <c r="T1588" s="1">
        <v>292</v>
      </c>
    </row>
    <row r="1589" spans="1:20" ht="21" customHeight="1">
      <c r="A1589" s="8">
        <v>46255</v>
      </c>
      <c r="B1589" s="1" t="s">
        <v>34</v>
      </c>
      <c r="C1589" s="1" t="s">
        <v>90</v>
      </c>
      <c r="D1589" s="7">
        <v>5600</v>
      </c>
      <c r="E1589" s="7">
        <v>5800</v>
      </c>
      <c r="F1589" s="7">
        <v>6000</v>
      </c>
      <c r="G1589" s="7">
        <f>'Option source'!B620</f>
        <v>62.84</v>
      </c>
      <c r="H1589" s="7">
        <f>'Option source'!B639</f>
        <v>96.17</v>
      </c>
      <c r="I1589" s="7">
        <f>'Option source'!B658</f>
        <v>145.03</v>
      </c>
      <c r="J1589" s="7">
        <f t="shared" si="168"/>
        <v>15.530000000000001</v>
      </c>
      <c r="K1589" s="7">
        <f t="shared" si="169"/>
        <v>200</v>
      </c>
      <c r="L1589" s="7">
        <f t="shared" si="170"/>
        <v>184.47</v>
      </c>
      <c r="M1589" s="7">
        <f t="shared" si="171"/>
        <v>15.530000000000001</v>
      </c>
      <c r="N1589" s="7">
        <f t="shared" si="172"/>
        <v>5615.53</v>
      </c>
      <c r="O1589" s="7">
        <f t="shared" si="173"/>
        <v>5984.47</v>
      </c>
      <c r="P1589" s="15">
        <f t="shared" si="174"/>
        <v>11.8783000643915</v>
      </c>
      <c r="Q1589" s="7">
        <f>J1589*'Model inputs'!$B$8</f>
        <v>1553</v>
      </c>
      <c r="R1589" s="1" t="s">
        <v>162</v>
      </c>
      <c r="S1589" s="1">
        <v>615</v>
      </c>
      <c r="T1589" s="1">
        <v>634</v>
      </c>
    </row>
    <row r="1590" spans="1:20" ht="21" customHeight="1">
      <c r="A1590" s="8">
        <v>46255</v>
      </c>
      <c r="B1590" s="1" t="s">
        <v>34</v>
      </c>
      <c r="C1590" s="1" t="s">
        <v>87</v>
      </c>
      <c r="D1590" s="7">
        <v>7400</v>
      </c>
      <c r="E1590" s="7">
        <v>7600</v>
      </c>
      <c r="F1590" s="7">
        <v>7800</v>
      </c>
      <c r="G1590" s="7">
        <f>'Option source'!B297</f>
        <v>271.72000000000003</v>
      </c>
      <c r="H1590" s="7">
        <f>'Option source'!B316</f>
        <v>215.5</v>
      </c>
      <c r="I1590" s="7">
        <f>'Option source'!B335</f>
        <v>175.19</v>
      </c>
      <c r="J1590" s="7">
        <f t="shared" si="168"/>
        <v>15.910000000000025</v>
      </c>
      <c r="K1590" s="7">
        <f t="shared" si="169"/>
        <v>200</v>
      </c>
      <c r="L1590" s="7">
        <f t="shared" si="170"/>
        <v>184.08999999999997</v>
      </c>
      <c r="M1590" s="7">
        <f t="shared" si="171"/>
        <v>15.910000000000025</v>
      </c>
      <c r="N1590" s="7">
        <f t="shared" si="172"/>
        <v>7415.91</v>
      </c>
      <c r="O1590" s="7">
        <f t="shared" si="173"/>
        <v>7784.09</v>
      </c>
      <c r="P1590" s="15">
        <f t="shared" si="174"/>
        <v>11.570710245128829</v>
      </c>
      <c r="Q1590" s="7">
        <f>J1590*'Model inputs'!$B$8</f>
        <v>1591.0000000000025</v>
      </c>
      <c r="R1590" s="1" t="s">
        <v>162</v>
      </c>
      <c r="S1590" s="1">
        <v>292</v>
      </c>
      <c r="T1590" s="1">
        <v>311</v>
      </c>
    </row>
    <row r="1591" spans="1:20" ht="21" customHeight="1">
      <c r="A1591" s="8">
        <v>46255</v>
      </c>
      <c r="B1591" s="1" t="s">
        <v>34</v>
      </c>
      <c r="C1591" s="1" t="s">
        <v>90</v>
      </c>
      <c r="D1591" s="7">
        <v>5400</v>
      </c>
      <c r="E1591" s="7">
        <v>5600</v>
      </c>
      <c r="F1591" s="7">
        <v>5800</v>
      </c>
      <c r="G1591" s="7">
        <f>'Option source'!B601</f>
        <v>39.81</v>
      </c>
      <c r="H1591" s="7">
        <f>'Option source'!B620</f>
        <v>62.84</v>
      </c>
      <c r="I1591" s="7">
        <f>'Option source'!B639</f>
        <v>96.17</v>
      </c>
      <c r="J1591" s="7">
        <f t="shared" si="168"/>
        <v>10.299999999999997</v>
      </c>
      <c r="K1591" s="7">
        <f t="shared" si="169"/>
        <v>200</v>
      </c>
      <c r="L1591" s="7">
        <f t="shared" si="170"/>
        <v>189.7</v>
      </c>
      <c r="M1591" s="7">
        <f t="shared" si="171"/>
        <v>10.299999999999997</v>
      </c>
      <c r="N1591" s="7">
        <f t="shared" si="172"/>
        <v>5410.3</v>
      </c>
      <c r="O1591" s="7">
        <f t="shared" si="173"/>
        <v>5789.7</v>
      </c>
      <c r="P1591" s="15">
        <f t="shared" si="174"/>
        <v>18.417475728155345</v>
      </c>
      <c r="Q1591" s="7">
        <f>J1591*'Model inputs'!$B$8</f>
        <v>1029.9999999999998</v>
      </c>
      <c r="R1591" s="1" t="s">
        <v>162</v>
      </c>
      <c r="S1591" s="1">
        <v>596</v>
      </c>
      <c r="T1591" s="1">
        <v>615</v>
      </c>
    </row>
    <row r="1592" spans="1:20" ht="21" customHeight="1">
      <c r="A1592" s="8">
        <v>46255</v>
      </c>
      <c r="B1592" s="1" t="s">
        <v>34</v>
      </c>
      <c r="C1592" s="1" t="s">
        <v>87</v>
      </c>
      <c r="D1592" s="7">
        <v>7600</v>
      </c>
      <c r="E1592" s="7">
        <v>7800</v>
      </c>
      <c r="F1592" s="7">
        <v>8000</v>
      </c>
      <c r="G1592" s="7">
        <f>'Option source'!B316</f>
        <v>215.5</v>
      </c>
      <c r="H1592" s="7">
        <f>'Option source'!B335</f>
        <v>175.19</v>
      </c>
      <c r="I1592" s="7">
        <f>'Option source'!B354</f>
        <v>145.19</v>
      </c>
      <c r="J1592" s="7">
        <f t="shared" si="168"/>
        <v>10.310000000000002</v>
      </c>
      <c r="K1592" s="7">
        <f t="shared" si="169"/>
        <v>200</v>
      </c>
      <c r="L1592" s="7">
        <f t="shared" si="170"/>
        <v>189.69</v>
      </c>
      <c r="M1592" s="7">
        <f t="shared" si="171"/>
        <v>10.310000000000002</v>
      </c>
      <c r="N1592" s="7">
        <f t="shared" si="172"/>
        <v>7610.31</v>
      </c>
      <c r="O1592" s="7">
        <f t="shared" si="173"/>
        <v>7989.69</v>
      </c>
      <c r="P1592" s="15">
        <f t="shared" si="174"/>
        <v>18.398642095053344</v>
      </c>
      <c r="Q1592" s="7">
        <f>J1592*'Model inputs'!$B$8</f>
        <v>1031.0000000000002</v>
      </c>
      <c r="R1592" s="1" t="s">
        <v>162</v>
      </c>
      <c r="S1592" s="1">
        <v>311</v>
      </c>
      <c r="T1592" s="1">
        <v>330</v>
      </c>
    </row>
    <row r="1593" spans="1:20" ht="21" customHeight="1">
      <c r="A1593" s="8">
        <v>46255</v>
      </c>
      <c r="B1593" s="1" t="s">
        <v>34</v>
      </c>
      <c r="C1593" s="1" t="s">
        <v>90</v>
      </c>
      <c r="D1593" s="7">
        <v>5200</v>
      </c>
      <c r="E1593" s="7">
        <v>5400</v>
      </c>
      <c r="F1593" s="7">
        <v>5600</v>
      </c>
      <c r="G1593" s="7">
        <f>'Option source'!B582</f>
        <v>27.41</v>
      </c>
      <c r="H1593" s="7">
        <f>'Option source'!B601</f>
        <v>39.81</v>
      </c>
      <c r="I1593" s="7">
        <f>'Option source'!B620</f>
        <v>62.84</v>
      </c>
      <c r="J1593" s="7">
        <f t="shared" si="168"/>
        <v>10.629999999999995</v>
      </c>
      <c r="K1593" s="7">
        <f t="shared" si="169"/>
        <v>200</v>
      </c>
      <c r="L1593" s="7">
        <f t="shared" si="170"/>
        <v>189.37</v>
      </c>
      <c r="M1593" s="7">
        <f t="shared" si="171"/>
        <v>10.629999999999995</v>
      </c>
      <c r="N1593" s="7">
        <f t="shared" si="172"/>
        <v>5210.63</v>
      </c>
      <c r="O1593" s="7">
        <f t="shared" si="173"/>
        <v>5589.37</v>
      </c>
      <c r="P1593" s="15">
        <f t="shared" si="174"/>
        <v>17.81467544684855</v>
      </c>
      <c r="Q1593" s="7">
        <f>J1593*'Model inputs'!$B$8</f>
        <v>1062.9999999999995</v>
      </c>
      <c r="R1593" s="1" t="s">
        <v>162</v>
      </c>
      <c r="S1593" s="1">
        <v>577</v>
      </c>
      <c r="T1593" s="1">
        <v>596</v>
      </c>
    </row>
    <row r="1594" spans="1:20" ht="21" customHeight="1">
      <c r="A1594" s="8">
        <v>46255</v>
      </c>
      <c r="B1594" s="1" t="s">
        <v>34</v>
      </c>
      <c r="C1594" s="1" t="s">
        <v>90</v>
      </c>
      <c r="D1594" s="7">
        <v>5000</v>
      </c>
      <c r="E1594" s="7">
        <v>5200</v>
      </c>
      <c r="F1594" s="7">
        <v>5400</v>
      </c>
      <c r="G1594" s="7">
        <f>'Option source'!B563</f>
        <v>17.89</v>
      </c>
      <c r="H1594" s="7">
        <f>'Option source'!B582</f>
        <v>27.41</v>
      </c>
      <c r="I1594" s="7">
        <f>'Option source'!B601</f>
        <v>39.81</v>
      </c>
      <c r="J1594" s="7">
        <f t="shared" si="168"/>
        <v>2.8800000000000026</v>
      </c>
      <c r="K1594" s="7">
        <f t="shared" si="169"/>
        <v>200</v>
      </c>
      <c r="L1594" s="7">
        <f t="shared" si="170"/>
        <v>197.12</v>
      </c>
      <c r="M1594" s="7">
        <f t="shared" si="171"/>
        <v>2.8800000000000026</v>
      </c>
      <c r="N1594" s="7">
        <f t="shared" si="172"/>
        <v>5002.88</v>
      </c>
      <c r="O1594" s="7">
        <f t="shared" si="173"/>
        <v>5397.12</v>
      </c>
      <c r="P1594" s="15">
        <f t="shared" si="174"/>
        <v>68.444444444444386</v>
      </c>
      <c r="Q1594" s="7">
        <f>J1594*'Model inputs'!$B$8</f>
        <v>288.00000000000023</v>
      </c>
      <c r="R1594" s="1" t="s">
        <v>162</v>
      </c>
      <c r="S1594" s="1">
        <v>558</v>
      </c>
      <c r="T1594" s="1">
        <v>577</v>
      </c>
    </row>
    <row r="1595" spans="1:20" ht="21" customHeight="1">
      <c r="A1595" s="8">
        <v>46255</v>
      </c>
      <c r="B1595" s="1" t="s">
        <v>34</v>
      </c>
      <c r="C1595" s="1" t="s">
        <v>87</v>
      </c>
      <c r="D1595" s="7">
        <v>8000</v>
      </c>
      <c r="E1595" s="7">
        <v>8300</v>
      </c>
      <c r="F1595" s="7">
        <v>8600</v>
      </c>
      <c r="G1595" s="7">
        <f>'Option source'!B354</f>
        <v>145.19</v>
      </c>
      <c r="H1595" s="7">
        <f>'Option source'!B373</f>
        <v>100.86</v>
      </c>
      <c r="I1595" s="7">
        <f>'Option source'!B392</f>
        <v>72.05</v>
      </c>
      <c r="J1595" s="7">
        <f t="shared" si="168"/>
        <v>15.519999999999996</v>
      </c>
      <c r="K1595" s="7">
        <f t="shared" si="169"/>
        <v>300</v>
      </c>
      <c r="L1595" s="7">
        <f t="shared" si="170"/>
        <v>284.48</v>
      </c>
      <c r="M1595" s="7">
        <f t="shared" si="171"/>
        <v>15.519999999999996</v>
      </c>
      <c r="N1595" s="7">
        <f t="shared" si="172"/>
        <v>8015.52</v>
      </c>
      <c r="O1595" s="7">
        <f t="shared" si="173"/>
        <v>8584.48</v>
      </c>
      <c r="P1595" s="15">
        <f t="shared" si="174"/>
        <v>18.329896907216501</v>
      </c>
      <c r="Q1595" s="7">
        <f>J1595*'Model inputs'!$B$8</f>
        <v>1551.9999999999995</v>
      </c>
      <c r="R1595" s="1" t="s">
        <v>162</v>
      </c>
      <c r="S1595" s="1">
        <v>349</v>
      </c>
      <c r="T1595" s="1">
        <v>368</v>
      </c>
    </row>
    <row r="1596" spans="1:20" ht="21" customHeight="1">
      <c r="A1596" s="8">
        <v>46255</v>
      </c>
      <c r="B1596" s="1" t="s">
        <v>34</v>
      </c>
      <c r="C1596" s="1" t="s">
        <v>87</v>
      </c>
      <c r="D1596" s="7">
        <v>8300</v>
      </c>
      <c r="E1596" s="7">
        <v>8600</v>
      </c>
      <c r="F1596" s="7">
        <v>8900</v>
      </c>
      <c r="G1596" s="7">
        <f>'Option source'!B373</f>
        <v>100.86</v>
      </c>
      <c r="H1596" s="7">
        <f>'Option source'!B392</f>
        <v>72.05</v>
      </c>
      <c r="I1596" s="7">
        <f>'Option source'!B411</f>
        <v>49.98</v>
      </c>
      <c r="J1596" s="7">
        <f t="shared" si="168"/>
        <v>6.740000000000002</v>
      </c>
      <c r="K1596" s="7">
        <f t="shared" si="169"/>
        <v>300</v>
      </c>
      <c r="L1596" s="7">
        <f t="shared" si="170"/>
        <v>293.26</v>
      </c>
      <c r="M1596" s="7">
        <f t="shared" si="171"/>
        <v>6.740000000000002</v>
      </c>
      <c r="N1596" s="7">
        <f t="shared" si="172"/>
        <v>8306.74</v>
      </c>
      <c r="O1596" s="7">
        <f t="shared" si="173"/>
        <v>8893.26</v>
      </c>
      <c r="P1596" s="15">
        <f t="shared" si="174"/>
        <v>43.510385756676541</v>
      </c>
      <c r="Q1596" s="7">
        <f>J1596*'Model inputs'!$B$8</f>
        <v>674.00000000000023</v>
      </c>
      <c r="R1596" s="1" t="s">
        <v>162</v>
      </c>
      <c r="S1596" s="1">
        <v>368</v>
      </c>
      <c r="T1596" s="1">
        <v>387</v>
      </c>
    </row>
    <row r="1597" spans="1:20" ht="21" customHeight="1">
      <c r="A1597" s="8">
        <v>46255</v>
      </c>
      <c r="B1597" s="1" t="s">
        <v>34</v>
      </c>
      <c r="C1597" s="1" t="s">
        <v>87</v>
      </c>
      <c r="D1597" s="7">
        <v>8600</v>
      </c>
      <c r="E1597" s="7">
        <v>8900</v>
      </c>
      <c r="F1597" s="7">
        <v>9200</v>
      </c>
      <c r="G1597" s="7">
        <f>'Option source'!B392</f>
        <v>72.05</v>
      </c>
      <c r="H1597" s="7">
        <f>'Option source'!B411</f>
        <v>49.98</v>
      </c>
      <c r="I1597" s="7">
        <f>'Option source'!B430</f>
        <v>33.56</v>
      </c>
      <c r="J1597" s="7">
        <f t="shared" si="168"/>
        <v>5.6500000000000057</v>
      </c>
      <c r="K1597" s="7">
        <f t="shared" si="169"/>
        <v>300</v>
      </c>
      <c r="L1597" s="7">
        <f t="shared" si="170"/>
        <v>294.35000000000002</v>
      </c>
      <c r="M1597" s="7">
        <f t="shared" si="171"/>
        <v>5.6500000000000057</v>
      </c>
      <c r="N1597" s="7">
        <f t="shared" si="172"/>
        <v>8605.65</v>
      </c>
      <c r="O1597" s="7">
        <f t="shared" si="173"/>
        <v>9194.35</v>
      </c>
      <c r="P1597" s="15">
        <f t="shared" si="174"/>
        <v>52.097345132743314</v>
      </c>
      <c r="Q1597" s="7">
        <f>J1597*'Model inputs'!$B$8</f>
        <v>565.00000000000057</v>
      </c>
      <c r="R1597" s="1" t="s">
        <v>162</v>
      </c>
      <c r="S1597" s="1">
        <v>387</v>
      </c>
      <c r="T1597" s="1">
        <v>406</v>
      </c>
    </row>
    <row r="1598" spans="1:20" ht="21" customHeight="1">
      <c r="A1598" s="8">
        <v>46255</v>
      </c>
      <c r="B1598" s="1" t="s">
        <v>34</v>
      </c>
      <c r="C1598" s="1" t="s">
        <v>87</v>
      </c>
      <c r="D1598" s="7">
        <v>8900</v>
      </c>
      <c r="E1598" s="7">
        <v>9200</v>
      </c>
      <c r="F1598" s="7">
        <v>9500</v>
      </c>
      <c r="G1598" s="7">
        <f>'Option source'!B411</f>
        <v>49.98</v>
      </c>
      <c r="H1598" s="7">
        <f>'Option source'!B430</f>
        <v>33.56</v>
      </c>
      <c r="I1598" s="7">
        <f>'Option source'!B449</f>
        <v>25.5</v>
      </c>
      <c r="J1598" s="7">
        <f t="shared" si="168"/>
        <v>8.3599999999999923</v>
      </c>
      <c r="K1598" s="7">
        <f t="shared" si="169"/>
        <v>300</v>
      </c>
      <c r="L1598" s="7">
        <f t="shared" si="170"/>
        <v>291.64</v>
      </c>
      <c r="M1598" s="7">
        <f t="shared" si="171"/>
        <v>8.3599999999999923</v>
      </c>
      <c r="N1598" s="7">
        <f t="shared" si="172"/>
        <v>8908.36</v>
      </c>
      <c r="O1598" s="7">
        <f t="shared" si="173"/>
        <v>9491.64</v>
      </c>
      <c r="P1598" s="15">
        <f t="shared" si="174"/>
        <v>34.885167464114865</v>
      </c>
      <c r="Q1598" s="7">
        <f>J1598*'Model inputs'!$B$8</f>
        <v>835.9999999999992</v>
      </c>
      <c r="R1598" s="1" t="s">
        <v>162</v>
      </c>
      <c r="S1598" s="1">
        <v>406</v>
      </c>
      <c r="T1598" s="1">
        <v>425</v>
      </c>
    </row>
    <row r="1599" spans="1:20" ht="21" customHeight="1">
      <c r="A1599" s="8">
        <v>46255</v>
      </c>
      <c r="B1599" s="1" t="s">
        <v>34</v>
      </c>
      <c r="C1599" s="1" t="s">
        <v>87</v>
      </c>
      <c r="D1599" s="7">
        <v>6400</v>
      </c>
      <c r="E1599" s="7">
        <v>6600</v>
      </c>
      <c r="F1599" s="7">
        <v>6800</v>
      </c>
      <c r="G1599" s="7">
        <f>'Option source'!B202</f>
        <v>711</v>
      </c>
      <c r="H1599" s="7">
        <f>'Option source'!B221</f>
        <v>630</v>
      </c>
      <c r="I1599" s="7">
        <f>'Option source'!B240</f>
        <v>520</v>
      </c>
      <c r="J1599" s="7">
        <f t="shared" si="168"/>
        <v>-29</v>
      </c>
      <c r="K1599" s="7">
        <f t="shared" si="169"/>
        <v>200</v>
      </c>
      <c r="L1599" s="7">
        <f t="shared" si="170"/>
        <v>229</v>
      </c>
      <c r="M1599" s="7">
        <f t="shared" si="171"/>
        <v>0</v>
      </c>
      <c r="N1599" s="7" t="str">
        <f t="shared" si="172"/>
        <v>n.a.</v>
      </c>
      <c r="O1599" s="7" t="str">
        <f t="shared" si="173"/>
        <v>n.a.</v>
      </c>
      <c r="P1599" s="15" t="str">
        <f t="shared" si="174"/>
        <v>n.a.</v>
      </c>
      <c r="Q1599" s="7">
        <f>J1599*'Model inputs'!$B$8</f>
        <v>-2900</v>
      </c>
      <c r="R1599" s="1" t="s">
        <v>163</v>
      </c>
      <c r="S1599" s="1">
        <v>197</v>
      </c>
      <c r="T1599" s="1">
        <v>216</v>
      </c>
    </row>
    <row r="1600" spans="1:20" ht="21" customHeight="1">
      <c r="A1600" s="8">
        <v>46255</v>
      </c>
      <c r="B1600" s="1" t="s">
        <v>34</v>
      </c>
      <c r="C1600" s="1" t="s">
        <v>90</v>
      </c>
      <c r="D1600" s="7">
        <v>6400</v>
      </c>
      <c r="E1600" s="7">
        <v>6600</v>
      </c>
      <c r="F1600" s="7">
        <v>6800</v>
      </c>
      <c r="G1600" s="7">
        <f>'Option source'!B696</f>
        <v>290.5</v>
      </c>
      <c r="H1600" s="7">
        <f>'Option source'!B715</f>
        <v>374.07</v>
      </c>
      <c r="I1600" s="7">
        <f>'Option source'!B734</f>
        <v>450.05</v>
      </c>
      <c r="J1600" s="7">
        <f t="shared" si="168"/>
        <v>-7.589999999999975</v>
      </c>
      <c r="K1600" s="7">
        <f t="shared" si="169"/>
        <v>200</v>
      </c>
      <c r="L1600" s="7">
        <f t="shared" si="170"/>
        <v>207.58999999999997</v>
      </c>
      <c r="M1600" s="7">
        <f t="shared" si="171"/>
        <v>0</v>
      </c>
      <c r="N1600" s="7" t="str">
        <f t="shared" si="172"/>
        <v>n.a.</v>
      </c>
      <c r="O1600" s="7" t="str">
        <f t="shared" si="173"/>
        <v>n.a.</v>
      </c>
      <c r="P1600" s="15" t="str">
        <f t="shared" si="174"/>
        <v>n.a.</v>
      </c>
      <c r="Q1600" s="7">
        <f>J1600*'Model inputs'!$B$8</f>
        <v>-758.9999999999975</v>
      </c>
      <c r="R1600" s="1" t="s">
        <v>163</v>
      </c>
      <c r="S1600" s="1">
        <v>691</v>
      </c>
      <c r="T1600" s="1">
        <v>710</v>
      </c>
    </row>
    <row r="1601" spans="1:20" ht="21" customHeight="1">
      <c r="A1601" s="8">
        <v>46255</v>
      </c>
      <c r="B1601" s="1" t="s">
        <v>34</v>
      </c>
      <c r="C1601" s="1" t="s">
        <v>90</v>
      </c>
      <c r="D1601" s="7">
        <v>6200</v>
      </c>
      <c r="E1601" s="7">
        <v>6400</v>
      </c>
      <c r="F1601" s="7">
        <v>6600</v>
      </c>
      <c r="G1601" s="7">
        <f>'Option source'!B677</f>
        <v>201.71</v>
      </c>
      <c r="H1601" s="7">
        <f>'Option source'!B696</f>
        <v>290.5</v>
      </c>
      <c r="I1601" s="7">
        <f>'Option source'!B715</f>
        <v>374.07</v>
      </c>
      <c r="J1601" s="7">
        <f t="shared" si="168"/>
        <v>-5.2199999999999704</v>
      </c>
      <c r="K1601" s="7">
        <f t="shared" si="169"/>
        <v>200</v>
      </c>
      <c r="L1601" s="7">
        <f t="shared" si="170"/>
        <v>205.21999999999997</v>
      </c>
      <c r="M1601" s="7">
        <f t="shared" si="171"/>
        <v>0</v>
      </c>
      <c r="N1601" s="7" t="str">
        <f t="shared" si="172"/>
        <v>n.a.</v>
      </c>
      <c r="O1601" s="7" t="str">
        <f t="shared" si="173"/>
        <v>n.a.</v>
      </c>
      <c r="P1601" s="15" t="str">
        <f t="shared" si="174"/>
        <v>n.a.</v>
      </c>
      <c r="Q1601" s="7">
        <f>J1601*'Model inputs'!$B$8</f>
        <v>-521.99999999999704</v>
      </c>
      <c r="R1601" s="1" t="s">
        <v>163</v>
      </c>
      <c r="S1601" s="1">
        <v>672</v>
      </c>
      <c r="T1601" s="1">
        <v>691</v>
      </c>
    </row>
    <row r="1602" spans="1:20" ht="21" customHeight="1">
      <c r="A1602" s="8">
        <v>46255</v>
      </c>
      <c r="B1602" s="1" t="s">
        <v>34</v>
      </c>
      <c r="C1602" s="1" t="s">
        <v>90</v>
      </c>
      <c r="D1602" s="7">
        <v>7000</v>
      </c>
      <c r="E1602" s="7">
        <v>7200</v>
      </c>
      <c r="F1602" s="7">
        <v>7400</v>
      </c>
      <c r="G1602" s="7">
        <f>'Option source'!B753</f>
        <v>570</v>
      </c>
      <c r="H1602" s="7">
        <f>'Option source'!B772</f>
        <v>731.63</v>
      </c>
      <c r="I1602" s="7">
        <f>'Option source'!B791</f>
        <v>780</v>
      </c>
      <c r="J1602" s="7">
        <f t="shared" si="168"/>
        <v>-113.25999999999999</v>
      </c>
      <c r="K1602" s="7">
        <f t="shared" si="169"/>
        <v>200</v>
      </c>
      <c r="L1602" s="7">
        <f t="shared" si="170"/>
        <v>313.26</v>
      </c>
      <c r="M1602" s="7">
        <f t="shared" si="171"/>
        <v>0</v>
      </c>
      <c r="N1602" s="7" t="str">
        <f t="shared" si="172"/>
        <v>n.a.</v>
      </c>
      <c r="O1602" s="7" t="str">
        <f t="shared" si="173"/>
        <v>n.a.</v>
      </c>
      <c r="P1602" s="15" t="str">
        <f t="shared" si="174"/>
        <v>n.a.</v>
      </c>
      <c r="Q1602" s="7">
        <f>J1602*'Model inputs'!$B$8</f>
        <v>-11326</v>
      </c>
      <c r="R1602" s="1" t="s">
        <v>163</v>
      </c>
      <c r="S1602" s="1">
        <v>748</v>
      </c>
      <c r="T1602" s="1">
        <v>767</v>
      </c>
    </row>
    <row r="1603" spans="1:20" ht="21" customHeight="1">
      <c r="A1603" s="8">
        <v>46255</v>
      </c>
      <c r="B1603" s="1" t="s">
        <v>34</v>
      </c>
      <c r="C1603" s="1" t="s">
        <v>90</v>
      </c>
      <c r="D1603" s="7">
        <v>7200</v>
      </c>
      <c r="E1603" s="7">
        <v>7400</v>
      </c>
      <c r="F1603" s="7">
        <v>7600</v>
      </c>
      <c r="G1603" s="7">
        <f>'Option source'!B772</f>
        <v>731.63</v>
      </c>
      <c r="H1603" s="7">
        <f>'Option source'!B791</f>
        <v>780</v>
      </c>
      <c r="I1603" s="7">
        <f>'Option source'!B810</f>
        <v>987.5</v>
      </c>
      <c r="J1603" s="7">
        <f t="shared" si="168"/>
        <v>159.13</v>
      </c>
      <c r="K1603" s="7">
        <f t="shared" si="169"/>
        <v>200</v>
      </c>
      <c r="L1603" s="7">
        <f t="shared" si="170"/>
        <v>40.870000000000005</v>
      </c>
      <c r="M1603" s="7">
        <f t="shared" si="171"/>
        <v>159.13</v>
      </c>
      <c r="N1603" s="7">
        <f t="shared" si="172"/>
        <v>7359.13</v>
      </c>
      <c r="O1603" s="7">
        <f t="shared" si="173"/>
        <v>7440.87</v>
      </c>
      <c r="P1603" s="15">
        <f t="shared" si="174"/>
        <v>0.2568340350656696</v>
      </c>
      <c r="Q1603" s="7">
        <f>J1603*'Model inputs'!$B$8</f>
        <v>15913</v>
      </c>
      <c r="R1603" s="1" t="s">
        <v>164</v>
      </c>
      <c r="S1603" s="1">
        <v>767</v>
      </c>
      <c r="T1603" s="1">
        <v>786</v>
      </c>
    </row>
    <row r="1604" spans="1:20" ht="21" customHeight="1">
      <c r="A1604" s="8">
        <v>46255</v>
      </c>
      <c r="B1604" s="1" t="s">
        <v>34</v>
      </c>
      <c r="C1604" s="1" t="s">
        <v>90</v>
      </c>
      <c r="D1604" s="7">
        <v>7400</v>
      </c>
      <c r="E1604" s="7">
        <v>7600</v>
      </c>
      <c r="F1604" s="7">
        <v>7800</v>
      </c>
      <c r="G1604" s="7">
        <f>'Option source'!B791</f>
        <v>780</v>
      </c>
      <c r="H1604" s="7">
        <f>'Option source'!B810</f>
        <v>987.5</v>
      </c>
      <c r="I1604" s="7">
        <f>'Option source'!B829</f>
        <v>1150</v>
      </c>
      <c r="J1604" s="7">
        <f t="shared" si="168"/>
        <v>-45</v>
      </c>
      <c r="K1604" s="7">
        <f t="shared" si="169"/>
        <v>200</v>
      </c>
      <c r="L1604" s="7">
        <f t="shared" si="170"/>
        <v>245</v>
      </c>
      <c r="M1604" s="7">
        <f t="shared" si="171"/>
        <v>0</v>
      </c>
      <c r="N1604" s="7" t="str">
        <f t="shared" si="172"/>
        <v>n.a.</v>
      </c>
      <c r="O1604" s="7" t="str">
        <f t="shared" si="173"/>
        <v>n.a.</v>
      </c>
      <c r="P1604" s="15" t="str">
        <f t="shared" si="174"/>
        <v>n.a.</v>
      </c>
      <c r="Q1604" s="7">
        <f>J1604*'Model inputs'!$B$8</f>
        <v>-4500</v>
      </c>
      <c r="R1604" s="1" t="s">
        <v>163</v>
      </c>
      <c r="S1604" s="1">
        <v>786</v>
      </c>
      <c r="T1604" s="1">
        <v>805</v>
      </c>
    </row>
    <row r="1605" spans="1:20" ht="21" customHeight="1">
      <c r="A1605" s="8">
        <v>46255</v>
      </c>
      <c r="B1605" s="1" t="s">
        <v>34</v>
      </c>
      <c r="C1605" s="1" t="s">
        <v>90</v>
      </c>
      <c r="D1605" s="7">
        <v>7600</v>
      </c>
      <c r="E1605" s="7">
        <v>7800</v>
      </c>
      <c r="F1605" s="7">
        <v>8000</v>
      </c>
      <c r="G1605" s="7">
        <f>'Option source'!B810</f>
        <v>987.5</v>
      </c>
      <c r="H1605" s="7">
        <f>'Option source'!B829</f>
        <v>1150</v>
      </c>
      <c r="I1605" s="7">
        <f>'Option source'!B848</f>
        <v>1337.5</v>
      </c>
      <c r="J1605" s="7">
        <f t="shared" si="168"/>
        <v>25</v>
      </c>
      <c r="K1605" s="7">
        <f t="shared" si="169"/>
        <v>200</v>
      </c>
      <c r="L1605" s="7">
        <f t="shared" si="170"/>
        <v>175</v>
      </c>
      <c r="M1605" s="7">
        <f t="shared" si="171"/>
        <v>25</v>
      </c>
      <c r="N1605" s="7">
        <f t="shared" si="172"/>
        <v>7625</v>
      </c>
      <c r="O1605" s="7">
        <f t="shared" si="173"/>
        <v>7975</v>
      </c>
      <c r="P1605" s="15">
        <f t="shared" si="174"/>
        <v>7</v>
      </c>
      <c r="Q1605" s="7">
        <f>J1605*'Model inputs'!$B$8</f>
        <v>2500</v>
      </c>
      <c r="R1605" s="1" t="s">
        <v>164</v>
      </c>
      <c r="S1605" s="1">
        <v>805</v>
      </c>
      <c r="T1605" s="1">
        <v>824</v>
      </c>
    </row>
    <row r="1606" spans="1:20" ht="21" customHeight="1">
      <c r="A1606" s="8">
        <v>46255</v>
      </c>
      <c r="B1606" s="1" t="s">
        <v>34</v>
      </c>
      <c r="C1606" s="1" t="s">
        <v>90</v>
      </c>
      <c r="D1606" s="7">
        <v>4800</v>
      </c>
      <c r="E1606" s="7">
        <v>5000</v>
      </c>
      <c r="F1606" s="7">
        <v>5200</v>
      </c>
      <c r="G1606" s="7">
        <f>'Option source'!B544</f>
        <v>7.23</v>
      </c>
      <c r="H1606" s="7">
        <f>'Option source'!B563</f>
        <v>17.89</v>
      </c>
      <c r="I1606" s="7">
        <f>'Option source'!B582</f>
        <v>27.41</v>
      </c>
      <c r="J1606" s="7">
        <f t="shared" si="168"/>
        <v>-1.1400000000000006</v>
      </c>
      <c r="K1606" s="7">
        <f t="shared" si="169"/>
        <v>200</v>
      </c>
      <c r="L1606" s="7">
        <f t="shared" si="170"/>
        <v>201.14</v>
      </c>
      <c r="M1606" s="7">
        <f t="shared" si="171"/>
        <v>0</v>
      </c>
      <c r="N1606" s="7" t="str">
        <f t="shared" si="172"/>
        <v>n.a.</v>
      </c>
      <c r="O1606" s="7" t="str">
        <f t="shared" si="173"/>
        <v>n.a.</v>
      </c>
      <c r="P1606" s="15" t="str">
        <f t="shared" si="174"/>
        <v>n.a.</v>
      </c>
      <c r="Q1606" s="7">
        <f>J1606*'Model inputs'!$B$8</f>
        <v>-114.00000000000006</v>
      </c>
      <c r="R1606" s="1" t="s">
        <v>163</v>
      </c>
      <c r="S1606" s="1">
        <v>539</v>
      </c>
      <c r="T1606" s="1">
        <v>558</v>
      </c>
    </row>
    <row r="1607" spans="1:20" ht="21" customHeight="1">
      <c r="A1607" s="8">
        <v>46255</v>
      </c>
      <c r="B1607" s="1" t="s">
        <v>34</v>
      </c>
      <c r="C1607" s="1" t="s">
        <v>90</v>
      </c>
      <c r="D1607" s="7">
        <v>8000</v>
      </c>
      <c r="E1607" s="7">
        <v>8300</v>
      </c>
      <c r="F1607" s="7">
        <v>8600</v>
      </c>
      <c r="G1607" s="7">
        <f>'Option source'!B848</f>
        <v>1337.5</v>
      </c>
      <c r="H1607" s="7">
        <f>'Option source'!B867</f>
        <v>1580</v>
      </c>
      <c r="I1607" s="7">
        <f>'Option source'!B886</f>
        <v>1173.55</v>
      </c>
      <c r="J1607" s="7">
        <f t="shared" ref="J1607:J1670" si="175">G1607-2*H1607+IF(B1607="Butterfly",I1607,0)</f>
        <v>-648.95000000000005</v>
      </c>
      <c r="K1607" s="7">
        <f t="shared" ref="K1607:K1653" si="176">ABS(E1607-D1607)</f>
        <v>300</v>
      </c>
      <c r="L1607" s="7">
        <f t="shared" ref="L1607:L1670" si="177">K1607-J1607</f>
        <v>948.95</v>
      </c>
      <c r="M1607" s="7">
        <f t="shared" ref="M1607:M1653" si="178">IF(B1607="Butterfly",MAX(J1607,0),IF(C1607="call","Unlimited",MAX(2*E1607-D1607+J1607,J1607,0)))</f>
        <v>0</v>
      </c>
      <c r="N1607" s="7" t="str">
        <f t="shared" ref="N1607:N1653" si="179">IF(B1607="Butterfly",IF(AND(J1607&gt;0,J1607&lt;K1607),D1607+J1607,"n.a."),IF(C1607="call",IF(AND(J1607&gt;0,J1607&lt;K1607),D1607+J1607,"n.a."),IF(AND(K1607&gt;J1607,2*E1607-D1607+J1607&gt;=0),2*E1607-D1607+J1607,"n.a.")))</f>
        <v>n.a.</v>
      </c>
      <c r="O1607" s="7" t="str">
        <f t="shared" ref="O1607:O1653" si="180">IF(B1607="Butterfly",IF(AND(J1607&gt;0,J1607&lt;K1607),F1607-J1607,"n.a."),IF(C1607="call",IF(K1607&gt;J1607,2*E1607-D1607-J1607,"n.a."),IF(AND(J1607&gt;0,J1607&lt;K1607),D1607-J1607,"n.a.")))</f>
        <v>n.a.</v>
      </c>
      <c r="P1607" s="15" t="str">
        <f t="shared" ref="P1607:P1653" si="181">IF(AND(B1607="Butterfly",J1607&gt;0,J1607&lt;K1607),L1607/J1607,"n.a.")</f>
        <v>n.a.</v>
      </c>
      <c r="Q1607" s="7">
        <f>J1607*'Model inputs'!$B$8</f>
        <v>-64895.000000000007</v>
      </c>
      <c r="R1607" s="1" t="s">
        <v>163</v>
      </c>
      <c r="S1607" s="1">
        <v>843</v>
      </c>
      <c r="T1607" s="1">
        <v>862</v>
      </c>
    </row>
    <row r="1608" spans="1:20" ht="21" customHeight="1">
      <c r="A1608" s="8">
        <v>46255</v>
      </c>
      <c r="B1608" s="1" t="s">
        <v>34</v>
      </c>
      <c r="C1608" s="1" t="s">
        <v>90</v>
      </c>
      <c r="D1608" s="7">
        <v>4600</v>
      </c>
      <c r="E1608" s="7">
        <v>4800</v>
      </c>
      <c r="F1608" s="7">
        <v>5000</v>
      </c>
      <c r="G1608" s="7">
        <f>'Option source'!B525</f>
        <v>0</v>
      </c>
      <c r="H1608" s="7">
        <f>'Option source'!B544</f>
        <v>7.23</v>
      </c>
      <c r="I1608" s="7">
        <f>'Option source'!B563</f>
        <v>17.89</v>
      </c>
      <c r="J1608" s="7">
        <f t="shared" si="175"/>
        <v>3.4299999999999997</v>
      </c>
      <c r="K1608" s="7">
        <f t="shared" si="176"/>
        <v>200</v>
      </c>
      <c r="L1608" s="7">
        <f t="shared" si="177"/>
        <v>196.57</v>
      </c>
      <c r="M1608" s="7">
        <f t="shared" si="178"/>
        <v>3.4299999999999997</v>
      </c>
      <c r="N1608" s="7">
        <f t="shared" si="179"/>
        <v>4603.43</v>
      </c>
      <c r="O1608" s="7">
        <f t="shared" si="180"/>
        <v>4996.57</v>
      </c>
      <c r="P1608" s="15">
        <f t="shared" si="181"/>
        <v>57.309037900874635</v>
      </c>
      <c r="Q1608" s="7">
        <f>J1608*'Model inputs'!$B$8</f>
        <v>343</v>
      </c>
      <c r="R1608" s="1" t="s">
        <v>164</v>
      </c>
      <c r="S1608" s="1">
        <v>520</v>
      </c>
      <c r="T1608" s="1">
        <v>539</v>
      </c>
    </row>
    <row r="1609" spans="1:20" ht="21" customHeight="1">
      <c r="A1609" s="8">
        <v>46255</v>
      </c>
      <c r="B1609" s="1" t="s">
        <v>34</v>
      </c>
      <c r="C1609" s="1" t="s">
        <v>90</v>
      </c>
      <c r="D1609" s="7">
        <v>4400</v>
      </c>
      <c r="E1609" s="7">
        <v>4600</v>
      </c>
      <c r="F1609" s="7">
        <v>4800</v>
      </c>
      <c r="G1609" s="7">
        <f>'Option source'!B506</f>
        <v>10</v>
      </c>
      <c r="H1609" s="7">
        <f>'Option source'!B525</f>
        <v>0</v>
      </c>
      <c r="I1609" s="7">
        <f>'Option source'!B544</f>
        <v>7.23</v>
      </c>
      <c r="J1609" s="7">
        <f t="shared" si="175"/>
        <v>17.23</v>
      </c>
      <c r="K1609" s="7">
        <f t="shared" si="176"/>
        <v>200</v>
      </c>
      <c r="L1609" s="7">
        <f t="shared" si="177"/>
        <v>182.77</v>
      </c>
      <c r="M1609" s="7">
        <f t="shared" si="178"/>
        <v>17.23</v>
      </c>
      <c r="N1609" s="7">
        <f t="shared" si="179"/>
        <v>4417.2299999999996</v>
      </c>
      <c r="O1609" s="7">
        <f t="shared" si="180"/>
        <v>4782.7700000000004</v>
      </c>
      <c r="P1609" s="15">
        <f t="shared" si="181"/>
        <v>10.607661056297156</v>
      </c>
      <c r="Q1609" s="7">
        <f>J1609*'Model inputs'!$B$8</f>
        <v>1723</v>
      </c>
      <c r="R1609" s="1" t="s">
        <v>164</v>
      </c>
      <c r="S1609" s="1">
        <v>501</v>
      </c>
      <c r="T1609" s="1">
        <v>520</v>
      </c>
    </row>
    <row r="1610" spans="1:20" ht="21" customHeight="1">
      <c r="A1610" s="8">
        <v>46255</v>
      </c>
      <c r="B1610" s="1" t="s">
        <v>34</v>
      </c>
      <c r="C1610" s="1" t="s">
        <v>87</v>
      </c>
      <c r="D1610" s="7">
        <v>4200</v>
      </c>
      <c r="E1610" s="7">
        <v>4400</v>
      </c>
      <c r="F1610" s="7">
        <v>4600</v>
      </c>
      <c r="G1610" s="7">
        <f>'Option source'!B7</f>
        <v>2544.61</v>
      </c>
      <c r="H1610" s="7">
        <f>'Option source'!B26</f>
        <v>2387.12</v>
      </c>
      <c r="I1610" s="7">
        <f>'Option source'!B45</f>
        <v>2191.92</v>
      </c>
      <c r="J1610" s="7">
        <f t="shared" si="175"/>
        <v>-37.709999999999582</v>
      </c>
      <c r="K1610" s="7">
        <f t="shared" si="176"/>
        <v>200</v>
      </c>
      <c r="L1610" s="7">
        <f t="shared" si="177"/>
        <v>237.70999999999958</v>
      </c>
      <c r="M1610" s="7">
        <f t="shared" si="178"/>
        <v>0</v>
      </c>
      <c r="N1610" s="7" t="str">
        <f t="shared" si="179"/>
        <v>n.a.</v>
      </c>
      <c r="O1610" s="7" t="str">
        <f t="shared" si="180"/>
        <v>n.a.</v>
      </c>
      <c r="P1610" s="15" t="str">
        <f t="shared" si="181"/>
        <v>n.a.</v>
      </c>
      <c r="Q1610" s="7">
        <f>J1610*'Model inputs'!$B$8</f>
        <v>-3770.9999999999582</v>
      </c>
      <c r="R1610" s="1" t="s">
        <v>163</v>
      </c>
      <c r="S1610" s="1">
        <v>2</v>
      </c>
      <c r="T1610" s="1">
        <v>21</v>
      </c>
    </row>
    <row r="1611" spans="1:20" ht="21" customHeight="1">
      <c r="A1611" s="8">
        <v>46255</v>
      </c>
      <c r="B1611" s="1" t="s">
        <v>34</v>
      </c>
      <c r="C1611" s="1" t="s">
        <v>90</v>
      </c>
      <c r="D1611" s="7">
        <v>4200</v>
      </c>
      <c r="E1611" s="7">
        <v>4400</v>
      </c>
      <c r="F1611" s="7">
        <v>4600</v>
      </c>
      <c r="G1611" s="7">
        <f>'Option source'!B487</f>
        <v>10</v>
      </c>
      <c r="H1611" s="7">
        <f>'Option source'!B506</f>
        <v>10</v>
      </c>
      <c r="I1611" s="7">
        <f>'Option source'!B525</f>
        <v>0</v>
      </c>
      <c r="J1611" s="7">
        <f t="shared" si="175"/>
        <v>-10</v>
      </c>
      <c r="K1611" s="7">
        <f t="shared" si="176"/>
        <v>200</v>
      </c>
      <c r="L1611" s="7">
        <f t="shared" si="177"/>
        <v>210</v>
      </c>
      <c r="M1611" s="7">
        <f t="shared" si="178"/>
        <v>0</v>
      </c>
      <c r="N1611" s="7" t="str">
        <f t="shared" si="179"/>
        <v>n.a.</v>
      </c>
      <c r="O1611" s="7" t="str">
        <f t="shared" si="180"/>
        <v>n.a.</v>
      </c>
      <c r="P1611" s="15" t="str">
        <f t="shared" si="181"/>
        <v>n.a.</v>
      </c>
      <c r="Q1611" s="7">
        <f>J1611*'Model inputs'!$B$8</f>
        <v>-1000</v>
      </c>
      <c r="R1611" s="1" t="s">
        <v>163</v>
      </c>
      <c r="S1611" s="1">
        <v>482</v>
      </c>
      <c r="T1611" s="1">
        <v>501</v>
      </c>
    </row>
    <row r="1612" spans="1:20" ht="21" customHeight="1">
      <c r="A1612" s="8">
        <v>46255</v>
      </c>
      <c r="B1612" s="1" t="s">
        <v>36</v>
      </c>
      <c r="C1612" s="1" t="s">
        <v>87</v>
      </c>
      <c r="D1612" s="7">
        <v>6400</v>
      </c>
      <c r="E1612" s="7">
        <v>6600</v>
      </c>
      <c r="F1612" s="7"/>
      <c r="G1612" s="7">
        <f>'Option source'!B202</f>
        <v>711</v>
      </c>
      <c r="H1612" s="7">
        <f>'Option source'!B221</f>
        <v>630</v>
      </c>
      <c r="I1612" s="7"/>
      <c r="J1612" s="7">
        <f t="shared" si="175"/>
        <v>-549</v>
      </c>
      <c r="K1612" s="7">
        <f t="shared" si="176"/>
        <v>200</v>
      </c>
      <c r="L1612" s="7">
        <f t="shared" si="177"/>
        <v>749</v>
      </c>
      <c r="M1612" s="7" t="str">
        <f t="shared" si="178"/>
        <v>Unlimited</v>
      </c>
      <c r="N1612" s="7" t="str">
        <f t="shared" si="179"/>
        <v>n.a.</v>
      </c>
      <c r="O1612" s="7">
        <f t="shared" si="180"/>
        <v>7349</v>
      </c>
      <c r="P1612" s="15" t="str">
        <f t="shared" si="181"/>
        <v>n.a.</v>
      </c>
      <c r="Q1612" s="7">
        <f>J1612*'Model inputs'!$B$8</f>
        <v>-54900</v>
      </c>
      <c r="R1612" s="1" t="s">
        <v>162</v>
      </c>
      <c r="S1612" s="1">
        <v>197</v>
      </c>
      <c r="T1612" s="1">
        <v>216</v>
      </c>
    </row>
    <row r="1613" spans="1:20" ht="21" customHeight="1">
      <c r="A1613" s="8">
        <v>46255</v>
      </c>
      <c r="B1613" s="1" t="s">
        <v>36</v>
      </c>
      <c r="C1613" s="1" t="s">
        <v>90</v>
      </c>
      <c r="D1613" s="7">
        <v>6800</v>
      </c>
      <c r="E1613" s="7">
        <v>6600</v>
      </c>
      <c r="F1613" s="7"/>
      <c r="G1613" s="7">
        <f>'Option source'!B734</f>
        <v>450.05</v>
      </c>
      <c r="H1613" s="7">
        <f>'Option source'!B715</f>
        <v>374.07</v>
      </c>
      <c r="I1613" s="7"/>
      <c r="J1613" s="7">
        <f t="shared" si="175"/>
        <v>-298.08999999999997</v>
      </c>
      <c r="K1613" s="7">
        <f t="shared" si="176"/>
        <v>200</v>
      </c>
      <c r="L1613" s="7">
        <f t="shared" si="177"/>
        <v>498.09</v>
      </c>
      <c r="M1613" s="7">
        <f t="shared" si="178"/>
        <v>6101.91</v>
      </c>
      <c r="N1613" s="7">
        <f t="shared" si="179"/>
        <v>6101.91</v>
      </c>
      <c r="O1613" s="7" t="str">
        <f t="shared" si="180"/>
        <v>n.a.</v>
      </c>
      <c r="P1613" s="15" t="str">
        <f t="shared" si="181"/>
        <v>n.a.</v>
      </c>
      <c r="Q1613" s="7">
        <f>J1613*'Model inputs'!$B$8</f>
        <v>-29808.999999999996</v>
      </c>
      <c r="R1613" s="1" t="s">
        <v>162</v>
      </c>
      <c r="S1613" s="1">
        <v>729</v>
      </c>
      <c r="T1613" s="1">
        <v>710</v>
      </c>
    </row>
    <row r="1614" spans="1:20" ht="21" customHeight="1">
      <c r="A1614" s="8">
        <v>46255</v>
      </c>
      <c r="B1614" s="1" t="s">
        <v>36</v>
      </c>
      <c r="C1614" s="1" t="s">
        <v>87</v>
      </c>
      <c r="D1614" s="7">
        <v>6600</v>
      </c>
      <c r="E1614" s="7">
        <v>6800</v>
      </c>
      <c r="F1614" s="7"/>
      <c r="G1614" s="7">
        <f>'Option source'!B221</f>
        <v>630</v>
      </c>
      <c r="H1614" s="7">
        <f>'Option source'!B240</f>
        <v>520</v>
      </c>
      <c r="I1614" s="7"/>
      <c r="J1614" s="7">
        <f t="shared" si="175"/>
        <v>-410</v>
      </c>
      <c r="K1614" s="7">
        <f t="shared" si="176"/>
        <v>200</v>
      </c>
      <c r="L1614" s="7">
        <f t="shared" si="177"/>
        <v>610</v>
      </c>
      <c r="M1614" s="7" t="str">
        <f t="shared" si="178"/>
        <v>Unlimited</v>
      </c>
      <c r="N1614" s="7" t="str">
        <f t="shared" si="179"/>
        <v>n.a.</v>
      </c>
      <c r="O1614" s="7">
        <f t="shared" si="180"/>
        <v>7410</v>
      </c>
      <c r="P1614" s="15" t="str">
        <f t="shared" si="181"/>
        <v>n.a.</v>
      </c>
      <c r="Q1614" s="7">
        <f>J1614*'Model inputs'!$B$8</f>
        <v>-41000</v>
      </c>
      <c r="R1614" s="1" t="s">
        <v>162</v>
      </c>
      <c r="S1614" s="1">
        <v>216</v>
      </c>
      <c r="T1614" s="1">
        <v>235</v>
      </c>
    </row>
    <row r="1615" spans="1:20" ht="21" customHeight="1">
      <c r="A1615" s="8">
        <v>46255</v>
      </c>
      <c r="B1615" s="1" t="s">
        <v>36</v>
      </c>
      <c r="C1615" s="1" t="s">
        <v>90</v>
      </c>
      <c r="D1615" s="7">
        <v>7000</v>
      </c>
      <c r="E1615" s="7">
        <v>6800</v>
      </c>
      <c r="F1615" s="7"/>
      <c r="G1615" s="7">
        <f>'Option source'!B753</f>
        <v>570</v>
      </c>
      <c r="H1615" s="7">
        <f>'Option source'!B734</f>
        <v>450.05</v>
      </c>
      <c r="I1615" s="7"/>
      <c r="J1615" s="7">
        <f t="shared" si="175"/>
        <v>-330.1</v>
      </c>
      <c r="K1615" s="7">
        <f t="shared" si="176"/>
        <v>200</v>
      </c>
      <c r="L1615" s="7">
        <f t="shared" si="177"/>
        <v>530.1</v>
      </c>
      <c r="M1615" s="7">
        <f t="shared" si="178"/>
        <v>6269.9</v>
      </c>
      <c r="N1615" s="7">
        <f t="shared" si="179"/>
        <v>6269.9</v>
      </c>
      <c r="O1615" s="7" t="str">
        <f t="shared" si="180"/>
        <v>n.a.</v>
      </c>
      <c r="P1615" s="15" t="str">
        <f t="shared" si="181"/>
        <v>n.a.</v>
      </c>
      <c r="Q1615" s="7">
        <f>J1615*'Model inputs'!$B$8</f>
        <v>-33010</v>
      </c>
      <c r="R1615" s="1" t="s">
        <v>162</v>
      </c>
      <c r="S1615" s="1">
        <v>748</v>
      </c>
      <c r="T1615" s="1">
        <v>729</v>
      </c>
    </row>
    <row r="1616" spans="1:20" ht="21" customHeight="1">
      <c r="A1616" s="8">
        <v>46255</v>
      </c>
      <c r="B1616" s="1" t="s">
        <v>36</v>
      </c>
      <c r="C1616" s="1" t="s">
        <v>87</v>
      </c>
      <c r="D1616" s="7">
        <v>6200</v>
      </c>
      <c r="E1616" s="7">
        <v>6400</v>
      </c>
      <c r="F1616" s="7"/>
      <c r="G1616" s="7">
        <f>'Option source'!B183</f>
        <v>845</v>
      </c>
      <c r="H1616" s="7">
        <f>'Option source'!B202</f>
        <v>711</v>
      </c>
      <c r="I1616" s="7"/>
      <c r="J1616" s="7">
        <f t="shared" si="175"/>
        <v>-577</v>
      </c>
      <c r="K1616" s="7">
        <f t="shared" si="176"/>
        <v>200</v>
      </c>
      <c r="L1616" s="7">
        <f t="shared" si="177"/>
        <v>777</v>
      </c>
      <c r="M1616" s="7" t="str">
        <f t="shared" si="178"/>
        <v>Unlimited</v>
      </c>
      <c r="N1616" s="7" t="str">
        <f t="shared" si="179"/>
        <v>n.a.</v>
      </c>
      <c r="O1616" s="7">
        <f t="shared" si="180"/>
        <v>7177</v>
      </c>
      <c r="P1616" s="15" t="str">
        <f t="shared" si="181"/>
        <v>n.a.</v>
      </c>
      <c r="Q1616" s="7">
        <f>J1616*'Model inputs'!$B$8</f>
        <v>-57700</v>
      </c>
      <c r="R1616" s="1" t="s">
        <v>162</v>
      </c>
      <c r="S1616" s="1">
        <v>178</v>
      </c>
      <c r="T1616" s="1">
        <v>197</v>
      </c>
    </row>
    <row r="1617" spans="1:20" ht="21" customHeight="1">
      <c r="A1617" s="8">
        <v>46255</v>
      </c>
      <c r="B1617" s="1" t="s">
        <v>36</v>
      </c>
      <c r="C1617" s="1" t="s">
        <v>90</v>
      </c>
      <c r="D1617" s="7">
        <v>6600</v>
      </c>
      <c r="E1617" s="7">
        <v>6400</v>
      </c>
      <c r="F1617" s="7"/>
      <c r="G1617" s="7">
        <f>'Option source'!B715</f>
        <v>374.07</v>
      </c>
      <c r="H1617" s="7">
        <f>'Option source'!B696</f>
        <v>290.5</v>
      </c>
      <c r="I1617" s="7"/>
      <c r="J1617" s="7">
        <f t="shared" si="175"/>
        <v>-206.93</v>
      </c>
      <c r="K1617" s="7">
        <f t="shared" si="176"/>
        <v>200</v>
      </c>
      <c r="L1617" s="7">
        <f t="shared" si="177"/>
        <v>406.93</v>
      </c>
      <c r="M1617" s="7">
        <f t="shared" si="178"/>
        <v>5993.07</v>
      </c>
      <c r="N1617" s="7">
        <f t="shared" si="179"/>
        <v>5993.07</v>
      </c>
      <c r="O1617" s="7" t="str">
        <f t="shared" si="180"/>
        <v>n.a.</v>
      </c>
      <c r="P1617" s="15" t="str">
        <f t="shared" si="181"/>
        <v>n.a.</v>
      </c>
      <c r="Q1617" s="7">
        <f>J1617*'Model inputs'!$B$8</f>
        <v>-20693</v>
      </c>
      <c r="R1617" s="1" t="s">
        <v>162</v>
      </c>
      <c r="S1617" s="1">
        <v>710</v>
      </c>
      <c r="T1617" s="1">
        <v>691</v>
      </c>
    </row>
    <row r="1618" spans="1:20" ht="21" customHeight="1">
      <c r="A1618" s="8">
        <v>46255</v>
      </c>
      <c r="B1618" s="1" t="s">
        <v>36</v>
      </c>
      <c r="C1618" s="1" t="s">
        <v>87</v>
      </c>
      <c r="D1618" s="7">
        <v>6800</v>
      </c>
      <c r="E1618" s="7">
        <v>7000</v>
      </c>
      <c r="F1618" s="7"/>
      <c r="G1618" s="7">
        <f>'Option source'!B240</f>
        <v>520</v>
      </c>
      <c r="H1618" s="7">
        <f>'Option source'!B259</f>
        <v>419.73</v>
      </c>
      <c r="I1618" s="7"/>
      <c r="J1618" s="7">
        <f t="shared" si="175"/>
        <v>-319.46000000000004</v>
      </c>
      <c r="K1618" s="7">
        <f t="shared" si="176"/>
        <v>200</v>
      </c>
      <c r="L1618" s="7">
        <f t="shared" si="177"/>
        <v>519.46</v>
      </c>
      <c r="M1618" s="7" t="str">
        <f t="shared" si="178"/>
        <v>Unlimited</v>
      </c>
      <c r="N1618" s="7" t="str">
        <f t="shared" si="179"/>
        <v>n.a.</v>
      </c>
      <c r="O1618" s="7">
        <f t="shared" si="180"/>
        <v>7519.46</v>
      </c>
      <c r="P1618" s="15" t="str">
        <f t="shared" si="181"/>
        <v>n.a.</v>
      </c>
      <c r="Q1618" s="7">
        <f>J1618*'Model inputs'!$B$8</f>
        <v>-31946.000000000004</v>
      </c>
      <c r="R1618" s="1" t="s">
        <v>162</v>
      </c>
      <c r="S1618" s="1">
        <v>235</v>
      </c>
      <c r="T1618" s="1">
        <v>254</v>
      </c>
    </row>
    <row r="1619" spans="1:20" ht="21" customHeight="1">
      <c r="A1619" s="8">
        <v>46255</v>
      </c>
      <c r="B1619" s="1" t="s">
        <v>36</v>
      </c>
      <c r="C1619" s="1" t="s">
        <v>90</v>
      </c>
      <c r="D1619" s="7">
        <v>7200</v>
      </c>
      <c r="E1619" s="7">
        <v>7000</v>
      </c>
      <c r="F1619" s="7"/>
      <c r="G1619" s="7">
        <f>'Option source'!B772</f>
        <v>731.63</v>
      </c>
      <c r="H1619" s="7">
        <f>'Option source'!B753</f>
        <v>570</v>
      </c>
      <c r="I1619" s="7"/>
      <c r="J1619" s="7">
        <f t="shared" si="175"/>
        <v>-408.37</v>
      </c>
      <c r="K1619" s="7">
        <f t="shared" si="176"/>
        <v>200</v>
      </c>
      <c r="L1619" s="7">
        <f t="shared" si="177"/>
        <v>608.37</v>
      </c>
      <c r="M1619" s="7">
        <f t="shared" si="178"/>
        <v>6391.63</v>
      </c>
      <c r="N1619" s="7">
        <f t="shared" si="179"/>
        <v>6391.63</v>
      </c>
      <c r="O1619" s="7" t="str">
        <f t="shared" si="180"/>
        <v>n.a.</v>
      </c>
      <c r="P1619" s="15" t="str">
        <f t="shared" si="181"/>
        <v>n.a.</v>
      </c>
      <c r="Q1619" s="7">
        <f>J1619*'Model inputs'!$B$8</f>
        <v>-40837</v>
      </c>
      <c r="R1619" s="1" t="s">
        <v>162</v>
      </c>
      <c r="S1619" s="1">
        <v>767</v>
      </c>
      <c r="T1619" s="1">
        <v>748</v>
      </c>
    </row>
    <row r="1620" spans="1:20" ht="21" customHeight="1">
      <c r="A1620" s="8">
        <v>46255</v>
      </c>
      <c r="B1620" s="1" t="s">
        <v>36</v>
      </c>
      <c r="C1620" s="1" t="s">
        <v>87</v>
      </c>
      <c r="D1620" s="7">
        <v>6000</v>
      </c>
      <c r="E1620" s="7">
        <v>6200</v>
      </c>
      <c r="F1620" s="7"/>
      <c r="G1620" s="7">
        <f>'Option source'!B164</f>
        <v>995</v>
      </c>
      <c r="H1620" s="7">
        <f>'Option source'!B183</f>
        <v>845</v>
      </c>
      <c r="I1620" s="7"/>
      <c r="J1620" s="7">
        <f t="shared" si="175"/>
        <v>-695</v>
      </c>
      <c r="K1620" s="7">
        <f t="shared" si="176"/>
        <v>200</v>
      </c>
      <c r="L1620" s="7">
        <f t="shared" si="177"/>
        <v>895</v>
      </c>
      <c r="M1620" s="7" t="str">
        <f t="shared" si="178"/>
        <v>Unlimited</v>
      </c>
      <c r="N1620" s="7" t="str">
        <f t="shared" si="179"/>
        <v>n.a.</v>
      </c>
      <c r="O1620" s="7">
        <f t="shared" si="180"/>
        <v>7095</v>
      </c>
      <c r="P1620" s="15" t="str">
        <f t="shared" si="181"/>
        <v>n.a.</v>
      </c>
      <c r="Q1620" s="7">
        <f>J1620*'Model inputs'!$B$8</f>
        <v>-69500</v>
      </c>
      <c r="R1620" s="1" t="s">
        <v>162</v>
      </c>
      <c r="S1620" s="1">
        <v>159</v>
      </c>
      <c r="T1620" s="1">
        <v>178</v>
      </c>
    </row>
    <row r="1621" spans="1:20" ht="21" customHeight="1">
      <c r="A1621" s="8">
        <v>46255</v>
      </c>
      <c r="B1621" s="1" t="s">
        <v>36</v>
      </c>
      <c r="C1621" s="1" t="s">
        <v>90</v>
      </c>
      <c r="D1621" s="7">
        <v>6400</v>
      </c>
      <c r="E1621" s="7">
        <v>6200</v>
      </c>
      <c r="F1621" s="7"/>
      <c r="G1621" s="7">
        <f>'Option source'!B696</f>
        <v>290.5</v>
      </c>
      <c r="H1621" s="7">
        <f>'Option source'!B677</f>
        <v>201.71</v>
      </c>
      <c r="I1621" s="7"/>
      <c r="J1621" s="7">
        <f t="shared" si="175"/>
        <v>-112.92000000000002</v>
      </c>
      <c r="K1621" s="7">
        <f t="shared" si="176"/>
        <v>200</v>
      </c>
      <c r="L1621" s="7">
        <f t="shared" si="177"/>
        <v>312.92</v>
      </c>
      <c r="M1621" s="7">
        <f t="shared" si="178"/>
        <v>5887.08</v>
      </c>
      <c r="N1621" s="7">
        <f t="shared" si="179"/>
        <v>5887.08</v>
      </c>
      <c r="O1621" s="7" t="str">
        <f t="shared" si="180"/>
        <v>n.a.</v>
      </c>
      <c r="P1621" s="15" t="str">
        <f t="shared" si="181"/>
        <v>n.a.</v>
      </c>
      <c r="Q1621" s="7">
        <f>J1621*'Model inputs'!$B$8</f>
        <v>-11292.000000000002</v>
      </c>
      <c r="R1621" s="1" t="s">
        <v>162</v>
      </c>
      <c r="S1621" s="1">
        <v>691</v>
      </c>
      <c r="T1621" s="1">
        <v>672</v>
      </c>
    </row>
    <row r="1622" spans="1:20" ht="21" customHeight="1">
      <c r="A1622" s="8">
        <v>46255</v>
      </c>
      <c r="B1622" s="1" t="s">
        <v>36</v>
      </c>
      <c r="C1622" s="1" t="s">
        <v>87</v>
      </c>
      <c r="D1622" s="7">
        <v>7000</v>
      </c>
      <c r="E1622" s="7">
        <v>7200</v>
      </c>
      <c r="F1622" s="7"/>
      <c r="G1622" s="7">
        <f>'Option source'!B259</f>
        <v>419.73</v>
      </c>
      <c r="H1622" s="7">
        <f>'Option source'!B278</f>
        <v>339.33</v>
      </c>
      <c r="I1622" s="7"/>
      <c r="J1622" s="7">
        <f t="shared" si="175"/>
        <v>-258.92999999999995</v>
      </c>
      <c r="K1622" s="7">
        <f t="shared" si="176"/>
        <v>200</v>
      </c>
      <c r="L1622" s="7">
        <f t="shared" si="177"/>
        <v>458.92999999999995</v>
      </c>
      <c r="M1622" s="7" t="str">
        <f t="shared" si="178"/>
        <v>Unlimited</v>
      </c>
      <c r="N1622" s="7" t="str">
        <f t="shared" si="179"/>
        <v>n.a.</v>
      </c>
      <c r="O1622" s="7">
        <f t="shared" si="180"/>
        <v>7658.93</v>
      </c>
      <c r="P1622" s="15" t="str">
        <f t="shared" si="181"/>
        <v>n.a.</v>
      </c>
      <c r="Q1622" s="7">
        <f>J1622*'Model inputs'!$B$8</f>
        <v>-25892.999999999996</v>
      </c>
      <c r="R1622" s="1" t="s">
        <v>162</v>
      </c>
      <c r="S1622" s="1">
        <v>254</v>
      </c>
      <c r="T1622" s="1">
        <v>273</v>
      </c>
    </row>
    <row r="1623" spans="1:20" ht="21" customHeight="1">
      <c r="A1623" s="8">
        <v>46255</v>
      </c>
      <c r="B1623" s="1" t="s">
        <v>36</v>
      </c>
      <c r="C1623" s="1" t="s">
        <v>90</v>
      </c>
      <c r="D1623" s="7">
        <v>6200</v>
      </c>
      <c r="E1623" s="7">
        <v>6000</v>
      </c>
      <c r="F1623" s="7"/>
      <c r="G1623" s="7">
        <f>'Option source'!B677</f>
        <v>201.71</v>
      </c>
      <c r="H1623" s="7">
        <f>'Option source'!B658</f>
        <v>145.03</v>
      </c>
      <c r="I1623" s="7"/>
      <c r="J1623" s="7">
        <f t="shared" si="175"/>
        <v>-88.35</v>
      </c>
      <c r="K1623" s="7">
        <f t="shared" si="176"/>
        <v>200</v>
      </c>
      <c r="L1623" s="7">
        <f t="shared" si="177"/>
        <v>288.35000000000002</v>
      </c>
      <c r="M1623" s="7">
        <f t="shared" si="178"/>
        <v>5711.65</v>
      </c>
      <c r="N1623" s="7">
        <f t="shared" si="179"/>
        <v>5711.65</v>
      </c>
      <c r="O1623" s="7" t="str">
        <f t="shared" si="180"/>
        <v>n.a.</v>
      </c>
      <c r="P1623" s="15" t="str">
        <f t="shared" si="181"/>
        <v>n.a.</v>
      </c>
      <c r="Q1623" s="7">
        <f>J1623*'Model inputs'!$B$8</f>
        <v>-8835</v>
      </c>
      <c r="R1623" s="1" t="s">
        <v>162</v>
      </c>
      <c r="S1623" s="1">
        <v>672</v>
      </c>
      <c r="T1623" s="1">
        <v>653</v>
      </c>
    </row>
    <row r="1624" spans="1:20" ht="21" customHeight="1">
      <c r="A1624" s="8">
        <v>46255</v>
      </c>
      <c r="B1624" s="1" t="s">
        <v>36</v>
      </c>
      <c r="C1624" s="1" t="s">
        <v>87</v>
      </c>
      <c r="D1624" s="7">
        <v>7200</v>
      </c>
      <c r="E1624" s="7">
        <v>7400</v>
      </c>
      <c r="F1624" s="7"/>
      <c r="G1624" s="7">
        <f>'Option source'!B278</f>
        <v>339.33</v>
      </c>
      <c r="H1624" s="7">
        <f>'Option source'!B297</f>
        <v>271.72000000000003</v>
      </c>
      <c r="I1624" s="7"/>
      <c r="J1624" s="7">
        <f t="shared" si="175"/>
        <v>-204.11000000000007</v>
      </c>
      <c r="K1624" s="7">
        <f t="shared" si="176"/>
        <v>200</v>
      </c>
      <c r="L1624" s="7">
        <f t="shared" si="177"/>
        <v>404.11000000000007</v>
      </c>
      <c r="M1624" s="7" t="str">
        <f t="shared" si="178"/>
        <v>Unlimited</v>
      </c>
      <c r="N1624" s="7" t="str">
        <f t="shared" si="179"/>
        <v>n.a.</v>
      </c>
      <c r="O1624" s="7">
        <f t="shared" si="180"/>
        <v>7804.11</v>
      </c>
      <c r="P1624" s="15" t="str">
        <f t="shared" si="181"/>
        <v>n.a.</v>
      </c>
      <c r="Q1624" s="7">
        <f>J1624*'Model inputs'!$B$8</f>
        <v>-20411.000000000007</v>
      </c>
      <c r="R1624" s="1" t="s">
        <v>162</v>
      </c>
      <c r="S1624" s="1">
        <v>273</v>
      </c>
      <c r="T1624" s="1">
        <v>292</v>
      </c>
    </row>
    <row r="1625" spans="1:20" ht="21" customHeight="1">
      <c r="A1625" s="8">
        <v>46255</v>
      </c>
      <c r="B1625" s="1" t="s">
        <v>36</v>
      </c>
      <c r="C1625" s="1" t="s">
        <v>90</v>
      </c>
      <c r="D1625" s="7">
        <v>6000</v>
      </c>
      <c r="E1625" s="7">
        <v>5800</v>
      </c>
      <c r="F1625" s="7"/>
      <c r="G1625" s="7">
        <f>'Option source'!B658</f>
        <v>145.03</v>
      </c>
      <c r="H1625" s="7">
        <f>'Option source'!B639</f>
        <v>96.17</v>
      </c>
      <c r="I1625" s="7"/>
      <c r="J1625" s="7">
        <f t="shared" si="175"/>
        <v>-47.31</v>
      </c>
      <c r="K1625" s="7">
        <f t="shared" si="176"/>
        <v>200</v>
      </c>
      <c r="L1625" s="7">
        <f t="shared" si="177"/>
        <v>247.31</v>
      </c>
      <c r="M1625" s="7">
        <f t="shared" si="178"/>
        <v>5552.69</v>
      </c>
      <c r="N1625" s="7">
        <f t="shared" si="179"/>
        <v>5552.69</v>
      </c>
      <c r="O1625" s="7" t="str">
        <f t="shared" si="180"/>
        <v>n.a.</v>
      </c>
      <c r="P1625" s="15" t="str">
        <f t="shared" si="181"/>
        <v>n.a.</v>
      </c>
      <c r="Q1625" s="7">
        <f>J1625*'Model inputs'!$B$8</f>
        <v>-4731</v>
      </c>
      <c r="R1625" s="1" t="s">
        <v>162</v>
      </c>
      <c r="S1625" s="1">
        <v>653</v>
      </c>
      <c r="T1625" s="1">
        <v>634</v>
      </c>
    </row>
    <row r="1626" spans="1:20" ht="21" customHeight="1">
      <c r="A1626" s="8">
        <v>46255</v>
      </c>
      <c r="B1626" s="1" t="s">
        <v>36</v>
      </c>
      <c r="C1626" s="1" t="s">
        <v>87</v>
      </c>
      <c r="D1626" s="7">
        <v>7400</v>
      </c>
      <c r="E1626" s="7">
        <v>7600</v>
      </c>
      <c r="F1626" s="7"/>
      <c r="G1626" s="7">
        <f>'Option source'!B297</f>
        <v>271.72000000000003</v>
      </c>
      <c r="H1626" s="7">
        <f>'Option source'!B316</f>
        <v>215.5</v>
      </c>
      <c r="I1626" s="7"/>
      <c r="J1626" s="7">
        <f t="shared" si="175"/>
        <v>-159.27999999999997</v>
      </c>
      <c r="K1626" s="7">
        <f t="shared" si="176"/>
        <v>200</v>
      </c>
      <c r="L1626" s="7">
        <f t="shared" si="177"/>
        <v>359.28</v>
      </c>
      <c r="M1626" s="7" t="str">
        <f t="shared" si="178"/>
        <v>Unlimited</v>
      </c>
      <c r="N1626" s="7" t="str">
        <f t="shared" si="179"/>
        <v>n.a.</v>
      </c>
      <c r="O1626" s="7">
        <f t="shared" si="180"/>
        <v>7959.28</v>
      </c>
      <c r="P1626" s="15" t="str">
        <f t="shared" si="181"/>
        <v>n.a.</v>
      </c>
      <c r="Q1626" s="7">
        <f>J1626*'Model inputs'!$B$8</f>
        <v>-15927.999999999996</v>
      </c>
      <c r="R1626" s="1" t="s">
        <v>162</v>
      </c>
      <c r="S1626" s="1">
        <v>292</v>
      </c>
      <c r="T1626" s="1">
        <v>311</v>
      </c>
    </row>
    <row r="1627" spans="1:20" ht="21" customHeight="1">
      <c r="A1627" s="8">
        <v>46255</v>
      </c>
      <c r="B1627" s="1" t="s">
        <v>36</v>
      </c>
      <c r="C1627" s="1" t="s">
        <v>90</v>
      </c>
      <c r="D1627" s="7">
        <v>5800</v>
      </c>
      <c r="E1627" s="7">
        <v>5600</v>
      </c>
      <c r="F1627" s="7"/>
      <c r="G1627" s="7">
        <f>'Option source'!B639</f>
        <v>96.17</v>
      </c>
      <c r="H1627" s="7">
        <f>'Option source'!B620</f>
        <v>62.84</v>
      </c>
      <c r="I1627" s="7"/>
      <c r="J1627" s="7">
        <f t="shared" si="175"/>
        <v>-29.510000000000005</v>
      </c>
      <c r="K1627" s="7">
        <f t="shared" si="176"/>
        <v>200</v>
      </c>
      <c r="L1627" s="7">
        <f t="shared" si="177"/>
        <v>229.51</v>
      </c>
      <c r="M1627" s="7">
        <f t="shared" si="178"/>
        <v>5370.49</v>
      </c>
      <c r="N1627" s="7">
        <f t="shared" si="179"/>
        <v>5370.49</v>
      </c>
      <c r="O1627" s="7" t="str">
        <f t="shared" si="180"/>
        <v>n.a.</v>
      </c>
      <c r="P1627" s="15" t="str">
        <f t="shared" si="181"/>
        <v>n.a.</v>
      </c>
      <c r="Q1627" s="7">
        <f>J1627*'Model inputs'!$B$8</f>
        <v>-2951.0000000000005</v>
      </c>
      <c r="R1627" s="1" t="s">
        <v>162</v>
      </c>
      <c r="S1627" s="1">
        <v>634</v>
      </c>
      <c r="T1627" s="1">
        <v>615</v>
      </c>
    </row>
    <row r="1628" spans="1:20" ht="21" customHeight="1">
      <c r="A1628" s="8">
        <v>46255</v>
      </c>
      <c r="B1628" s="1" t="s">
        <v>36</v>
      </c>
      <c r="C1628" s="1" t="s">
        <v>87</v>
      </c>
      <c r="D1628" s="7">
        <v>7600</v>
      </c>
      <c r="E1628" s="7">
        <v>7800</v>
      </c>
      <c r="F1628" s="7"/>
      <c r="G1628" s="7">
        <f>'Option source'!B316</f>
        <v>215.5</v>
      </c>
      <c r="H1628" s="7">
        <f>'Option source'!B335</f>
        <v>175.19</v>
      </c>
      <c r="I1628" s="7"/>
      <c r="J1628" s="7">
        <f t="shared" si="175"/>
        <v>-134.88</v>
      </c>
      <c r="K1628" s="7">
        <f t="shared" si="176"/>
        <v>200</v>
      </c>
      <c r="L1628" s="7">
        <f t="shared" si="177"/>
        <v>334.88</v>
      </c>
      <c r="M1628" s="7" t="str">
        <f t="shared" si="178"/>
        <v>Unlimited</v>
      </c>
      <c r="N1628" s="7" t="str">
        <f t="shared" si="179"/>
        <v>n.a.</v>
      </c>
      <c r="O1628" s="7">
        <f t="shared" si="180"/>
        <v>8134.88</v>
      </c>
      <c r="P1628" s="15" t="str">
        <f t="shared" si="181"/>
        <v>n.a.</v>
      </c>
      <c r="Q1628" s="7">
        <f>J1628*'Model inputs'!$B$8</f>
        <v>-13488</v>
      </c>
      <c r="R1628" s="1" t="s">
        <v>162</v>
      </c>
      <c r="S1628" s="1">
        <v>311</v>
      </c>
      <c r="T1628" s="1">
        <v>330</v>
      </c>
    </row>
    <row r="1629" spans="1:20" ht="21" customHeight="1">
      <c r="A1629" s="8">
        <v>46255</v>
      </c>
      <c r="B1629" s="1" t="s">
        <v>36</v>
      </c>
      <c r="C1629" s="1" t="s">
        <v>90</v>
      </c>
      <c r="D1629" s="7">
        <v>5600</v>
      </c>
      <c r="E1629" s="7">
        <v>5400</v>
      </c>
      <c r="F1629" s="7"/>
      <c r="G1629" s="7">
        <f>'Option source'!B620</f>
        <v>62.84</v>
      </c>
      <c r="H1629" s="7">
        <f>'Option source'!B601</f>
        <v>39.81</v>
      </c>
      <c r="I1629" s="7"/>
      <c r="J1629" s="7">
        <f t="shared" si="175"/>
        <v>-16.78</v>
      </c>
      <c r="K1629" s="7">
        <f t="shared" si="176"/>
        <v>200</v>
      </c>
      <c r="L1629" s="7">
        <f t="shared" si="177"/>
        <v>216.78</v>
      </c>
      <c r="M1629" s="7">
        <f t="shared" si="178"/>
        <v>5183.22</v>
      </c>
      <c r="N1629" s="7">
        <f t="shared" si="179"/>
        <v>5183.22</v>
      </c>
      <c r="O1629" s="7" t="str">
        <f t="shared" si="180"/>
        <v>n.a.</v>
      </c>
      <c r="P1629" s="15" t="str">
        <f t="shared" si="181"/>
        <v>n.a.</v>
      </c>
      <c r="Q1629" s="7">
        <f>J1629*'Model inputs'!$B$8</f>
        <v>-1678</v>
      </c>
      <c r="R1629" s="1" t="s">
        <v>162</v>
      </c>
      <c r="S1629" s="1">
        <v>615</v>
      </c>
      <c r="T1629" s="1">
        <v>596</v>
      </c>
    </row>
    <row r="1630" spans="1:20" ht="21" customHeight="1">
      <c r="A1630" s="8">
        <v>46255</v>
      </c>
      <c r="B1630" s="1" t="s">
        <v>36</v>
      </c>
      <c r="C1630" s="1" t="s">
        <v>87</v>
      </c>
      <c r="D1630" s="7">
        <v>7800</v>
      </c>
      <c r="E1630" s="7">
        <v>8000</v>
      </c>
      <c r="F1630" s="7"/>
      <c r="G1630" s="7">
        <f>'Option source'!B335</f>
        <v>175.19</v>
      </c>
      <c r="H1630" s="7">
        <f>'Option source'!B354</f>
        <v>145.19</v>
      </c>
      <c r="I1630" s="7"/>
      <c r="J1630" s="7">
        <f t="shared" si="175"/>
        <v>-115.19</v>
      </c>
      <c r="K1630" s="7">
        <f t="shared" si="176"/>
        <v>200</v>
      </c>
      <c r="L1630" s="7">
        <f t="shared" si="177"/>
        <v>315.19</v>
      </c>
      <c r="M1630" s="7" t="str">
        <f t="shared" si="178"/>
        <v>Unlimited</v>
      </c>
      <c r="N1630" s="7" t="str">
        <f t="shared" si="179"/>
        <v>n.a.</v>
      </c>
      <c r="O1630" s="7">
        <f t="shared" si="180"/>
        <v>8315.19</v>
      </c>
      <c r="P1630" s="15" t="str">
        <f t="shared" si="181"/>
        <v>n.a.</v>
      </c>
      <c r="Q1630" s="7">
        <f>J1630*'Model inputs'!$B$8</f>
        <v>-11519</v>
      </c>
      <c r="R1630" s="1" t="s">
        <v>162</v>
      </c>
      <c r="S1630" s="1">
        <v>330</v>
      </c>
      <c r="T1630" s="1">
        <v>349</v>
      </c>
    </row>
    <row r="1631" spans="1:20" ht="21" customHeight="1">
      <c r="A1631" s="8">
        <v>46255</v>
      </c>
      <c r="B1631" s="1" t="s">
        <v>36</v>
      </c>
      <c r="C1631" s="1" t="s">
        <v>90</v>
      </c>
      <c r="D1631" s="7">
        <v>5400</v>
      </c>
      <c r="E1631" s="7">
        <v>5200</v>
      </c>
      <c r="F1631" s="7"/>
      <c r="G1631" s="7">
        <f>'Option source'!B601</f>
        <v>39.81</v>
      </c>
      <c r="H1631" s="7">
        <f>'Option source'!B582</f>
        <v>27.41</v>
      </c>
      <c r="I1631" s="7"/>
      <c r="J1631" s="7">
        <f t="shared" si="175"/>
        <v>-15.009999999999998</v>
      </c>
      <c r="K1631" s="7">
        <f t="shared" si="176"/>
        <v>200</v>
      </c>
      <c r="L1631" s="7">
        <f t="shared" si="177"/>
        <v>215.01</v>
      </c>
      <c r="M1631" s="7">
        <f t="shared" si="178"/>
        <v>4984.99</v>
      </c>
      <c r="N1631" s="7">
        <f t="shared" si="179"/>
        <v>4984.99</v>
      </c>
      <c r="O1631" s="7" t="str">
        <f t="shared" si="180"/>
        <v>n.a.</v>
      </c>
      <c r="P1631" s="15" t="str">
        <f t="shared" si="181"/>
        <v>n.a.</v>
      </c>
      <c r="Q1631" s="7">
        <f>J1631*'Model inputs'!$B$8</f>
        <v>-1500.9999999999998</v>
      </c>
      <c r="R1631" s="1" t="s">
        <v>162</v>
      </c>
      <c r="S1631" s="1">
        <v>596</v>
      </c>
      <c r="T1631" s="1">
        <v>577</v>
      </c>
    </row>
    <row r="1632" spans="1:20" ht="21" customHeight="1">
      <c r="A1632" s="8">
        <v>46255</v>
      </c>
      <c r="B1632" s="1" t="s">
        <v>36</v>
      </c>
      <c r="C1632" s="1" t="s">
        <v>90</v>
      </c>
      <c r="D1632" s="7">
        <v>5200</v>
      </c>
      <c r="E1632" s="7">
        <v>5000</v>
      </c>
      <c r="F1632" s="7"/>
      <c r="G1632" s="7">
        <f>'Option source'!B582</f>
        <v>27.41</v>
      </c>
      <c r="H1632" s="7">
        <f>'Option source'!B563</f>
        <v>17.89</v>
      </c>
      <c r="I1632" s="7"/>
      <c r="J1632" s="7">
        <f t="shared" si="175"/>
        <v>-8.370000000000001</v>
      </c>
      <c r="K1632" s="7">
        <f t="shared" si="176"/>
        <v>200</v>
      </c>
      <c r="L1632" s="7">
        <f t="shared" si="177"/>
        <v>208.37</v>
      </c>
      <c r="M1632" s="7">
        <f t="shared" si="178"/>
        <v>4791.63</v>
      </c>
      <c r="N1632" s="7">
        <f t="shared" si="179"/>
        <v>4791.63</v>
      </c>
      <c r="O1632" s="7" t="str">
        <f t="shared" si="180"/>
        <v>n.a.</v>
      </c>
      <c r="P1632" s="15" t="str">
        <f t="shared" si="181"/>
        <v>n.a.</v>
      </c>
      <c r="Q1632" s="7">
        <f>J1632*'Model inputs'!$B$8</f>
        <v>-837.00000000000011</v>
      </c>
      <c r="R1632" s="1" t="s">
        <v>162</v>
      </c>
      <c r="S1632" s="1">
        <v>577</v>
      </c>
      <c r="T1632" s="1">
        <v>558</v>
      </c>
    </row>
    <row r="1633" spans="1:20" ht="21" customHeight="1">
      <c r="A1633" s="8">
        <v>46255</v>
      </c>
      <c r="B1633" s="1" t="s">
        <v>36</v>
      </c>
      <c r="C1633" s="1" t="s">
        <v>87</v>
      </c>
      <c r="D1633" s="7">
        <v>8000</v>
      </c>
      <c r="E1633" s="7">
        <v>8300</v>
      </c>
      <c r="F1633" s="7"/>
      <c r="G1633" s="7">
        <f>'Option source'!B354</f>
        <v>145.19</v>
      </c>
      <c r="H1633" s="7">
        <f>'Option source'!B373</f>
        <v>100.86</v>
      </c>
      <c r="I1633" s="7"/>
      <c r="J1633" s="7">
        <f t="shared" si="175"/>
        <v>-56.53</v>
      </c>
      <c r="K1633" s="7">
        <f t="shared" si="176"/>
        <v>300</v>
      </c>
      <c r="L1633" s="7">
        <f t="shared" si="177"/>
        <v>356.53</v>
      </c>
      <c r="M1633" s="7" t="str">
        <f t="shared" si="178"/>
        <v>Unlimited</v>
      </c>
      <c r="N1633" s="7" t="str">
        <f t="shared" si="179"/>
        <v>n.a.</v>
      </c>
      <c r="O1633" s="7">
        <f t="shared" si="180"/>
        <v>8656.5300000000007</v>
      </c>
      <c r="P1633" s="15" t="str">
        <f t="shared" si="181"/>
        <v>n.a.</v>
      </c>
      <c r="Q1633" s="7">
        <f>J1633*'Model inputs'!$B$8</f>
        <v>-5653</v>
      </c>
      <c r="R1633" s="1" t="s">
        <v>162</v>
      </c>
      <c r="S1633" s="1">
        <v>349</v>
      </c>
      <c r="T1633" s="1">
        <v>368</v>
      </c>
    </row>
    <row r="1634" spans="1:20" ht="21" customHeight="1">
      <c r="A1634" s="8">
        <v>46255</v>
      </c>
      <c r="B1634" s="1" t="s">
        <v>36</v>
      </c>
      <c r="C1634" s="1" t="s">
        <v>90</v>
      </c>
      <c r="D1634" s="7">
        <v>5000</v>
      </c>
      <c r="E1634" s="7">
        <v>4800</v>
      </c>
      <c r="F1634" s="7"/>
      <c r="G1634" s="7">
        <f>'Option source'!B563</f>
        <v>17.89</v>
      </c>
      <c r="H1634" s="7">
        <f>'Option source'!B544</f>
        <v>7.23</v>
      </c>
      <c r="I1634" s="7"/>
      <c r="J1634" s="7">
        <f t="shared" si="175"/>
        <v>3.4299999999999997</v>
      </c>
      <c r="K1634" s="7">
        <f t="shared" si="176"/>
        <v>200</v>
      </c>
      <c r="L1634" s="7">
        <f t="shared" si="177"/>
        <v>196.57</v>
      </c>
      <c r="M1634" s="7">
        <f t="shared" si="178"/>
        <v>4603.43</v>
      </c>
      <c r="N1634" s="7">
        <f t="shared" si="179"/>
        <v>4603.43</v>
      </c>
      <c r="O1634" s="7">
        <f t="shared" si="180"/>
        <v>4996.57</v>
      </c>
      <c r="P1634" s="15" t="str">
        <f t="shared" si="181"/>
        <v>n.a.</v>
      </c>
      <c r="Q1634" s="7">
        <f>J1634*'Model inputs'!$B$8</f>
        <v>343</v>
      </c>
      <c r="R1634" s="1" t="s">
        <v>162</v>
      </c>
      <c r="S1634" s="1">
        <v>558</v>
      </c>
      <c r="T1634" s="1">
        <v>539</v>
      </c>
    </row>
    <row r="1635" spans="1:20" ht="21" customHeight="1">
      <c r="A1635" s="8">
        <v>46255</v>
      </c>
      <c r="B1635" s="1" t="s">
        <v>36</v>
      </c>
      <c r="C1635" s="1" t="s">
        <v>87</v>
      </c>
      <c r="D1635" s="7">
        <v>8300</v>
      </c>
      <c r="E1635" s="7">
        <v>8600</v>
      </c>
      <c r="F1635" s="7"/>
      <c r="G1635" s="7">
        <f>'Option source'!B373</f>
        <v>100.86</v>
      </c>
      <c r="H1635" s="7">
        <f>'Option source'!B392</f>
        <v>72.05</v>
      </c>
      <c r="I1635" s="7"/>
      <c r="J1635" s="7">
        <f t="shared" si="175"/>
        <v>-43.239999999999995</v>
      </c>
      <c r="K1635" s="7">
        <f t="shared" si="176"/>
        <v>300</v>
      </c>
      <c r="L1635" s="7">
        <f t="shared" si="177"/>
        <v>343.24</v>
      </c>
      <c r="M1635" s="7" t="str">
        <f t="shared" si="178"/>
        <v>Unlimited</v>
      </c>
      <c r="N1635" s="7" t="str">
        <f t="shared" si="179"/>
        <v>n.a.</v>
      </c>
      <c r="O1635" s="7">
        <f t="shared" si="180"/>
        <v>8943.24</v>
      </c>
      <c r="P1635" s="15" t="str">
        <f t="shared" si="181"/>
        <v>n.a.</v>
      </c>
      <c r="Q1635" s="7">
        <f>J1635*'Model inputs'!$B$8</f>
        <v>-4323.9999999999991</v>
      </c>
      <c r="R1635" s="1" t="s">
        <v>162</v>
      </c>
      <c r="S1635" s="1">
        <v>368</v>
      </c>
      <c r="T1635" s="1">
        <v>387</v>
      </c>
    </row>
    <row r="1636" spans="1:20" ht="21" customHeight="1">
      <c r="A1636" s="8">
        <v>46255</v>
      </c>
      <c r="B1636" s="1" t="s">
        <v>36</v>
      </c>
      <c r="C1636" s="1" t="s">
        <v>87</v>
      </c>
      <c r="D1636" s="7">
        <v>8600</v>
      </c>
      <c r="E1636" s="7">
        <v>8900</v>
      </c>
      <c r="F1636" s="7"/>
      <c r="G1636" s="7">
        <f>'Option source'!B392</f>
        <v>72.05</v>
      </c>
      <c r="H1636" s="7">
        <f>'Option source'!B411</f>
        <v>49.98</v>
      </c>
      <c r="I1636" s="7"/>
      <c r="J1636" s="7">
        <f t="shared" si="175"/>
        <v>-27.909999999999997</v>
      </c>
      <c r="K1636" s="7">
        <f t="shared" si="176"/>
        <v>300</v>
      </c>
      <c r="L1636" s="7">
        <f t="shared" si="177"/>
        <v>327.90999999999997</v>
      </c>
      <c r="M1636" s="7" t="str">
        <f t="shared" si="178"/>
        <v>Unlimited</v>
      </c>
      <c r="N1636" s="7" t="str">
        <f t="shared" si="179"/>
        <v>n.a.</v>
      </c>
      <c r="O1636" s="7">
        <f t="shared" si="180"/>
        <v>9227.91</v>
      </c>
      <c r="P1636" s="15" t="str">
        <f t="shared" si="181"/>
        <v>n.a.</v>
      </c>
      <c r="Q1636" s="7">
        <f>J1636*'Model inputs'!$B$8</f>
        <v>-2790.9999999999995</v>
      </c>
      <c r="R1636" s="1" t="s">
        <v>162</v>
      </c>
      <c r="S1636" s="1">
        <v>387</v>
      </c>
      <c r="T1636" s="1">
        <v>406</v>
      </c>
    </row>
    <row r="1637" spans="1:20" ht="21" customHeight="1">
      <c r="A1637" s="8">
        <v>46255</v>
      </c>
      <c r="B1637" s="1" t="s">
        <v>36</v>
      </c>
      <c r="C1637" s="1" t="s">
        <v>87</v>
      </c>
      <c r="D1637" s="7">
        <v>8900</v>
      </c>
      <c r="E1637" s="7">
        <v>9200</v>
      </c>
      <c r="F1637" s="7"/>
      <c r="G1637" s="7">
        <f>'Option source'!B411</f>
        <v>49.98</v>
      </c>
      <c r="H1637" s="7">
        <f>'Option source'!B430</f>
        <v>33.56</v>
      </c>
      <c r="I1637" s="7"/>
      <c r="J1637" s="7">
        <f t="shared" si="175"/>
        <v>-17.140000000000008</v>
      </c>
      <c r="K1637" s="7">
        <f t="shared" si="176"/>
        <v>300</v>
      </c>
      <c r="L1637" s="7">
        <f t="shared" si="177"/>
        <v>317.14</v>
      </c>
      <c r="M1637" s="7" t="str">
        <f t="shared" si="178"/>
        <v>Unlimited</v>
      </c>
      <c r="N1637" s="7" t="str">
        <f t="shared" si="179"/>
        <v>n.a.</v>
      </c>
      <c r="O1637" s="7">
        <f t="shared" si="180"/>
        <v>9517.14</v>
      </c>
      <c r="P1637" s="15" t="str">
        <f t="shared" si="181"/>
        <v>n.a.</v>
      </c>
      <c r="Q1637" s="7">
        <f>J1637*'Model inputs'!$B$8</f>
        <v>-1714.0000000000007</v>
      </c>
      <c r="R1637" s="1" t="s">
        <v>162</v>
      </c>
      <c r="S1637" s="1">
        <v>406</v>
      </c>
      <c r="T1637" s="1">
        <v>425</v>
      </c>
    </row>
    <row r="1638" spans="1:20" ht="21" customHeight="1">
      <c r="A1638" s="8">
        <v>46255</v>
      </c>
      <c r="B1638" s="1" t="s">
        <v>36</v>
      </c>
      <c r="C1638" s="1" t="s">
        <v>87</v>
      </c>
      <c r="D1638" s="7">
        <v>9200</v>
      </c>
      <c r="E1638" s="7">
        <v>9500</v>
      </c>
      <c r="F1638" s="7"/>
      <c r="G1638" s="7">
        <f>'Option source'!B430</f>
        <v>33.56</v>
      </c>
      <c r="H1638" s="7">
        <f>'Option source'!B449</f>
        <v>25.5</v>
      </c>
      <c r="I1638" s="7"/>
      <c r="J1638" s="7">
        <f t="shared" si="175"/>
        <v>-17.439999999999998</v>
      </c>
      <c r="K1638" s="7">
        <f t="shared" si="176"/>
        <v>300</v>
      </c>
      <c r="L1638" s="7">
        <f t="shared" si="177"/>
        <v>317.44</v>
      </c>
      <c r="M1638" s="7" t="str">
        <f t="shared" si="178"/>
        <v>Unlimited</v>
      </c>
      <c r="N1638" s="7" t="str">
        <f t="shared" si="179"/>
        <v>n.a.</v>
      </c>
      <c r="O1638" s="7">
        <f t="shared" si="180"/>
        <v>9817.44</v>
      </c>
      <c r="P1638" s="15" t="str">
        <f t="shared" si="181"/>
        <v>n.a.</v>
      </c>
      <c r="Q1638" s="7">
        <f>J1638*'Model inputs'!$B$8</f>
        <v>-1743.9999999999998</v>
      </c>
      <c r="R1638" s="1" t="s">
        <v>162</v>
      </c>
      <c r="S1638" s="1">
        <v>425</v>
      </c>
      <c r="T1638" s="1">
        <v>444</v>
      </c>
    </row>
    <row r="1639" spans="1:20" ht="21" customHeight="1">
      <c r="A1639" s="8">
        <v>46255</v>
      </c>
      <c r="B1639" s="1" t="s">
        <v>36</v>
      </c>
      <c r="C1639" s="1" t="s">
        <v>87</v>
      </c>
      <c r="D1639" s="7">
        <v>9500</v>
      </c>
      <c r="E1639" s="7">
        <v>9900</v>
      </c>
      <c r="F1639" s="7"/>
      <c r="G1639" s="7">
        <f>'Option source'!B449</f>
        <v>25.5</v>
      </c>
      <c r="H1639" s="7">
        <f>'Option source'!B468</f>
        <v>16</v>
      </c>
      <c r="I1639" s="7"/>
      <c r="J1639" s="7">
        <f t="shared" si="175"/>
        <v>-6.5</v>
      </c>
      <c r="K1639" s="7">
        <f t="shared" si="176"/>
        <v>400</v>
      </c>
      <c r="L1639" s="7">
        <f t="shared" si="177"/>
        <v>406.5</v>
      </c>
      <c r="M1639" s="7" t="str">
        <f t="shared" si="178"/>
        <v>Unlimited</v>
      </c>
      <c r="N1639" s="7" t="str">
        <f t="shared" si="179"/>
        <v>n.a.</v>
      </c>
      <c r="O1639" s="7">
        <f t="shared" si="180"/>
        <v>10306.5</v>
      </c>
      <c r="P1639" s="15" t="str">
        <f t="shared" si="181"/>
        <v>n.a.</v>
      </c>
      <c r="Q1639" s="7">
        <f>J1639*'Model inputs'!$B$8</f>
        <v>-650</v>
      </c>
      <c r="R1639" s="1" t="s">
        <v>162</v>
      </c>
      <c r="S1639" s="1">
        <v>444</v>
      </c>
      <c r="T1639" s="1">
        <v>463</v>
      </c>
    </row>
    <row r="1640" spans="1:20" ht="21" customHeight="1">
      <c r="A1640" s="8">
        <v>46255</v>
      </c>
      <c r="B1640" s="1" t="s">
        <v>36</v>
      </c>
      <c r="C1640" s="1" t="s">
        <v>90</v>
      </c>
      <c r="D1640" s="7">
        <v>7400</v>
      </c>
      <c r="E1640" s="7">
        <v>7200</v>
      </c>
      <c r="F1640" s="7"/>
      <c r="G1640" s="7">
        <f>'Option source'!B791</f>
        <v>780</v>
      </c>
      <c r="H1640" s="7">
        <f>'Option source'!B772</f>
        <v>731.63</v>
      </c>
      <c r="I1640" s="7"/>
      <c r="J1640" s="7">
        <f t="shared" si="175"/>
        <v>-683.26</v>
      </c>
      <c r="K1640" s="7">
        <f t="shared" si="176"/>
        <v>200</v>
      </c>
      <c r="L1640" s="7">
        <f t="shared" si="177"/>
        <v>883.26</v>
      </c>
      <c r="M1640" s="7">
        <f t="shared" si="178"/>
        <v>6316.74</v>
      </c>
      <c r="N1640" s="7">
        <f t="shared" si="179"/>
        <v>6316.74</v>
      </c>
      <c r="O1640" s="7" t="str">
        <f t="shared" si="180"/>
        <v>n.a.</v>
      </c>
      <c r="P1640" s="15" t="str">
        <f t="shared" si="181"/>
        <v>n.a.</v>
      </c>
      <c r="Q1640" s="7">
        <f>J1640*'Model inputs'!$B$8</f>
        <v>-68326</v>
      </c>
      <c r="R1640" s="1" t="s">
        <v>164</v>
      </c>
      <c r="S1640" s="1">
        <v>786</v>
      </c>
      <c r="T1640" s="1">
        <v>767</v>
      </c>
    </row>
    <row r="1641" spans="1:20" ht="21" customHeight="1">
      <c r="A1641" s="8">
        <v>46255</v>
      </c>
      <c r="B1641" s="1" t="s">
        <v>36</v>
      </c>
      <c r="C1641" s="1" t="s">
        <v>87</v>
      </c>
      <c r="D1641" s="7">
        <v>5400</v>
      </c>
      <c r="E1641" s="7">
        <v>6000</v>
      </c>
      <c r="F1641" s="7"/>
      <c r="G1641" s="7">
        <f>'Option source'!B117</f>
        <v>1534</v>
      </c>
      <c r="H1641" s="7">
        <f>'Option source'!B164</f>
        <v>995</v>
      </c>
      <c r="I1641" s="7"/>
      <c r="J1641" s="7">
        <f t="shared" si="175"/>
        <v>-456</v>
      </c>
      <c r="K1641" s="7">
        <f t="shared" si="176"/>
        <v>600</v>
      </c>
      <c r="L1641" s="7">
        <f t="shared" si="177"/>
        <v>1056</v>
      </c>
      <c r="M1641" s="7" t="str">
        <f t="shared" si="178"/>
        <v>Unlimited</v>
      </c>
      <c r="N1641" s="7" t="str">
        <f t="shared" si="179"/>
        <v>n.a.</v>
      </c>
      <c r="O1641" s="7">
        <f t="shared" si="180"/>
        <v>7056</v>
      </c>
      <c r="P1641" s="15" t="str">
        <f t="shared" si="181"/>
        <v>n.a.</v>
      </c>
      <c r="Q1641" s="7">
        <f>J1641*'Model inputs'!$B$8</f>
        <v>-45600</v>
      </c>
      <c r="R1641" s="1" t="s">
        <v>164</v>
      </c>
      <c r="S1641" s="1">
        <v>112</v>
      </c>
      <c r="T1641" s="1">
        <v>159</v>
      </c>
    </row>
    <row r="1642" spans="1:20" ht="21" customHeight="1">
      <c r="A1642" s="8">
        <v>46255</v>
      </c>
      <c r="B1642" s="1" t="s">
        <v>36</v>
      </c>
      <c r="C1642" s="1" t="s">
        <v>90</v>
      </c>
      <c r="D1642" s="7">
        <v>7600</v>
      </c>
      <c r="E1642" s="7">
        <v>7400</v>
      </c>
      <c r="F1642" s="7"/>
      <c r="G1642" s="7">
        <f>'Option source'!B810</f>
        <v>987.5</v>
      </c>
      <c r="H1642" s="7">
        <f>'Option source'!B791</f>
        <v>780</v>
      </c>
      <c r="I1642" s="7"/>
      <c r="J1642" s="7">
        <f t="shared" si="175"/>
        <v>-572.5</v>
      </c>
      <c r="K1642" s="7">
        <f t="shared" si="176"/>
        <v>200</v>
      </c>
      <c r="L1642" s="7">
        <f t="shared" si="177"/>
        <v>772.5</v>
      </c>
      <c r="M1642" s="7">
        <f t="shared" si="178"/>
        <v>6627.5</v>
      </c>
      <c r="N1642" s="7">
        <f t="shared" si="179"/>
        <v>6627.5</v>
      </c>
      <c r="O1642" s="7" t="str">
        <f t="shared" si="180"/>
        <v>n.a.</v>
      </c>
      <c r="P1642" s="15" t="str">
        <f t="shared" si="181"/>
        <v>n.a.</v>
      </c>
      <c r="Q1642" s="7">
        <f>J1642*'Model inputs'!$B$8</f>
        <v>-57250</v>
      </c>
      <c r="R1642" s="1" t="s">
        <v>164</v>
      </c>
      <c r="S1642" s="1">
        <v>805</v>
      </c>
      <c r="T1642" s="1">
        <v>786</v>
      </c>
    </row>
    <row r="1643" spans="1:20" ht="21" customHeight="1">
      <c r="A1643" s="8">
        <v>46255</v>
      </c>
      <c r="B1643" s="1" t="s">
        <v>36</v>
      </c>
      <c r="C1643" s="1" t="s">
        <v>90</v>
      </c>
      <c r="D1643" s="7">
        <v>7800</v>
      </c>
      <c r="E1643" s="7">
        <v>7600</v>
      </c>
      <c r="F1643" s="7"/>
      <c r="G1643" s="7">
        <f>'Option source'!B829</f>
        <v>1150</v>
      </c>
      <c r="H1643" s="7">
        <f>'Option source'!B810</f>
        <v>987.5</v>
      </c>
      <c r="I1643" s="7"/>
      <c r="J1643" s="7">
        <f t="shared" si="175"/>
        <v>-825</v>
      </c>
      <c r="K1643" s="7">
        <f t="shared" si="176"/>
        <v>200</v>
      </c>
      <c r="L1643" s="7">
        <f t="shared" si="177"/>
        <v>1025</v>
      </c>
      <c r="M1643" s="7">
        <f t="shared" si="178"/>
        <v>6575</v>
      </c>
      <c r="N1643" s="7">
        <f t="shared" si="179"/>
        <v>6575</v>
      </c>
      <c r="O1643" s="7" t="str">
        <f t="shared" si="180"/>
        <v>n.a.</v>
      </c>
      <c r="P1643" s="15" t="str">
        <f t="shared" si="181"/>
        <v>n.a.</v>
      </c>
      <c r="Q1643" s="7">
        <f>J1643*'Model inputs'!$B$8</f>
        <v>-82500</v>
      </c>
      <c r="R1643" s="1" t="s">
        <v>164</v>
      </c>
      <c r="S1643" s="1">
        <v>824</v>
      </c>
      <c r="T1643" s="1">
        <v>805</v>
      </c>
    </row>
    <row r="1644" spans="1:20" ht="21" customHeight="1">
      <c r="A1644" s="8">
        <v>46255</v>
      </c>
      <c r="B1644" s="1" t="s">
        <v>36</v>
      </c>
      <c r="C1644" s="1" t="s">
        <v>90</v>
      </c>
      <c r="D1644" s="7">
        <v>8000</v>
      </c>
      <c r="E1644" s="7">
        <v>7800</v>
      </c>
      <c r="F1644" s="7"/>
      <c r="G1644" s="7">
        <f>'Option source'!B848</f>
        <v>1337.5</v>
      </c>
      <c r="H1644" s="7">
        <f>'Option source'!B829</f>
        <v>1150</v>
      </c>
      <c r="I1644" s="7"/>
      <c r="J1644" s="7">
        <f t="shared" si="175"/>
        <v>-962.5</v>
      </c>
      <c r="K1644" s="7">
        <f t="shared" si="176"/>
        <v>200</v>
      </c>
      <c r="L1644" s="7">
        <f t="shared" si="177"/>
        <v>1162.5</v>
      </c>
      <c r="M1644" s="7">
        <f t="shared" si="178"/>
        <v>6637.5</v>
      </c>
      <c r="N1644" s="7">
        <f t="shared" si="179"/>
        <v>6637.5</v>
      </c>
      <c r="O1644" s="7" t="str">
        <f t="shared" si="180"/>
        <v>n.a.</v>
      </c>
      <c r="P1644" s="15" t="str">
        <f t="shared" si="181"/>
        <v>n.a.</v>
      </c>
      <c r="Q1644" s="7">
        <f>J1644*'Model inputs'!$B$8</f>
        <v>-96250</v>
      </c>
      <c r="R1644" s="1" t="s">
        <v>164</v>
      </c>
      <c r="S1644" s="1">
        <v>843</v>
      </c>
      <c r="T1644" s="1">
        <v>824</v>
      </c>
    </row>
    <row r="1645" spans="1:20" ht="21" customHeight="1">
      <c r="A1645" s="8">
        <v>46255</v>
      </c>
      <c r="B1645" s="1" t="s">
        <v>36</v>
      </c>
      <c r="C1645" s="1" t="s">
        <v>87</v>
      </c>
      <c r="D1645" s="7">
        <v>5200</v>
      </c>
      <c r="E1645" s="7">
        <v>5400</v>
      </c>
      <c r="F1645" s="7"/>
      <c r="G1645" s="7">
        <f>'Option source'!B98</f>
        <v>1712</v>
      </c>
      <c r="H1645" s="7">
        <f>'Option source'!B117</f>
        <v>1534</v>
      </c>
      <c r="I1645" s="7"/>
      <c r="J1645" s="7">
        <f t="shared" si="175"/>
        <v>-1356</v>
      </c>
      <c r="K1645" s="7">
        <f t="shared" si="176"/>
        <v>200</v>
      </c>
      <c r="L1645" s="7">
        <f t="shared" si="177"/>
        <v>1556</v>
      </c>
      <c r="M1645" s="7" t="str">
        <f t="shared" si="178"/>
        <v>Unlimited</v>
      </c>
      <c r="N1645" s="7" t="str">
        <f t="shared" si="179"/>
        <v>n.a.</v>
      </c>
      <c r="O1645" s="7">
        <f t="shared" si="180"/>
        <v>6956</v>
      </c>
      <c r="P1645" s="15" t="str">
        <f t="shared" si="181"/>
        <v>n.a.</v>
      </c>
      <c r="Q1645" s="7">
        <f>J1645*'Model inputs'!$B$8</f>
        <v>-135600</v>
      </c>
      <c r="R1645" s="1" t="s">
        <v>164</v>
      </c>
      <c r="S1645" s="1">
        <v>93</v>
      </c>
      <c r="T1645" s="1">
        <v>112</v>
      </c>
    </row>
    <row r="1646" spans="1:20" ht="21" customHeight="1">
      <c r="A1646" s="8">
        <v>46255</v>
      </c>
      <c r="B1646" s="1" t="s">
        <v>36</v>
      </c>
      <c r="C1646" s="1" t="s">
        <v>90</v>
      </c>
      <c r="D1646" s="7">
        <v>8300</v>
      </c>
      <c r="E1646" s="7">
        <v>8000</v>
      </c>
      <c r="F1646" s="7"/>
      <c r="G1646" s="7">
        <f>'Option source'!B867</f>
        <v>1580</v>
      </c>
      <c r="H1646" s="7">
        <f>'Option source'!B848</f>
        <v>1337.5</v>
      </c>
      <c r="I1646" s="7"/>
      <c r="J1646" s="7">
        <f t="shared" si="175"/>
        <v>-1095</v>
      </c>
      <c r="K1646" s="7">
        <f t="shared" si="176"/>
        <v>300</v>
      </c>
      <c r="L1646" s="7">
        <f t="shared" si="177"/>
        <v>1395</v>
      </c>
      <c r="M1646" s="7">
        <f t="shared" si="178"/>
        <v>6605</v>
      </c>
      <c r="N1646" s="7">
        <f t="shared" si="179"/>
        <v>6605</v>
      </c>
      <c r="O1646" s="7" t="str">
        <f t="shared" si="180"/>
        <v>n.a.</v>
      </c>
      <c r="P1646" s="15" t="str">
        <f t="shared" si="181"/>
        <v>n.a.</v>
      </c>
      <c r="Q1646" s="7">
        <f>J1646*'Model inputs'!$B$8</f>
        <v>-109500</v>
      </c>
      <c r="R1646" s="1" t="s">
        <v>164</v>
      </c>
      <c r="S1646" s="1">
        <v>862</v>
      </c>
      <c r="T1646" s="1">
        <v>843</v>
      </c>
    </row>
    <row r="1647" spans="1:20" ht="21" customHeight="1">
      <c r="A1647" s="8">
        <v>46255</v>
      </c>
      <c r="B1647" s="1" t="s">
        <v>36</v>
      </c>
      <c r="C1647" s="1" t="s">
        <v>87</v>
      </c>
      <c r="D1647" s="7">
        <v>4600</v>
      </c>
      <c r="E1647" s="7">
        <v>5200</v>
      </c>
      <c r="F1647" s="7"/>
      <c r="G1647" s="7">
        <f>'Option source'!B45</f>
        <v>2191.92</v>
      </c>
      <c r="H1647" s="7">
        <f>'Option source'!B98</f>
        <v>1712</v>
      </c>
      <c r="I1647" s="7"/>
      <c r="J1647" s="7">
        <f t="shared" si="175"/>
        <v>-1232.08</v>
      </c>
      <c r="K1647" s="7">
        <f t="shared" si="176"/>
        <v>600</v>
      </c>
      <c r="L1647" s="7">
        <f t="shared" si="177"/>
        <v>1832.08</v>
      </c>
      <c r="M1647" s="7" t="str">
        <f t="shared" si="178"/>
        <v>Unlimited</v>
      </c>
      <c r="N1647" s="7" t="str">
        <f t="shared" si="179"/>
        <v>n.a.</v>
      </c>
      <c r="O1647" s="7">
        <f t="shared" si="180"/>
        <v>7032.08</v>
      </c>
      <c r="P1647" s="15" t="str">
        <f t="shared" si="181"/>
        <v>n.a.</v>
      </c>
      <c r="Q1647" s="7">
        <f>J1647*'Model inputs'!$B$8</f>
        <v>-123208</v>
      </c>
      <c r="R1647" s="1" t="s">
        <v>164</v>
      </c>
      <c r="S1647" s="1">
        <v>40</v>
      </c>
      <c r="T1647" s="1">
        <v>93</v>
      </c>
    </row>
    <row r="1648" spans="1:20" ht="21" customHeight="1">
      <c r="A1648" s="8">
        <v>46255</v>
      </c>
      <c r="B1648" s="1" t="s">
        <v>36</v>
      </c>
      <c r="C1648" s="1" t="s">
        <v>90</v>
      </c>
      <c r="D1648" s="7">
        <v>8600</v>
      </c>
      <c r="E1648" s="7">
        <v>8300</v>
      </c>
      <c r="F1648" s="7"/>
      <c r="G1648" s="7">
        <f>'Option source'!B886</f>
        <v>1173.55</v>
      </c>
      <c r="H1648" s="7">
        <f>'Option source'!B867</f>
        <v>1580</v>
      </c>
      <c r="I1648" s="7"/>
      <c r="J1648" s="7">
        <f t="shared" si="175"/>
        <v>-1986.45</v>
      </c>
      <c r="K1648" s="7">
        <f t="shared" si="176"/>
        <v>300</v>
      </c>
      <c r="L1648" s="7">
        <f t="shared" si="177"/>
        <v>2286.4499999999998</v>
      </c>
      <c r="M1648" s="7">
        <f t="shared" si="178"/>
        <v>6013.55</v>
      </c>
      <c r="N1648" s="7">
        <f t="shared" si="179"/>
        <v>6013.55</v>
      </c>
      <c r="O1648" s="7" t="str">
        <f t="shared" si="180"/>
        <v>n.a.</v>
      </c>
      <c r="P1648" s="15" t="str">
        <f t="shared" si="181"/>
        <v>n.a.</v>
      </c>
      <c r="Q1648" s="7">
        <f>J1648*'Model inputs'!$B$8</f>
        <v>-198645</v>
      </c>
      <c r="R1648" s="1" t="s">
        <v>164</v>
      </c>
      <c r="S1648" s="1">
        <v>881</v>
      </c>
      <c r="T1648" s="1">
        <v>862</v>
      </c>
    </row>
    <row r="1649" spans="1:20" ht="21" customHeight="1">
      <c r="A1649" s="8">
        <v>46255</v>
      </c>
      <c r="B1649" s="1" t="s">
        <v>36</v>
      </c>
      <c r="C1649" s="1" t="s">
        <v>87</v>
      </c>
      <c r="D1649" s="7">
        <v>4400</v>
      </c>
      <c r="E1649" s="7">
        <v>4600</v>
      </c>
      <c r="F1649" s="7"/>
      <c r="G1649" s="7">
        <f>'Option source'!B26</f>
        <v>2387.12</v>
      </c>
      <c r="H1649" s="7">
        <f>'Option source'!B45</f>
        <v>2191.92</v>
      </c>
      <c r="I1649" s="7"/>
      <c r="J1649" s="7">
        <f t="shared" si="175"/>
        <v>-1996.7200000000003</v>
      </c>
      <c r="K1649" s="7">
        <f t="shared" si="176"/>
        <v>200</v>
      </c>
      <c r="L1649" s="7">
        <f t="shared" si="177"/>
        <v>2196.7200000000003</v>
      </c>
      <c r="M1649" s="7" t="str">
        <f t="shared" si="178"/>
        <v>Unlimited</v>
      </c>
      <c r="N1649" s="7" t="str">
        <f t="shared" si="179"/>
        <v>n.a.</v>
      </c>
      <c r="O1649" s="7">
        <f t="shared" si="180"/>
        <v>6796.72</v>
      </c>
      <c r="P1649" s="15" t="str">
        <f t="shared" si="181"/>
        <v>n.a.</v>
      </c>
      <c r="Q1649" s="7">
        <f>J1649*'Model inputs'!$B$8</f>
        <v>-199672.00000000003</v>
      </c>
      <c r="R1649" s="1" t="s">
        <v>164</v>
      </c>
      <c r="S1649" s="1">
        <v>21</v>
      </c>
      <c r="T1649" s="1">
        <v>40</v>
      </c>
    </row>
    <row r="1650" spans="1:20" ht="21" customHeight="1">
      <c r="A1650" s="8">
        <v>46255</v>
      </c>
      <c r="B1650" s="1" t="s">
        <v>36</v>
      </c>
      <c r="C1650" s="1" t="s">
        <v>90</v>
      </c>
      <c r="D1650" s="7">
        <v>4800</v>
      </c>
      <c r="E1650" s="7">
        <v>4600</v>
      </c>
      <c r="F1650" s="7"/>
      <c r="G1650" s="7">
        <f>'Option source'!B544</f>
        <v>7.23</v>
      </c>
      <c r="H1650" s="7">
        <f>'Option source'!B525</f>
        <v>0</v>
      </c>
      <c r="I1650" s="7"/>
      <c r="J1650" s="7">
        <f t="shared" si="175"/>
        <v>7.23</v>
      </c>
      <c r="K1650" s="7">
        <f t="shared" si="176"/>
        <v>200</v>
      </c>
      <c r="L1650" s="7">
        <f t="shared" si="177"/>
        <v>192.77</v>
      </c>
      <c r="M1650" s="7">
        <f t="shared" si="178"/>
        <v>4407.2299999999996</v>
      </c>
      <c r="N1650" s="7">
        <f t="shared" si="179"/>
        <v>4407.2299999999996</v>
      </c>
      <c r="O1650" s="7">
        <f t="shared" si="180"/>
        <v>4792.7700000000004</v>
      </c>
      <c r="P1650" s="15" t="str">
        <f t="shared" si="181"/>
        <v>n.a.</v>
      </c>
      <c r="Q1650" s="7">
        <f>J1650*'Model inputs'!$B$8</f>
        <v>723</v>
      </c>
      <c r="R1650" s="1" t="s">
        <v>164</v>
      </c>
      <c r="S1650" s="1">
        <v>539</v>
      </c>
      <c r="T1650" s="1">
        <v>520</v>
      </c>
    </row>
    <row r="1651" spans="1:20" ht="21" customHeight="1">
      <c r="A1651" s="8">
        <v>46255</v>
      </c>
      <c r="B1651" s="1" t="s">
        <v>36</v>
      </c>
      <c r="C1651" s="1" t="s">
        <v>87</v>
      </c>
      <c r="D1651" s="7">
        <v>4200</v>
      </c>
      <c r="E1651" s="7">
        <v>4400</v>
      </c>
      <c r="F1651" s="7"/>
      <c r="G1651" s="7">
        <f>'Option source'!B7</f>
        <v>2544.61</v>
      </c>
      <c r="H1651" s="7">
        <f>'Option source'!B26</f>
        <v>2387.12</v>
      </c>
      <c r="I1651" s="7"/>
      <c r="J1651" s="7">
        <f t="shared" si="175"/>
        <v>-2229.6299999999997</v>
      </c>
      <c r="K1651" s="7">
        <f t="shared" si="176"/>
        <v>200</v>
      </c>
      <c r="L1651" s="7">
        <f t="shared" si="177"/>
        <v>2429.6299999999997</v>
      </c>
      <c r="M1651" s="7" t="str">
        <f t="shared" si="178"/>
        <v>Unlimited</v>
      </c>
      <c r="N1651" s="7" t="str">
        <f t="shared" si="179"/>
        <v>n.a.</v>
      </c>
      <c r="O1651" s="7">
        <f t="shared" si="180"/>
        <v>6829.6299999999992</v>
      </c>
      <c r="P1651" s="15" t="str">
        <f t="shared" si="181"/>
        <v>n.a.</v>
      </c>
      <c r="Q1651" s="7">
        <f>J1651*'Model inputs'!$B$8</f>
        <v>-222962.99999999997</v>
      </c>
      <c r="R1651" s="1" t="s">
        <v>164</v>
      </c>
      <c r="S1651" s="1">
        <v>2</v>
      </c>
      <c r="T1651" s="1">
        <v>21</v>
      </c>
    </row>
    <row r="1652" spans="1:20" ht="21" customHeight="1">
      <c r="A1652" s="8">
        <v>46255</v>
      </c>
      <c r="B1652" s="1" t="s">
        <v>36</v>
      </c>
      <c r="C1652" s="1" t="s">
        <v>90</v>
      </c>
      <c r="D1652" s="7">
        <v>4600</v>
      </c>
      <c r="E1652" s="7">
        <v>4400</v>
      </c>
      <c r="F1652" s="7"/>
      <c r="G1652" s="7">
        <f>'Option source'!B525</f>
        <v>0</v>
      </c>
      <c r="H1652" s="7">
        <f>'Option source'!B506</f>
        <v>10</v>
      </c>
      <c r="I1652" s="7"/>
      <c r="J1652" s="7">
        <f t="shared" si="175"/>
        <v>-20</v>
      </c>
      <c r="K1652" s="7">
        <f t="shared" si="176"/>
        <v>200</v>
      </c>
      <c r="L1652" s="7">
        <f t="shared" si="177"/>
        <v>220</v>
      </c>
      <c r="M1652" s="7">
        <f t="shared" si="178"/>
        <v>4180</v>
      </c>
      <c r="N1652" s="7">
        <f t="shared" si="179"/>
        <v>4180</v>
      </c>
      <c r="O1652" s="7" t="str">
        <f t="shared" si="180"/>
        <v>n.a.</v>
      </c>
      <c r="P1652" s="15" t="str">
        <f t="shared" si="181"/>
        <v>n.a.</v>
      </c>
      <c r="Q1652" s="7">
        <f>J1652*'Model inputs'!$B$8</f>
        <v>-2000</v>
      </c>
      <c r="R1652" s="1" t="s">
        <v>164</v>
      </c>
      <c r="S1652" s="1">
        <v>520</v>
      </c>
      <c r="T1652" s="1">
        <v>501</v>
      </c>
    </row>
    <row r="1653" spans="1:20" ht="21" customHeight="1">
      <c r="A1653" s="8">
        <v>46255</v>
      </c>
      <c r="B1653" s="1" t="s">
        <v>36</v>
      </c>
      <c r="C1653" s="1" t="s">
        <v>90</v>
      </c>
      <c r="D1653" s="7">
        <v>4400</v>
      </c>
      <c r="E1653" s="7">
        <v>4200</v>
      </c>
      <c r="F1653" s="7"/>
      <c r="G1653" s="7">
        <f>'Option source'!B506</f>
        <v>10</v>
      </c>
      <c r="H1653" s="7">
        <f>'Option source'!B487</f>
        <v>10</v>
      </c>
      <c r="I1653" s="7"/>
      <c r="J1653" s="7">
        <f t="shared" si="175"/>
        <v>-10</v>
      </c>
      <c r="K1653" s="7">
        <f t="shared" si="176"/>
        <v>200</v>
      </c>
      <c r="L1653" s="7">
        <f t="shared" si="177"/>
        <v>210</v>
      </c>
      <c r="M1653" s="7">
        <f t="shared" si="178"/>
        <v>3990</v>
      </c>
      <c r="N1653" s="7">
        <f t="shared" si="179"/>
        <v>3990</v>
      </c>
      <c r="O1653" s="7" t="str">
        <f t="shared" si="180"/>
        <v>n.a.</v>
      </c>
      <c r="P1653" s="15" t="str">
        <f t="shared" si="181"/>
        <v>n.a.</v>
      </c>
      <c r="Q1653" s="7">
        <f>J1653*'Model inputs'!$B$8</f>
        <v>-1000</v>
      </c>
      <c r="R1653" s="1" t="s">
        <v>164</v>
      </c>
      <c r="S1653" s="1">
        <v>501</v>
      </c>
      <c r="T1653" s="1">
        <v>482</v>
      </c>
    </row>
  </sheetData>
  <conditionalFormatting sqref="R7:R1653">
    <cfRule type="notContainsText" dxfId="3" priority="1" operator="notContains" text="Indicative only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6"/>
  <sheetViews>
    <sheetView showGridLines="0" tabSelected="1" workbookViewId="0">
      <pane ySplit="6" topLeftCell="A7" activePane="bottomLeft" state="frozen"/>
      <selection pane="bottomLeft"/>
    </sheetView>
  </sheetViews>
  <sheetFormatPr defaultRowHeight="13.8"/>
  <cols>
    <col min="1" max="1" width="31" customWidth="1"/>
    <col min="2" max="10" width="15" customWidth="1"/>
    <col min="11" max="12" width="24" customWidth="1"/>
  </cols>
  <sheetData>
    <row r="1" spans="1:12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" customHeight="1">
      <c r="A2" s="2" t="s">
        <v>165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1" customHeight="1">
      <c r="A4" s="4" t="s">
        <v>166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1" customHeight="1">
      <c r="A5" s="4" t="s">
        <v>167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0.049999999999997" customHeight="1">
      <c r="A6" s="6" t="s">
        <v>168</v>
      </c>
      <c r="B6" s="6" t="s">
        <v>169</v>
      </c>
      <c r="C6" s="6" t="s">
        <v>170</v>
      </c>
      <c r="D6" s="6" t="s">
        <v>171</v>
      </c>
      <c r="E6" s="6" t="s">
        <v>172</v>
      </c>
      <c r="F6" s="6" t="s">
        <v>173</v>
      </c>
      <c r="G6" s="6" t="s">
        <v>174</v>
      </c>
      <c r="H6" s="6" t="s">
        <v>175</v>
      </c>
      <c r="I6" s="6" t="s">
        <v>176</v>
      </c>
      <c r="J6" s="6" t="s">
        <v>177</v>
      </c>
      <c r="K6" s="6" t="s">
        <v>178</v>
      </c>
      <c r="L6" s="6" t="s">
        <v>179</v>
      </c>
    </row>
    <row r="7" spans="1:12" ht="21" customHeight="1">
      <c r="A7" s="5">
        <v>46255</v>
      </c>
      <c r="B7" s="7">
        <v>2544.61</v>
      </c>
      <c r="C7" s="7">
        <v>97648600</v>
      </c>
      <c r="D7" s="7">
        <v>2544.61</v>
      </c>
      <c r="E7" s="7">
        <v>2550</v>
      </c>
      <c r="F7" s="7">
        <v>2594.6799999999998</v>
      </c>
      <c r="G7" s="7">
        <v>2529.59</v>
      </c>
      <c r="H7" s="7">
        <v>0</v>
      </c>
      <c r="I7" s="7">
        <v>0</v>
      </c>
      <c r="J7" s="7"/>
      <c r="K7" s="1" t="s">
        <v>140</v>
      </c>
      <c r="L7" s="1" t="s">
        <v>180</v>
      </c>
    </row>
    <row r="8" spans="1:12" ht="21" customHeight="1">
      <c r="A8" s="5">
        <v>46258</v>
      </c>
      <c r="B8" s="7">
        <v>2844.35</v>
      </c>
      <c r="C8" s="7">
        <v>96763072</v>
      </c>
      <c r="D8" s="7">
        <v>2550</v>
      </c>
      <c r="E8" s="7">
        <v>2800</v>
      </c>
      <c r="F8" s="7">
        <v>2839.36</v>
      </c>
      <c r="G8" s="7">
        <v>2550</v>
      </c>
      <c r="H8" s="7">
        <v>0</v>
      </c>
      <c r="I8" s="7">
        <v>0</v>
      </c>
      <c r="J8" s="7"/>
      <c r="K8" s="1" t="s">
        <v>140</v>
      </c>
      <c r="L8" s="1" t="s">
        <v>181</v>
      </c>
    </row>
    <row r="9" spans="1:12" ht="21" customHeight="1">
      <c r="A9" s="5">
        <v>46259</v>
      </c>
      <c r="B9" s="7">
        <v>2865.46</v>
      </c>
      <c r="C9" s="7">
        <v>3405823</v>
      </c>
      <c r="D9" s="7">
        <v>2800</v>
      </c>
      <c r="E9" s="7">
        <v>2929.59</v>
      </c>
      <c r="F9" s="7">
        <v>2874.05</v>
      </c>
      <c r="G9" s="7">
        <v>2800</v>
      </c>
      <c r="H9" s="7">
        <v>0</v>
      </c>
      <c r="I9" s="7">
        <v>0</v>
      </c>
      <c r="J9" s="7"/>
      <c r="K9" s="1" t="s">
        <v>140</v>
      </c>
      <c r="L9" s="1" t="s">
        <v>182</v>
      </c>
    </row>
    <row r="10" spans="1:12" ht="21" customHeight="1">
      <c r="A10" s="5">
        <v>46260</v>
      </c>
      <c r="B10" s="7">
        <v>2914.64</v>
      </c>
      <c r="C10" s="7">
        <v>1761738</v>
      </c>
      <c r="D10" s="7">
        <v>2929.59</v>
      </c>
      <c r="E10" s="7">
        <v>2957.26</v>
      </c>
      <c r="F10" s="7">
        <v>2964.46</v>
      </c>
      <c r="G10" s="7">
        <v>2929.59</v>
      </c>
      <c r="H10" s="7">
        <v>0</v>
      </c>
      <c r="I10" s="7">
        <v>0</v>
      </c>
      <c r="J10" s="7"/>
      <c r="K10" s="1" t="s">
        <v>140</v>
      </c>
      <c r="L10" s="1" t="s">
        <v>183</v>
      </c>
    </row>
    <row r="11" spans="1:12" ht="21" customHeight="1">
      <c r="A11" s="5">
        <v>46261</v>
      </c>
      <c r="B11" s="7">
        <v>2815</v>
      </c>
      <c r="C11" s="7">
        <v>3711634</v>
      </c>
      <c r="D11" s="7">
        <v>2957.26</v>
      </c>
      <c r="E11" s="7">
        <v>2728.37</v>
      </c>
      <c r="F11" s="7">
        <v>2957.26</v>
      </c>
      <c r="G11" s="7">
        <v>2777.9</v>
      </c>
      <c r="H11" s="7">
        <v>0</v>
      </c>
      <c r="I11" s="7">
        <v>0</v>
      </c>
      <c r="J11" s="7"/>
      <c r="K11" s="1" t="s">
        <v>140</v>
      </c>
      <c r="L11" s="1" t="s">
        <v>184</v>
      </c>
    </row>
    <row r="12" spans="1:12" ht="21" customHeight="1">
      <c r="A12" s="5">
        <v>46262</v>
      </c>
      <c r="B12" s="7">
        <v>2666.16</v>
      </c>
      <c r="C12" s="7">
        <v>19534206</v>
      </c>
      <c r="D12" s="7">
        <v>2728.37</v>
      </c>
      <c r="E12" s="7">
        <v>2853.68</v>
      </c>
      <c r="F12" s="7">
        <v>2728.37</v>
      </c>
      <c r="G12" s="7">
        <v>2623.86</v>
      </c>
      <c r="H12" s="7">
        <v>0</v>
      </c>
      <c r="I12" s="7">
        <v>0</v>
      </c>
      <c r="J12" s="7"/>
      <c r="K12" s="1" t="s">
        <v>140</v>
      </c>
      <c r="L12" s="1" t="s">
        <v>185</v>
      </c>
    </row>
    <row r="13" spans="1:12" ht="21" customHeight="1">
      <c r="A13" s="5">
        <v>46265</v>
      </c>
      <c r="B13" s="7">
        <v>2933.39</v>
      </c>
      <c r="C13" s="7">
        <v>4581830</v>
      </c>
      <c r="D13" s="7">
        <v>2853.68</v>
      </c>
      <c r="E13" s="7">
        <v>2946.11</v>
      </c>
      <c r="F13" s="7">
        <v>2853.68</v>
      </c>
      <c r="G13" s="7">
        <v>2853.68</v>
      </c>
      <c r="H13" s="7">
        <v>0</v>
      </c>
      <c r="I13" s="7">
        <v>0</v>
      </c>
      <c r="J13" s="7"/>
      <c r="K13" s="1" t="s">
        <v>140</v>
      </c>
      <c r="L13" s="1" t="s">
        <v>186</v>
      </c>
    </row>
    <row r="14" spans="1:12" ht="21" customHeight="1">
      <c r="A14" s="5">
        <v>46266</v>
      </c>
      <c r="B14" s="7">
        <v>3017.35</v>
      </c>
      <c r="C14" s="7">
        <v>890957</v>
      </c>
      <c r="D14" s="7">
        <v>2946.11</v>
      </c>
      <c r="E14" s="7">
        <v>2946.11</v>
      </c>
      <c r="F14" s="7">
        <v>2946.11</v>
      </c>
      <c r="G14" s="7">
        <v>2946.11</v>
      </c>
      <c r="H14" s="7">
        <v>0</v>
      </c>
      <c r="I14" s="7">
        <v>0</v>
      </c>
      <c r="J14" s="7"/>
      <c r="K14" s="1" t="s">
        <v>140</v>
      </c>
      <c r="L14" s="1" t="s">
        <v>187</v>
      </c>
    </row>
    <row r="15" spans="1:12" ht="21" customHeight="1">
      <c r="A15" s="5">
        <v>46267</v>
      </c>
      <c r="B15" s="7">
        <v>3017.35</v>
      </c>
      <c r="C15" s="7">
        <v>0</v>
      </c>
      <c r="D15" s="7">
        <v>2946.11</v>
      </c>
      <c r="E15" s="7">
        <v>3039.57</v>
      </c>
      <c r="F15" s="7">
        <v>2946.11</v>
      </c>
      <c r="G15" s="7">
        <v>2946.11</v>
      </c>
      <c r="H15" s="7">
        <v>0</v>
      </c>
      <c r="I15" s="7">
        <v>0</v>
      </c>
      <c r="J15" s="7"/>
      <c r="K15" s="1" t="s">
        <v>140</v>
      </c>
      <c r="L15" s="1" t="s">
        <v>188</v>
      </c>
    </row>
    <row r="16" spans="1:12" ht="21" customHeight="1">
      <c r="A16" s="5">
        <v>46268</v>
      </c>
      <c r="B16" s="7">
        <v>2964.84</v>
      </c>
      <c r="C16" s="7">
        <v>3574248</v>
      </c>
      <c r="D16" s="7">
        <v>3039.57</v>
      </c>
      <c r="E16" s="7">
        <v>3039.57</v>
      </c>
      <c r="F16" s="7">
        <v>3039.57</v>
      </c>
      <c r="G16" s="7">
        <v>2979.78</v>
      </c>
      <c r="H16" s="7">
        <v>0</v>
      </c>
      <c r="I16" s="7">
        <v>0</v>
      </c>
      <c r="J16" s="7"/>
      <c r="K16" s="1" t="s">
        <v>140</v>
      </c>
      <c r="L16" s="1" t="s">
        <v>189</v>
      </c>
    </row>
    <row r="17" spans="1:12" ht="21" customHeight="1">
      <c r="A17" s="5">
        <v>46269</v>
      </c>
      <c r="B17" s="7">
        <v>2964.84</v>
      </c>
      <c r="C17" s="7">
        <v>0</v>
      </c>
      <c r="D17" s="7">
        <v>3039.57</v>
      </c>
      <c r="E17" s="7">
        <v>2813.9</v>
      </c>
      <c r="F17" s="7">
        <v>3039.57</v>
      </c>
      <c r="G17" s="7">
        <v>2979.78</v>
      </c>
      <c r="H17" s="7">
        <v>0</v>
      </c>
      <c r="I17" s="7">
        <v>0</v>
      </c>
      <c r="J17" s="7"/>
      <c r="K17" s="1" t="s">
        <v>140</v>
      </c>
      <c r="L17" s="1" t="s">
        <v>190</v>
      </c>
    </row>
    <row r="18" spans="1:12" ht="21" customHeight="1">
      <c r="A18" s="5">
        <v>46272</v>
      </c>
      <c r="B18" s="7">
        <v>2871.76</v>
      </c>
      <c r="C18" s="7">
        <v>2302020</v>
      </c>
      <c r="D18" s="7">
        <v>2813.9</v>
      </c>
      <c r="E18" s="7">
        <v>2938.68</v>
      </c>
      <c r="F18" s="7">
        <v>2889.09</v>
      </c>
      <c r="G18" s="7">
        <v>2813.9</v>
      </c>
      <c r="H18" s="7">
        <v>0</v>
      </c>
      <c r="I18" s="7">
        <v>0</v>
      </c>
      <c r="J18" s="7"/>
      <c r="K18" s="1" t="s">
        <v>140</v>
      </c>
      <c r="L18" s="1" t="s">
        <v>191</v>
      </c>
    </row>
    <row r="19" spans="1:12" ht="21" customHeight="1">
      <c r="A19" s="5">
        <v>46273</v>
      </c>
      <c r="B19" s="7">
        <v>2845.62</v>
      </c>
      <c r="C19" s="7">
        <v>3711328.25</v>
      </c>
      <c r="D19" s="7">
        <v>2938.68</v>
      </c>
      <c r="E19" s="7">
        <v>2938.68</v>
      </c>
      <c r="F19" s="7">
        <v>2938.68</v>
      </c>
      <c r="G19" s="7">
        <v>2839.03</v>
      </c>
      <c r="H19" s="7">
        <v>0</v>
      </c>
      <c r="I19" s="7">
        <v>0</v>
      </c>
      <c r="J19" s="7"/>
      <c r="K19" s="1" t="s">
        <v>140</v>
      </c>
      <c r="L19" s="1" t="s">
        <v>192</v>
      </c>
    </row>
    <row r="20" spans="1:12" ht="21" customHeight="1">
      <c r="A20" s="5">
        <v>46274</v>
      </c>
      <c r="B20" s="7">
        <v>2845.62</v>
      </c>
      <c r="C20" s="7">
        <v>0</v>
      </c>
      <c r="D20" s="7">
        <v>2938.68</v>
      </c>
      <c r="E20" s="7">
        <v>2935.98</v>
      </c>
      <c r="F20" s="7">
        <v>2938.68</v>
      </c>
      <c r="G20" s="7">
        <v>2839.03</v>
      </c>
      <c r="H20" s="7">
        <v>0</v>
      </c>
      <c r="I20" s="7">
        <v>0</v>
      </c>
      <c r="J20" s="7"/>
      <c r="K20" s="1" t="s">
        <v>140</v>
      </c>
      <c r="L20" s="1" t="s">
        <v>193</v>
      </c>
    </row>
    <row r="21" spans="1:12" ht="21" customHeight="1">
      <c r="A21" s="5">
        <v>46275</v>
      </c>
      <c r="B21" s="7">
        <v>3000</v>
      </c>
      <c r="C21" s="7">
        <v>4212306</v>
      </c>
      <c r="D21" s="7">
        <v>2935.98</v>
      </c>
      <c r="E21" s="7">
        <v>2950</v>
      </c>
      <c r="F21" s="7">
        <v>3050</v>
      </c>
      <c r="G21" s="7">
        <v>2935.98</v>
      </c>
      <c r="H21" s="7">
        <v>0</v>
      </c>
      <c r="I21" s="7">
        <v>0</v>
      </c>
      <c r="J21" s="7"/>
      <c r="K21" s="1" t="s">
        <v>140</v>
      </c>
      <c r="L21" s="1" t="s">
        <v>194</v>
      </c>
    </row>
    <row r="22" spans="1:12" ht="21" customHeight="1">
      <c r="A22" s="5">
        <v>46276</v>
      </c>
      <c r="B22" s="7">
        <v>2956.52</v>
      </c>
      <c r="C22" s="7">
        <v>2068912</v>
      </c>
      <c r="D22" s="7">
        <v>2950</v>
      </c>
      <c r="E22" s="7">
        <v>2950</v>
      </c>
      <c r="F22" s="7">
        <v>2956.52</v>
      </c>
      <c r="G22" s="7">
        <v>2950</v>
      </c>
      <c r="H22" s="7">
        <v>0</v>
      </c>
      <c r="I22" s="7">
        <v>0</v>
      </c>
      <c r="J22" s="7"/>
      <c r="K22" s="1" t="s">
        <v>140</v>
      </c>
      <c r="L22" s="1" t="s">
        <v>195</v>
      </c>
    </row>
    <row r="23" spans="1:12" ht="21" customHeight="1">
      <c r="A23" s="5">
        <v>46279</v>
      </c>
      <c r="B23" s="7">
        <v>2956.52</v>
      </c>
      <c r="C23" s="7">
        <v>0</v>
      </c>
      <c r="D23" s="7">
        <v>2950</v>
      </c>
      <c r="E23" s="7">
        <v>2663.71</v>
      </c>
      <c r="F23" s="7">
        <v>2956.52</v>
      </c>
      <c r="G23" s="7">
        <v>2950</v>
      </c>
      <c r="H23" s="7">
        <v>0</v>
      </c>
      <c r="I23" s="7">
        <v>0</v>
      </c>
      <c r="J23" s="7"/>
      <c r="K23" s="1" t="s">
        <v>140</v>
      </c>
      <c r="L23" s="1" t="s">
        <v>196</v>
      </c>
    </row>
    <row r="24" spans="1:12" ht="21" customHeight="1">
      <c r="A24" s="5">
        <v>46280</v>
      </c>
      <c r="B24" s="7">
        <v>2597.16</v>
      </c>
      <c r="C24" s="7">
        <v>2869639.25</v>
      </c>
      <c r="D24" s="7">
        <v>2663.71</v>
      </c>
      <c r="E24" s="7">
        <v>2587.4899999999998</v>
      </c>
      <c r="F24" s="7">
        <v>2663.71</v>
      </c>
      <c r="G24" s="7">
        <v>2597.16</v>
      </c>
      <c r="H24" s="7">
        <v>0</v>
      </c>
      <c r="I24" s="7">
        <v>0</v>
      </c>
      <c r="J24" s="7"/>
      <c r="K24" s="1" t="s">
        <v>140</v>
      </c>
      <c r="L24" s="1" t="s">
        <v>197</v>
      </c>
    </row>
    <row r="25" spans="1:12" ht="21" customHeight="1">
      <c r="A25" s="5">
        <v>46281</v>
      </c>
      <c r="B25" s="7">
        <v>2587.4899999999998</v>
      </c>
      <c r="C25" s="7">
        <v>258749</v>
      </c>
      <c r="D25" s="7">
        <v>2587.4899999999998</v>
      </c>
      <c r="E25" s="7">
        <v>2376.5</v>
      </c>
      <c r="F25" s="7">
        <v>0</v>
      </c>
      <c r="G25" s="7">
        <v>0</v>
      </c>
      <c r="H25" s="7">
        <v>0</v>
      </c>
      <c r="I25" s="7">
        <v>0</v>
      </c>
      <c r="J25" s="7"/>
      <c r="K25" s="1" t="s">
        <v>140</v>
      </c>
      <c r="L25" s="1" t="s">
        <v>198</v>
      </c>
    </row>
    <row r="26" spans="1:12" ht="21" customHeight="1">
      <c r="A26" s="5">
        <v>46255</v>
      </c>
      <c r="B26" s="7">
        <v>2387.12</v>
      </c>
      <c r="C26" s="7">
        <v>2843784</v>
      </c>
      <c r="D26" s="7">
        <v>2376.5</v>
      </c>
      <c r="E26" s="7">
        <v>2376.5</v>
      </c>
      <c r="F26" s="7">
        <v>2376.5</v>
      </c>
      <c r="G26" s="7">
        <v>2366.48</v>
      </c>
      <c r="H26" s="7">
        <v>0</v>
      </c>
      <c r="I26" s="7">
        <v>0</v>
      </c>
      <c r="J26" s="7"/>
      <c r="K26" s="1" t="s">
        <v>136</v>
      </c>
      <c r="L26" s="1" t="s">
        <v>199</v>
      </c>
    </row>
    <row r="27" spans="1:12" ht="21" customHeight="1">
      <c r="A27" s="5">
        <v>46258</v>
      </c>
      <c r="B27" s="7">
        <v>2387.12</v>
      </c>
      <c r="C27" s="7">
        <v>0</v>
      </c>
      <c r="D27" s="7">
        <v>2376.5</v>
      </c>
      <c r="E27" s="7">
        <v>2376.5</v>
      </c>
      <c r="F27" s="7">
        <v>2376.5</v>
      </c>
      <c r="G27" s="7">
        <v>2366.48</v>
      </c>
      <c r="H27" s="7">
        <v>0</v>
      </c>
      <c r="I27" s="7">
        <v>0</v>
      </c>
      <c r="J27" s="7"/>
      <c r="K27" s="1" t="s">
        <v>136</v>
      </c>
      <c r="L27" s="1" t="s">
        <v>200</v>
      </c>
    </row>
    <row r="28" spans="1:12" ht="21" customHeight="1">
      <c r="A28" s="5">
        <v>46259</v>
      </c>
      <c r="B28" s="7">
        <v>2387.12</v>
      </c>
      <c r="C28" s="7">
        <v>0</v>
      </c>
      <c r="D28" s="7">
        <v>2376.5</v>
      </c>
      <c r="E28" s="7">
        <v>2376.5</v>
      </c>
      <c r="F28" s="7">
        <v>2376.5</v>
      </c>
      <c r="G28" s="7">
        <v>2366.48</v>
      </c>
      <c r="H28" s="7">
        <v>0</v>
      </c>
      <c r="I28" s="7">
        <v>0</v>
      </c>
      <c r="J28" s="7"/>
      <c r="K28" s="1" t="s">
        <v>136</v>
      </c>
      <c r="L28" s="1" t="s">
        <v>201</v>
      </c>
    </row>
    <row r="29" spans="1:12" ht="21" customHeight="1">
      <c r="A29" s="5">
        <v>46260</v>
      </c>
      <c r="B29" s="7">
        <v>2387.12</v>
      </c>
      <c r="C29" s="7">
        <v>0</v>
      </c>
      <c r="D29" s="7">
        <v>2376.5</v>
      </c>
      <c r="E29" s="7">
        <v>2376.5</v>
      </c>
      <c r="F29" s="7">
        <v>2376.5</v>
      </c>
      <c r="G29" s="7">
        <v>2366.48</v>
      </c>
      <c r="H29" s="7">
        <v>0</v>
      </c>
      <c r="I29" s="7">
        <v>0</v>
      </c>
      <c r="J29" s="7"/>
      <c r="K29" s="1" t="s">
        <v>136</v>
      </c>
      <c r="L29" s="1" t="s">
        <v>202</v>
      </c>
    </row>
    <row r="30" spans="1:12" ht="21" customHeight="1">
      <c r="A30" s="5">
        <v>46261</v>
      </c>
      <c r="B30" s="7">
        <v>2387.12</v>
      </c>
      <c r="C30" s="7">
        <v>0</v>
      </c>
      <c r="D30" s="7">
        <v>2376.5</v>
      </c>
      <c r="E30" s="7">
        <v>2429.9699999999998</v>
      </c>
      <c r="F30" s="7">
        <v>2376.5</v>
      </c>
      <c r="G30" s="7">
        <v>2366.48</v>
      </c>
      <c r="H30" s="7">
        <v>0</v>
      </c>
      <c r="I30" s="7">
        <v>0</v>
      </c>
      <c r="J30" s="7"/>
      <c r="K30" s="1" t="s">
        <v>136</v>
      </c>
      <c r="L30" s="1" t="s">
        <v>203</v>
      </c>
    </row>
    <row r="31" spans="1:12" ht="21" customHeight="1">
      <c r="A31" s="5">
        <v>46262</v>
      </c>
      <c r="B31" s="7">
        <v>2429.9699999999998</v>
      </c>
      <c r="C31" s="7">
        <v>485994</v>
      </c>
      <c r="D31" s="7">
        <v>2429.9699999999998</v>
      </c>
      <c r="E31" s="7">
        <v>2429.9699999999998</v>
      </c>
      <c r="F31" s="7">
        <v>0</v>
      </c>
      <c r="G31" s="7">
        <v>0</v>
      </c>
      <c r="H31" s="7">
        <v>0</v>
      </c>
      <c r="I31" s="7">
        <v>0</v>
      </c>
      <c r="J31" s="7"/>
      <c r="K31" s="1" t="s">
        <v>136</v>
      </c>
      <c r="L31" s="1" t="s">
        <v>204</v>
      </c>
    </row>
    <row r="32" spans="1:12" ht="21" customHeight="1">
      <c r="A32" s="5">
        <v>46265</v>
      </c>
      <c r="B32" s="7">
        <v>2429.9699999999998</v>
      </c>
      <c r="C32" s="7">
        <v>0</v>
      </c>
      <c r="D32" s="7">
        <v>2429.9699999999998</v>
      </c>
      <c r="E32" s="7">
        <v>2751.8</v>
      </c>
      <c r="F32" s="7">
        <v>2429.9699999999998</v>
      </c>
      <c r="G32" s="7">
        <v>2429.9699999999998</v>
      </c>
      <c r="H32" s="7">
        <v>0</v>
      </c>
      <c r="I32" s="7">
        <v>0</v>
      </c>
      <c r="J32" s="7"/>
      <c r="K32" s="1" t="s">
        <v>136</v>
      </c>
      <c r="L32" s="1" t="s">
        <v>205</v>
      </c>
    </row>
    <row r="33" spans="1:12" ht="21" customHeight="1">
      <c r="A33" s="5">
        <v>46266</v>
      </c>
      <c r="B33" s="7">
        <v>2746.82</v>
      </c>
      <c r="C33" s="7">
        <v>2197454</v>
      </c>
      <c r="D33" s="7">
        <v>2751.8</v>
      </c>
      <c r="E33" s="7">
        <v>2819.19</v>
      </c>
      <c r="F33" s="7">
        <v>2751.8</v>
      </c>
      <c r="G33" s="7">
        <v>2731.87</v>
      </c>
      <c r="H33" s="7">
        <v>0</v>
      </c>
      <c r="I33" s="7">
        <v>0</v>
      </c>
      <c r="J33" s="7"/>
      <c r="K33" s="1" t="s">
        <v>136</v>
      </c>
      <c r="L33" s="1" t="s">
        <v>206</v>
      </c>
    </row>
    <row r="34" spans="1:12" ht="21" customHeight="1">
      <c r="A34" s="5">
        <v>46267</v>
      </c>
      <c r="B34" s="7">
        <v>2849.09</v>
      </c>
      <c r="C34" s="7">
        <v>1133656</v>
      </c>
      <c r="D34" s="7">
        <v>2819.19</v>
      </c>
      <c r="E34" s="7">
        <v>3009.46</v>
      </c>
      <c r="F34" s="7">
        <v>2819.19</v>
      </c>
      <c r="G34" s="7">
        <v>2819.19</v>
      </c>
      <c r="H34" s="7">
        <v>0</v>
      </c>
      <c r="I34" s="7">
        <v>0</v>
      </c>
      <c r="J34" s="7"/>
      <c r="K34" s="1" t="s">
        <v>136</v>
      </c>
      <c r="L34" s="1" t="s">
        <v>207</v>
      </c>
    </row>
    <row r="35" spans="1:12" ht="21" customHeight="1">
      <c r="A35" s="5">
        <v>46268</v>
      </c>
      <c r="B35" s="7">
        <v>2772.89</v>
      </c>
      <c r="C35" s="7">
        <v>20663730</v>
      </c>
      <c r="D35" s="7">
        <v>3009.46</v>
      </c>
      <c r="E35" s="7">
        <v>2715.46</v>
      </c>
      <c r="F35" s="7">
        <v>3009.46</v>
      </c>
      <c r="G35" s="7">
        <v>2770.32</v>
      </c>
      <c r="H35" s="7">
        <v>0</v>
      </c>
      <c r="I35" s="7">
        <v>0</v>
      </c>
      <c r="J35" s="7"/>
      <c r="K35" s="1" t="s">
        <v>136</v>
      </c>
      <c r="L35" s="1" t="s">
        <v>208</v>
      </c>
    </row>
    <row r="36" spans="1:12" ht="21" customHeight="1">
      <c r="A36" s="5">
        <v>46269</v>
      </c>
      <c r="B36" s="7">
        <v>2707.45</v>
      </c>
      <c r="C36" s="7">
        <v>5144148</v>
      </c>
      <c r="D36" s="7">
        <v>2715.46</v>
      </c>
      <c r="E36" s="7">
        <v>2619.23</v>
      </c>
      <c r="F36" s="7">
        <v>2722.44</v>
      </c>
      <c r="G36" s="7">
        <v>2685.6</v>
      </c>
      <c r="H36" s="7">
        <v>0</v>
      </c>
      <c r="I36" s="7">
        <v>0</v>
      </c>
      <c r="J36" s="7"/>
      <c r="K36" s="1" t="s">
        <v>136</v>
      </c>
      <c r="L36" s="1" t="s">
        <v>209</v>
      </c>
    </row>
    <row r="37" spans="1:12" ht="21" customHeight="1">
      <c r="A37" s="5">
        <v>46272</v>
      </c>
      <c r="B37" s="7">
        <v>2762.2</v>
      </c>
      <c r="C37" s="7">
        <v>828660.88</v>
      </c>
      <c r="D37" s="7">
        <v>2619.23</v>
      </c>
      <c r="E37" s="7">
        <v>2619.23</v>
      </c>
      <c r="F37" s="7">
        <v>3006.1</v>
      </c>
      <c r="G37" s="7">
        <v>2619.23</v>
      </c>
      <c r="H37" s="7">
        <v>0</v>
      </c>
      <c r="I37" s="7">
        <v>0</v>
      </c>
      <c r="J37" s="7"/>
      <c r="K37" s="1" t="s">
        <v>136</v>
      </c>
      <c r="L37" s="1" t="s">
        <v>210</v>
      </c>
    </row>
    <row r="38" spans="1:12" ht="21" customHeight="1">
      <c r="A38" s="5">
        <v>46273</v>
      </c>
      <c r="B38" s="7">
        <v>2762.2</v>
      </c>
      <c r="C38" s="7">
        <v>0</v>
      </c>
      <c r="D38" s="7">
        <v>2619.23</v>
      </c>
      <c r="E38" s="7">
        <v>2619.23</v>
      </c>
      <c r="F38" s="7">
        <v>3006.1</v>
      </c>
      <c r="G38" s="7">
        <v>2619.23</v>
      </c>
      <c r="H38" s="7">
        <v>0</v>
      </c>
      <c r="I38" s="7">
        <v>0</v>
      </c>
      <c r="J38" s="7"/>
      <c r="K38" s="1" t="s">
        <v>136</v>
      </c>
      <c r="L38" s="1" t="s">
        <v>211</v>
      </c>
    </row>
    <row r="39" spans="1:12" ht="21" customHeight="1">
      <c r="A39" s="5">
        <v>46274</v>
      </c>
      <c r="B39" s="7">
        <v>2762.2</v>
      </c>
      <c r="C39" s="7">
        <v>0</v>
      </c>
      <c r="D39" s="7">
        <v>2619.23</v>
      </c>
      <c r="E39" s="7">
        <v>2792.55</v>
      </c>
      <c r="F39" s="7">
        <v>3006.1</v>
      </c>
      <c r="G39" s="7">
        <v>2619.23</v>
      </c>
      <c r="H39" s="7">
        <v>0</v>
      </c>
      <c r="I39" s="7">
        <v>0</v>
      </c>
      <c r="J39" s="7"/>
      <c r="K39" s="1" t="s">
        <v>136</v>
      </c>
      <c r="L39" s="1" t="s">
        <v>212</v>
      </c>
    </row>
    <row r="40" spans="1:12" ht="21" customHeight="1">
      <c r="A40" s="5">
        <v>46275</v>
      </c>
      <c r="B40" s="7">
        <v>2828.59</v>
      </c>
      <c r="C40" s="7">
        <v>2525594.5</v>
      </c>
      <c r="D40" s="7">
        <v>2792.55</v>
      </c>
      <c r="E40" s="7">
        <v>2799.47</v>
      </c>
      <c r="F40" s="7">
        <v>2828.59</v>
      </c>
      <c r="G40" s="7">
        <v>2792.55</v>
      </c>
      <c r="H40" s="7">
        <v>0</v>
      </c>
      <c r="I40" s="7">
        <v>0</v>
      </c>
      <c r="J40" s="7"/>
      <c r="K40" s="1" t="s">
        <v>136</v>
      </c>
      <c r="L40" s="1" t="s">
        <v>213</v>
      </c>
    </row>
    <row r="41" spans="1:12" ht="21" customHeight="1">
      <c r="A41" s="5">
        <v>46276</v>
      </c>
      <c r="B41" s="7">
        <v>2799.47</v>
      </c>
      <c r="C41" s="7">
        <v>559893.38</v>
      </c>
      <c r="D41" s="7">
        <v>2799.47</v>
      </c>
      <c r="E41" s="7">
        <v>2624.82</v>
      </c>
      <c r="F41" s="7">
        <v>0</v>
      </c>
      <c r="G41" s="7">
        <v>0</v>
      </c>
      <c r="H41" s="7">
        <v>0</v>
      </c>
      <c r="I41" s="7">
        <v>0</v>
      </c>
      <c r="J41" s="7"/>
      <c r="K41" s="1" t="s">
        <v>136</v>
      </c>
      <c r="L41" s="1" t="s">
        <v>214</v>
      </c>
    </row>
    <row r="42" spans="1:12" ht="21" customHeight="1">
      <c r="A42" s="5">
        <v>46279</v>
      </c>
      <c r="B42" s="7">
        <v>2624.82</v>
      </c>
      <c r="C42" s="7">
        <v>524963.18999999994</v>
      </c>
      <c r="D42" s="7">
        <v>2624.82</v>
      </c>
      <c r="E42" s="7">
        <v>2418.17</v>
      </c>
      <c r="F42" s="7">
        <v>0</v>
      </c>
      <c r="G42" s="7">
        <v>0</v>
      </c>
      <c r="H42" s="7">
        <v>0</v>
      </c>
      <c r="I42" s="7">
        <v>0</v>
      </c>
      <c r="J42" s="7"/>
      <c r="K42" s="1" t="s">
        <v>136</v>
      </c>
      <c r="L42" s="1" t="s">
        <v>215</v>
      </c>
    </row>
    <row r="43" spans="1:12" ht="21" customHeight="1">
      <c r="A43" s="5">
        <v>46280</v>
      </c>
      <c r="B43" s="7">
        <v>2422</v>
      </c>
      <c r="C43" s="7">
        <v>1446295</v>
      </c>
      <c r="D43" s="7">
        <v>2418.17</v>
      </c>
      <c r="E43" s="7">
        <v>2418.17</v>
      </c>
      <c r="F43" s="7">
        <v>2418.17</v>
      </c>
      <c r="G43" s="7">
        <v>2391.3000000000002</v>
      </c>
      <c r="H43" s="7">
        <v>0</v>
      </c>
      <c r="I43" s="7">
        <v>0</v>
      </c>
      <c r="J43" s="7"/>
      <c r="K43" s="1" t="s">
        <v>136</v>
      </c>
      <c r="L43" s="1" t="s">
        <v>216</v>
      </c>
    </row>
    <row r="44" spans="1:12" ht="21" customHeight="1">
      <c r="A44" s="5">
        <v>46281</v>
      </c>
      <c r="B44" s="7">
        <v>2422</v>
      </c>
      <c r="C44" s="7">
        <v>0</v>
      </c>
      <c r="D44" s="7">
        <v>2418.17</v>
      </c>
      <c r="E44" s="7">
        <v>2196.92</v>
      </c>
      <c r="F44" s="7">
        <v>2418.17</v>
      </c>
      <c r="G44" s="7">
        <v>2391.3000000000002</v>
      </c>
      <c r="H44" s="7">
        <v>0</v>
      </c>
      <c r="I44" s="7">
        <v>0</v>
      </c>
      <c r="J44" s="7"/>
      <c r="K44" s="1" t="s">
        <v>136</v>
      </c>
      <c r="L44" s="1" t="s">
        <v>217</v>
      </c>
    </row>
    <row r="45" spans="1:12" ht="21" customHeight="1">
      <c r="A45" s="5">
        <v>46255</v>
      </c>
      <c r="B45" s="7">
        <v>2191.92</v>
      </c>
      <c r="C45" s="7">
        <v>878768</v>
      </c>
      <c r="D45" s="7">
        <v>2196.92</v>
      </c>
      <c r="E45" s="7">
        <v>2196.92</v>
      </c>
      <c r="F45" s="7">
        <v>2196.92</v>
      </c>
      <c r="G45" s="7">
        <v>2196.92</v>
      </c>
      <c r="H45" s="7">
        <v>0</v>
      </c>
      <c r="I45" s="7">
        <v>0</v>
      </c>
      <c r="J45" s="7"/>
      <c r="K45" s="1" t="s">
        <v>134</v>
      </c>
      <c r="L45" s="1" t="s">
        <v>218</v>
      </c>
    </row>
    <row r="46" spans="1:12" ht="21" customHeight="1">
      <c r="A46" s="5">
        <v>46258</v>
      </c>
      <c r="B46" s="7">
        <v>2195.25</v>
      </c>
      <c r="C46" s="7">
        <v>0</v>
      </c>
      <c r="D46" s="7">
        <v>2196.92</v>
      </c>
      <c r="E46" s="7">
        <v>2493.23</v>
      </c>
      <c r="F46" s="7">
        <v>2196.92</v>
      </c>
      <c r="G46" s="7">
        <v>2196.92</v>
      </c>
      <c r="H46" s="7">
        <v>0</v>
      </c>
      <c r="I46" s="7">
        <v>0</v>
      </c>
      <c r="J46" s="7"/>
      <c r="K46" s="1" t="s">
        <v>134</v>
      </c>
      <c r="L46" s="1" t="s">
        <v>219</v>
      </c>
    </row>
    <row r="47" spans="1:12" ht="21" customHeight="1">
      <c r="A47" s="5">
        <v>46259</v>
      </c>
      <c r="B47" s="7">
        <v>2493.23</v>
      </c>
      <c r="C47" s="7">
        <v>498646</v>
      </c>
      <c r="D47" s="7">
        <v>2493.23</v>
      </c>
      <c r="E47" s="7">
        <v>2493.23</v>
      </c>
      <c r="F47" s="7">
        <v>0</v>
      </c>
      <c r="G47" s="7">
        <v>0</v>
      </c>
      <c r="H47" s="7">
        <v>0</v>
      </c>
      <c r="I47" s="7">
        <v>0</v>
      </c>
      <c r="J47" s="7"/>
      <c r="K47" s="1" t="s">
        <v>134</v>
      </c>
      <c r="L47" s="1" t="s">
        <v>220</v>
      </c>
    </row>
    <row r="48" spans="1:12" ht="21" customHeight="1">
      <c r="A48" s="5">
        <v>46260</v>
      </c>
      <c r="B48" s="7">
        <v>2493.23</v>
      </c>
      <c r="C48" s="7">
        <v>0</v>
      </c>
      <c r="D48" s="7">
        <v>2493.23</v>
      </c>
      <c r="E48" s="7">
        <v>2400.31</v>
      </c>
      <c r="F48" s="7">
        <v>2493.23</v>
      </c>
      <c r="G48" s="7">
        <v>2493.23</v>
      </c>
      <c r="H48" s="7">
        <v>0</v>
      </c>
      <c r="I48" s="7">
        <v>0</v>
      </c>
      <c r="J48" s="7"/>
      <c r="K48" s="1" t="s">
        <v>134</v>
      </c>
      <c r="L48" s="1" t="s">
        <v>221</v>
      </c>
    </row>
    <row r="49" spans="1:12" ht="21" customHeight="1">
      <c r="A49" s="5">
        <v>46261</v>
      </c>
      <c r="B49" s="7">
        <v>2400.31</v>
      </c>
      <c r="C49" s="7">
        <v>240031</v>
      </c>
      <c r="D49" s="7">
        <v>2400.31</v>
      </c>
      <c r="E49" s="7">
        <v>2400.31</v>
      </c>
      <c r="F49" s="7">
        <v>0</v>
      </c>
      <c r="G49" s="7">
        <v>0</v>
      </c>
      <c r="H49" s="7">
        <v>0</v>
      </c>
      <c r="I49" s="7">
        <v>0</v>
      </c>
      <c r="J49" s="7"/>
      <c r="K49" s="1" t="s">
        <v>134</v>
      </c>
      <c r="L49" s="1" t="s">
        <v>222</v>
      </c>
    </row>
    <row r="50" spans="1:12" ht="21" customHeight="1">
      <c r="A50" s="5">
        <v>46262</v>
      </c>
      <c r="B50" s="7">
        <v>2400.31</v>
      </c>
      <c r="C50" s="7">
        <v>0</v>
      </c>
      <c r="D50" s="7">
        <v>2400.31</v>
      </c>
      <c r="E50" s="7">
        <v>2384.7199999999998</v>
      </c>
      <c r="F50" s="7">
        <v>2400.31</v>
      </c>
      <c r="G50" s="7">
        <v>2400.31</v>
      </c>
      <c r="H50" s="7">
        <v>0</v>
      </c>
      <c r="I50" s="7">
        <v>0</v>
      </c>
      <c r="J50" s="7"/>
      <c r="K50" s="1" t="s">
        <v>134</v>
      </c>
      <c r="L50" s="1" t="s">
        <v>223</v>
      </c>
    </row>
    <row r="51" spans="1:12" ht="21" customHeight="1">
      <c r="A51" s="5">
        <v>46265</v>
      </c>
      <c r="B51" s="7">
        <v>2384.7199999999998</v>
      </c>
      <c r="C51" s="7">
        <v>476944.41</v>
      </c>
      <c r="D51" s="7">
        <v>2384.7199999999998</v>
      </c>
      <c r="E51" s="7">
        <v>2384.7199999999998</v>
      </c>
      <c r="F51" s="7">
        <v>0</v>
      </c>
      <c r="G51" s="7">
        <v>0</v>
      </c>
      <c r="H51" s="7">
        <v>0</v>
      </c>
      <c r="I51" s="7">
        <v>0</v>
      </c>
      <c r="J51" s="7"/>
      <c r="K51" s="1" t="s">
        <v>134</v>
      </c>
      <c r="L51" s="1" t="s">
        <v>224</v>
      </c>
    </row>
    <row r="52" spans="1:12" ht="21" customHeight="1">
      <c r="A52" s="5">
        <v>46266</v>
      </c>
      <c r="B52" s="7">
        <v>2384.7199999999998</v>
      </c>
      <c r="C52" s="7">
        <v>0</v>
      </c>
      <c r="D52" s="7">
        <v>2384.7199999999998</v>
      </c>
      <c r="E52" s="7">
        <v>2384.7199999999998</v>
      </c>
      <c r="F52" s="7">
        <v>2384.7199999999998</v>
      </c>
      <c r="G52" s="7">
        <v>2384.7199999999998</v>
      </c>
      <c r="H52" s="7">
        <v>0</v>
      </c>
      <c r="I52" s="7">
        <v>0</v>
      </c>
      <c r="J52" s="7"/>
      <c r="K52" s="1" t="s">
        <v>134</v>
      </c>
      <c r="L52" s="1" t="s">
        <v>225</v>
      </c>
    </row>
    <row r="53" spans="1:12" ht="21" customHeight="1">
      <c r="A53" s="5">
        <v>46267</v>
      </c>
      <c r="B53" s="7">
        <v>2384.7199999999998</v>
      </c>
      <c r="C53" s="7">
        <v>0</v>
      </c>
      <c r="D53" s="7">
        <v>2384.7199999999998</v>
      </c>
      <c r="E53" s="7">
        <v>2799.99</v>
      </c>
      <c r="F53" s="7">
        <v>2384.7199999999998</v>
      </c>
      <c r="G53" s="7">
        <v>2384.7199999999998</v>
      </c>
      <c r="H53" s="7">
        <v>0</v>
      </c>
      <c r="I53" s="7">
        <v>0</v>
      </c>
      <c r="J53" s="7"/>
      <c r="K53" s="1" t="s">
        <v>134</v>
      </c>
      <c r="L53" s="1" t="s">
        <v>226</v>
      </c>
    </row>
    <row r="54" spans="1:12" ht="21" customHeight="1">
      <c r="A54" s="5">
        <v>46268</v>
      </c>
      <c r="B54" s="7">
        <v>2581.0500000000002</v>
      </c>
      <c r="C54" s="7">
        <v>38763936</v>
      </c>
      <c r="D54" s="7">
        <v>2799.99</v>
      </c>
      <c r="E54" s="7">
        <v>2575.58</v>
      </c>
      <c r="F54" s="7">
        <v>2814.94</v>
      </c>
      <c r="G54" s="7">
        <v>2575.79</v>
      </c>
      <c r="H54" s="7">
        <v>0</v>
      </c>
      <c r="I54" s="7">
        <v>0</v>
      </c>
      <c r="J54" s="7"/>
      <c r="K54" s="1" t="s">
        <v>134</v>
      </c>
      <c r="L54" s="1" t="s">
        <v>227</v>
      </c>
    </row>
    <row r="55" spans="1:12" ht="21" customHeight="1">
      <c r="A55" s="5">
        <v>46269</v>
      </c>
      <c r="B55" s="7">
        <v>2502.92</v>
      </c>
      <c r="C55" s="7">
        <v>3050382</v>
      </c>
      <c r="D55" s="7">
        <v>2575.58</v>
      </c>
      <c r="E55" s="7">
        <v>2409.5100000000002</v>
      </c>
      <c r="F55" s="7">
        <v>2575.58</v>
      </c>
      <c r="G55" s="7">
        <v>2510.88</v>
      </c>
      <c r="H55" s="7">
        <v>0</v>
      </c>
      <c r="I55" s="7">
        <v>0</v>
      </c>
      <c r="J55" s="7"/>
      <c r="K55" s="1" t="s">
        <v>134</v>
      </c>
      <c r="L55" s="1" t="s">
        <v>228</v>
      </c>
    </row>
    <row r="56" spans="1:12" ht="21" customHeight="1">
      <c r="A56" s="5">
        <v>46272</v>
      </c>
      <c r="B56" s="7">
        <v>2499.7399999999998</v>
      </c>
      <c r="C56" s="7">
        <v>1240847</v>
      </c>
      <c r="D56" s="7">
        <v>2409.5100000000002</v>
      </c>
      <c r="E56" s="7">
        <v>2538.6</v>
      </c>
      <c r="F56" s="7">
        <v>2409.5100000000002</v>
      </c>
      <c r="G56" s="7">
        <v>2409.5100000000002</v>
      </c>
      <c r="H56" s="7">
        <v>0</v>
      </c>
      <c r="I56" s="7">
        <v>0</v>
      </c>
      <c r="J56" s="7"/>
      <c r="K56" s="1" t="s">
        <v>134</v>
      </c>
      <c r="L56" s="1" t="s">
        <v>229</v>
      </c>
    </row>
    <row r="57" spans="1:12" ht="21" customHeight="1">
      <c r="A57" s="5">
        <v>46273</v>
      </c>
      <c r="B57" s="7">
        <v>2453.9</v>
      </c>
      <c r="C57" s="7">
        <v>2521660</v>
      </c>
      <c r="D57" s="7">
        <v>2538.6</v>
      </c>
      <c r="E57" s="7">
        <v>2483.73</v>
      </c>
      <c r="F57" s="7">
        <v>2538.6</v>
      </c>
      <c r="G57" s="7">
        <v>2453.9</v>
      </c>
      <c r="H57" s="7">
        <v>0</v>
      </c>
      <c r="I57" s="7">
        <v>0</v>
      </c>
      <c r="J57" s="7"/>
      <c r="K57" s="1" t="s">
        <v>134</v>
      </c>
      <c r="L57" s="1" t="s">
        <v>230</v>
      </c>
    </row>
    <row r="58" spans="1:12" ht="21" customHeight="1">
      <c r="A58" s="5">
        <v>46274</v>
      </c>
      <c r="B58" s="7">
        <v>2550</v>
      </c>
      <c r="C58" s="7">
        <v>3203120</v>
      </c>
      <c r="D58" s="7">
        <v>2483.73</v>
      </c>
      <c r="E58" s="7">
        <v>2545.3000000000002</v>
      </c>
      <c r="F58" s="7">
        <v>2483.73</v>
      </c>
      <c r="G58" s="7">
        <v>2400</v>
      </c>
      <c r="H58" s="7">
        <v>0</v>
      </c>
      <c r="I58" s="7">
        <v>0</v>
      </c>
      <c r="J58" s="7"/>
      <c r="K58" s="1" t="s">
        <v>134</v>
      </c>
      <c r="L58" s="1" t="s">
        <v>231</v>
      </c>
    </row>
    <row r="59" spans="1:12" ht="21" customHeight="1">
      <c r="A59" s="5">
        <v>46275</v>
      </c>
      <c r="B59" s="7">
        <v>2650</v>
      </c>
      <c r="C59" s="7">
        <v>2099060.5</v>
      </c>
      <c r="D59" s="7">
        <v>2545.3000000000002</v>
      </c>
      <c r="E59" s="7">
        <v>2545.3000000000002</v>
      </c>
      <c r="F59" s="7">
        <v>2650</v>
      </c>
      <c r="G59" s="7">
        <v>2545.3000000000002</v>
      </c>
      <c r="H59" s="7">
        <v>0</v>
      </c>
      <c r="I59" s="7">
        <v>0</v>
      </c>
      <c r="J59" s="7"/>
      <c r="K59" s="1" t="s">
        <v>134</v>
      </c>
      <c r="L59" s="1" t="s">
        <v>232</v>
      </c>
    </row>
    <row r="60" spans="1:12" ht="21" customHeight="1">
      <c r="A60" s="5">
        <v>46276</v>
      </c>
      <c r="B60" s="7">
        <v>2650</v>
      </c>
      <c r="C60" s="7">
        <v>0</v>
      </c>
      <c r="D60" s="7">
        <v>2545.3000000000002</v>
      </c>
      <c r="E60" s="7">
        <v>2400</v>
      </c>
      <c r="F60" s="7">
        <v>2650</v>
      </c>
      <c r="G60" s="7">
        <v>2545.3000000000002</v>
      </c>
      <c r="H60" s="7">
        <v>0</v>
      </c>
      <c r="I60" s="7">
        <v>0</v>
      </c>
      <c r="J60" s="7"/>
      <c r="K60" s="1" t="s">
        <v>134</v>
      </c>
      <c r="L60" s="1" t="s">
        <v>233</v>
      </c>
    </row>
    <row r="61" spans="1:12" ht="21" customHeight="1">
      <c r="A61" s="5">
        <v>46279</v>
      </c>
      <c r="B61" s="7">
        <v>2400</v>
      </c>
      <c r="C61" s="7">
        <v>480000</v>
      </c>
      <c r="D61" s="7">
        <v>2400</v>
      </c>
      <c r="E61" s="7">
        <v>2252.2600000000002</v>
      </c>
      <c r="F61" s="7">
        <v>0</v>
      </c>
      <c r="G61" s="7">
        <v>0</v>
      </c>
      <c r="H61" s="7">
        <v>0</v>
      </c>
      <c r="I61" s="7">
        <v>0</v>
      </c>
      <c r="J61" s="7"/>
      <c r="K61" s="1" t="s">
        <v>134</v>
      </c>
      <c r="L61" s="1" t="s">
        <v>234</v>
      </c>
    </row>
    <row r="62" spans="1:12" ht="21" customHeight="1">
      <c r="A62" s="5">
        <v>46280</v>
      </c>
      <c r="B62" s="7">
        <v>2280.1</v>
      </c>
      <c r="C62" s="7">
        <v>27287726</v>
      </c>
      <c r="D62" s="7">
        <v>2252.2600000000002</v>
      </c>
      <c r="E62" s="7">
        <v>2252.2600000000002</v>
      </c>
      <c r="F62" s="7">
        <v>2265.16</v>
      </c>
      <c r="G62" s="7">
        <v>2200.39</v>
      </c>
      <c r="H62" s="7">
        <v>0</v>
      </c>
      <c r="I62" s="7">
        <v>0</v>
      </c>
      <c r="J62" s="7"/>
      <c r="K62" s="1" t="s">
        <v>134</v>
      </c>
      <c r="L62" s="1" t="s">
        <v>235</v>
      </c>
    </row>
    <row r="63" spans="1:12" ht="21" customHeight="1">
      <c r="A63" s="5">
        <v>46281</v>
      </c>
      <c r="B63" s="7">
        <v>2280.1</v>
      </c>
      <c r="C63" s="7">
        <v>0</v>
      </c>
      <c r="D63" s="7">
        <v>2252.2600000000002</v>
      </c>
      <c r="E63" s="7">
        <v>2323.19</v>
      </c>
      <c r="F63" s="7">
        <v>2265.16</v>
      </c>
      <c r="G63" s="7">
        <v>2200.39</v>
      </c>
      <c r="H63" s="7">
        <v>0</v>
      </c>
      <c r="I63" s="7">
        <v>0</v>
      </c>
      <c r="J63" s="7"/>
      <c r="K63" s="1" t="s">
        <v>134</v>
      </c>
      <c r="L63" s="1" t="s">
        <v>236</v>
      </c>
    </row>
    <row r="64" spans="1:12" ht="21" customHeight="1">
      <c r="A64" s="5">
        <v>46259</v>
      </c>
      <c r="B64" s="7">
        <v>2280</v>
      </c>
      <c r="C64" s="7">
        <v>464638</v>
      </c>
      <c r="D64" s="7">
        <v>2323.19</v>
      </c>
      <c r="E64" s="7">
        <v>2323.19</v>
      </c>
      <c r="F64" s="7">
        <v>2323.19</v>
      </c>
      <c r="G64" s="7">
        <v>2323.19</v>
      </c>
      <c r="H64" s="7">
        <v>0</v>
      </c>
      <c r="I64" s="7">
        <v>0</v>
      </c>
      <c r="J64" s="7"/>
      <c r="K64" s="1" t="s">
        <v>129</v>
      </c>
      <c r="L64" s="1" t="s">
        <v>237</v>
      </c>
    </row>
    <row r="65" spans="1:12" ht="21" customHeight="1">
      <c r="A65" s="5">
        <v>46260</v>
      </c>
      <c r="B65" s="7">
        <v>2280</v>
      </c>
      <c r="C65" s="7">
        <v>0</v>
      </c>
      <c r="D65" s="7">
        <v>2323.19</v>
      </c>
      <c r="E65" s="7">
        <v>2370.75</v>
      </c>
      <c r="F65" s="7">
        <v>2323.19</v>
      </c>
      <c r="G65" s="7">
        <v>2323.19</v>
      </c>
      <c r="H65" s="7">
        <v>0</v>
      </c>
      <c r="I65" s="7">
        <v>0</v>
      </c>
      <c r="J65" s="7"/>
      <c r="K65" s="1" t="s">
        <v>129</v>
      </c>
      <c r="L65" s="1" t="s">
        <v>238</v>
      </c>
    </row>
    <row r="66" spans="1:12" ht="21" customHeight="1">
      <c r="A66" s="5">
        <v>46261</v>
      </c>
      <c r="B66" s="7">
        <v>2186.6</v>
      </c>
      <c r="C66" s="7">
        <v>692810.38</v>
      </c>
      <c r="D66" s="7">
        <v>2370.75</v>
      </c>
      <c r="E66" s="7">
        <v>2104.21</v>
      </c>
      <c r="F66" s="7">
        <v>2370.75</v>
      </c>
      <c r="G66" s="7">
        <v>2370.75</v>
      </c>
      <c r="H66" s="7">
        <v>0</v>
      </c>
      <c r="I66" s="7">
        <v>0</v>
      </c>
      <c r="J66" s="7"/>
      <c r="K66" s="1" t="s">
        <v>129</v>
      </c>
      <c r="L66" s="1" t="s">
        <v>239</v>
      </c>
    </row>
    <row r="67" spans="1:12" ht="21" customHeight="1">
      <c r="A67" s="5">
        <v>46262</v>
      </c>
      <c r="B67" s="7">
        <v>2050</v>
      </c>
      <c r="C67" s="7">
        <v>2470841</v>
      </c>
      <c r="D67" s="7">
        <v>2104.21</v>
      </c>
      <c r="E67" s="7">
        <v>2104.21</v>
      </c>
      <c r="F67" s="7">
        <v>2104.21</v>
      </c>
      <c r="G67" s="7">
        <v>2050</v>
      </c>
      <c r="H67" s="7">
        <v>0</v>
      </c>
      <c r="I67" s="7">
        <v>0</v>
      </c>
      <c r="J67" s="7"/>
      <c r="K67" s="1" t="s">
        <v>129</v>
      </c>
      <c r="L67" s="1" t="s">
        <v>240</v>
      </c>
    </row>
    <row r="68" spans="1:12" ht="21" customHeight="1">
      <c r="A68" s="5">
        <v>46265</v>
      </c>
      <c r="B68" s="7">
        <v>2050</v>
      </c>
      <c r="C68" s="7">
        <v>0</v>
      </c>
      <c r="D68" s="7">
        <v>2104.21</v>
      </c>
      <c r="E68" s="7">
        <v>2375</v>
      </c>
      <c r="F68" s="7">
        <v>2104.21</v>
      </c>
      <c r="G68" s="7">
        <v>2050</v>
      </c>
      <c r="H68" s="7">
        <v>0</v>
      </c>
      <c r="I68" s="7">
        <v>0</v>
      </c>
      <c r="J68" s="7"/>
      <c r="K68" s="1" t="s">
        <v>129</v>
      </c>
      <c r="L68" s="1" t="s">
        <v>241</v>
      </c>
    </row>
    <row r="69" spans="1:12" ht="21" customHeight="1">
      <c r="A69" s="5">
        <v>46266</v>
      </c>
      <c r="B69" s="7">
        <v>2375</v>
      </c>
      <c r="C69" s="7">
        <v>475000</v>
      </c>
      <c r="D69" s="7">
        <v>2375</v>
      </c>
      <c r="E69" s="7">
        <v>2375</v>
      </c>
      <c r="F69" s="7">
        <v>0</v>
      </c>
      <c r="G69" s="7">
        <v>0</v>
      </c>
      <c r="H69" s="7">
        <v>0</v>
      </c>
      <c r="I69" s="7">
        <v>0</v>
      </c>
      <c r="J69" s="7"/>
      <c r="K69" s="1" t="s">
        <v>129</v>
      </c>
      <c r="L69" s="1" t="s">
        <v>242</v>
      </c>
    </row>
    <row r="70" spans="1:12" ht="21" customHeight="1">
      <c r="A70" s="5">
        <v>46267</v>
      </c>
      <c r="B70" s="7">
        <v>2375</v>
      </c>
      <c r="C70" s="7">
        <v>0</v>
      </c>
      <c r="D70" s="7">
        <v>2375</v>
      </c>
      <c r="E70" s="7">
        <v>2375</v>
      </c>
      <c r="F70" s="7">
        <v>2375</v>
      </c>
      <c r="G70" s="7">
        <v>2375</v>
      </c>
      <c r="H70" s="7">
        <v>0</v>
      </c>
      <c r="I70" s="7">
        <v>0</v>
      </c>
      <c r="J70" s="7"/>
      <c r="K70" s="1" t="s">
        <v>129</v>
      </c>
      <c r="L70" s="1" t="s">
        <v>243</v>
      </c>
    </row>
    <row r="71" spans="1:12" ht="21" customHeight="1">
      <c r="A71" s="5">
        <v>46268</v>
      </c>
      <c r="B71" s="7">
        <v>2375</v>
      </c>
      <c r="C71" s="7">
        <v>0</v>
      </c>
      <c r="D71" s="7">
        <v>2375</v>
      </c>
      <c r="E71" s="7">
        <v>2375</v>
      </c>
      <c r="F71" s="7">
        <v>2375</v>
      </c>
      <c r="G71" s="7">
        <v>2375</v>
      </c>
      <c r="H71" s="7">
        <v>0</v>
      </c>
      <c r="I71" s="7">
        <v>0</v>
      </c>
      <c r="J71" s="7"/>
      <c r="K71" s="1" t="s">
        <v>129</v>
      </c>
      <c r="L71" s="1" t="s">
        <v>244</v>
      </c>
    </row>
    <row r="72" spans="1:12" ht="21" customHeight="1">
      <c r="A72" s="5">
        <v>46269</v>
      </c>
      <c r="B72" s="7">
        <v>2375</v>
      </c>
      <c r="C72" s="7">
        <v>0</v>
      </c>
      <c r="D72" s="7">
        <v>2375</v>
      </c>
      <c r="E72" s="7">
        <v>2261.21</v>
      </c>
      <c r="F72" s="7">
        <v>2375</v>
      </c>
      <c r="G72" s="7">
        <v>2375</v>
      </c>
      <c r="H72" s="7">
        <v>0</v>
      </c>
      <c r="I72" s="7">
        <v>0</v>
      </c>
      <c r="J72" s="7"/>
      <c r="K72" s="1" t="s">
        <v>129</v>
      </c>
      <c r="L72" s="1" t="s">
        <v>245</v>
      </c>
    </row>
    <row r="73" spans="1:12" ht="21" customHeight="1">
      <c r="A73" s="5">
        <v>46272</v>
      </c>
      <c r="B73" s="7">
        <v>2261.21</v>
      </c>
      <c r="C73" s="7">
        <v>452242.59</v>
      </c>
      <c r="D73" s="7">
        <v>2261.21</v>
      </c>
      <c r="E73" s="7">
        <v>2343.5500000000002</v>
      </c>
      <c r="F73" s="7">
        <v>0</v>
      </c>
      <c r="G73" s="7">
        <v>0</v>
      </c>
      <c r="H73" s="7">
        <v>0</v>
      </c>
      <c r="I73" s="7">
        <v>0</v>
      </c>
      <c r="J73" s="7"/>
      <c r="K73" s="1" t="s">
        <v>129</v>
      </c>
      <c r="L73" s="1" t="s">
        <v>246</v>
      </c>
    </row>
    <row r="74" spans="1:12" ht="21" customHeight="1">
      <c r="A74" s="5">
        <v>46273</v>
      </c>
      <c r="B74" s="7">
        <v>2347.98</v>
      </c>
      <c r="C74" s="7">
        <v>4226358</v>
      </c>
      <c r="D74" s="7">
        <v>2343.5500000000002</v>
      </c>
      <c r="E74" s="7">
        <v>2343.5500000000002</v>
      </c>
      <c r="F74" s="7">
        <v>2353.5100000000002</v>
      </c>
      <c r="G74" s="7">
        <v>2343.5500000000002</v>
      </c>
      <c r="H74" s="7">
        <v>0</v>
      </c>
      <c r="I74" s="7">
        <v>0</v>
      </c>
      <c r="J74" s="7"/>
      <c r="K74" s="1" t="s">
        <v>129</v>
      </c>
      <c r="L74" s="1" t="s">
        <v>247</v>
      </c>
    </row>
    <row r="75" spans="1:12" ht="21" customHeight="1">
      <c r="A75" s="5">
        <v>46274</v>
      </c>
      <c r="B75" s="7">
        <v>2347.98</v>
      </c>
      <c r="C75" s="7">
        <v>0</v>
      </c>
      <c r="D75" s="7">
        <v>2343.5500000000002</v>
      </c>
      <c r="E75" s="7">
        <v>2350.09</v>
      </c>
      <c r="F75" s="7">
        <v>2353.5100000000002</v>
      </c>
      <c r="G75" s="7">
        <v>2343.5500000000002</v>
      </c>
      <c r="H75" s="7">
        <v>0</v>
      </c>
      <c r="I75" s="7">
        <v>0</v>
      </c>
      <c r="J75" s="7"/>
      <c r="K75" s="1" t="s">
        <v>129</v>
      </c>
      <c r="L75" s="1" t="s">
        <v>248</v>
      </c>
    </row>
    <row r="76" spans="1:12" ht="21" customHeight="1">
      <c r="A76" s="5">
        <v>46275</v>
      </c>
      <c r="B76" s="7">
        <v>2425.7399999999998</v>
      </c>
      <c r="C76" s="7">
        <v>8959734</v>
      </c>
      <c r="D76" s="7">
        <v>2350.09</v>
      </c>
      <c r="E76" s="7">
        <v>2350.09</v>
      </c>
      <c r="F76" s="7">
        <v>2428.08</v>
      </c>
      <c r="G76" s="7">
        <v>2350.09</v>
      </c>
      <c r="H76" s="7">
        <v>0</v>
      </c>
      <c r="I76" s="7">
        <v>0</v>
      </c>
      <c r="J76" s="7"/>
      <c r="K76" s="1" t="s">
        <v>129</v>
      </c>
      <c r="L76" s="1" t="s">
        <v>249</v>
      </c>
    </row>
    <row r="77" spans="1:12" ht="21" customHeight="1">
      <c r="A77" s="5">
        <v>46276</v>
      </c>
      <c r="B77" s="7">
        <v>2425.7399999999998</v>
      </c>
      <c r="C77" s="7">
        <v>0</v>
      </c>
      <c r="D77" s="7">
        <v>2350.09</v>
      </c>
      <c r="E77" s="7">
        <v>2233.42</v>
      </c>
      <c r="F77" s="7">
        <v>2428.08</v>
      </c>
      <c r="G77" s="7">
        <v>2350.09</v>
      </c>
      <c r="H77" s="7">
        <v>0</v>
      </c>
      <c r="I77" s="7">
        <v>0</v>
      </c>
      <c r="J77" s="7"/>
      <c r="K77" s="1" t="s">
        <v>129</v>
      </c>
      <c r="L77" s="1" t="s">
        <v>250</v>
      </c>
    </row>
    <row r="78" spans="1:12" ht="21" customHeight="1">
      <c r="A78" s="5">
        <v>46279</v>
      </c>
      <c r="B78" s="7">
        <v>2235.08</v>
      </c>
      <c r="C78" s="7">
        <v>1341046</v>
      </c>
      <c r="D78" s="7">
        <v>2233.42</v>
      </c>
      <c r="E78" s="7">
        <v>2061.4299999999998</v>
      </c>
      <c r="F78" s="7">
        <v>2233.42</v>
      </c>
      <c r="G78" s="7">
        <v>2233.42</v>
      </c>
      <c r="H78" s="7">
        <v>0</v>
      </c>
      <c r="I78" s="7">
        <v>0</v>
      </c>
      <c r="J78" s="7"/>
      <c r="K78" s="1" t="s">
        <v>129</v>
      </c>
      <c r="L78" s="1" t="s">
        <v>251</v>
      </c>
    </row>
    <row r="79" spans="1:12" ht="21" customHeight="1">
      <c r="A79" s="5">
        <v>46280</v>
      </c>
      <c r="B79" s="7">
        <v>2084.21</v>
      </c>
      <c r="C79" s="7">
        <v>18354320</v>
      </c>
      <c r="D79" s="7">
        <v>2061.4299999999998</v>
      </c>
      <c r="E79" s="7">
        <v>2061.4299999999998</v>
      </c>
      <c r="F79" s="7">
        <v>2064.2800000000002</v>
      </c>
      <c r="G79" s="7">
        <v>2009.47</v>
      </c>
      <c r="H79" s="7">
        <v>0</v>
      </c>
      <c r="I79" s="7">
        <v>0</v>
      </c>
      <c r="J79" s="7"/>
      <c r="K79" s="1" t="s">
        <v>129</v>
      </c>
      <c r="L79" s="1" t="s">
        <v>252</v>
      </c>
    </row>
    <row r="80" spans="1:12" ht="21" customHeight="1">
      <c r="A80" s="5">
        <v>46281</v>
      </c>
      <c r="B80" s="7">
        <v>2084.21</v>
      </c>
      <c r="C80" s="7">
        <v>0</v>
      </c>
      <c r="D80" s="7">
        <v>2061.4299999999998</v>
      </c>
      <c r="E80" s="7">
        <v>2095.38</v>
      </c>
      <c r="F80" s="7">
        <v>2064.2800000000002</v>
      </c>
      <c r="G80" s="7">
        <v>2009.47</v>
      </c>
      <c r="H80" s="7">
        <v>0</v>
      </c>
      <c r="I80" s="7">
        <v>0</v>
      </c>
      <c r="J80" s="7"/>
      <c r="K80" s="1" t="s">
        <v>129</v>
      </c>
      <c r="L80" s="1" t="s">
        <v>253</v>
      </c>
    </row>
    <row r="81" spans="1:12" ht="21" customHeight="1">
      <c r="A81" s="5">
        <v>46259</v>
      </c>
      <c r="B81" s="7">
        <v>2100</v>
      </c>
      <c r="C81" s="7">
        <v>1467228</v>
      </c>
      <c r="D81" s="7">
        <v>2095.38</v>
      </c>
      <c r="E81" s="7">
        <v>2300</v>
      </c>
      <c r="F81" s="7">
        <v>2100</v>
      </c>
      <c r="G81" s="7">
        <v>2095.38</v>
      </c>
      <c r="H81" s="7">
        <v>0</v>
      </c>
      <c r="I81" s="7">
        <v>0</v>
      </c>
      <c r="J81" s="7"/>
      <c r="K81" s="1" t="s">
        <v>125</v>
      </c>
      <c r="L81" s="1" t="s">
        <v>254</v>
      </c>
    </row>
    <row r="82" spans="1:12" ht="21" customHeight="1">
      <c r="A82" s="5">
        <v>46260</v>
      </c>
      <c r="B82" s="7">
        <v>2232.7600000000002</v>
      </c>
      <c r="C82" s="7">
        <v>2937336</v>
      </c>
      <c r="D82" s="7">
        <v>2300</v>
      </c>
      <c r="E82" s="7">
        <v>2031.32</v>
      </c>
      <c r="F82" s="7">
        <v>2300</v>
      </c>
      <c r="G82" s="7">
        <v>2260</v>
      </c>
      <c r="H82" s="7">
        <v>0</v>
      </c>
      <c r="I82" s="7">
        <v>0</v>
      </c>
      <c r="J82" s="7"/>
      <c r="K82" s="1" t="s">
        <v>125</v>
      </c>
      <c r="L82" s="1" t="s">
        <v>255</v>
      </c>
    </row>
    <row r="83" spans="1:12" ht="21" customHeight="1">
      <c r="A83" s="5">
        <v>46261</v>
      </c>
      <c r="B83" s="7">
        <v>2030</v>
      </c>
      <c r="C83" s="7">
        <v>812264.19</v>
      </c>
      <c r="D83" s="7">
        <v>2031.32</v>
      </c>
      <c r="E83" s="7">
        <v>2000</v>
      </c>
      <c r="F83" s="7">
        <v>2031.32</v>
      </c>
      <c r="G83" s="7">
        <v>2031.32</v>
      </c>
      <c r="H83" s="7">
        <v>0</v>
      </c>
      <c r="I83" s="7">
        <v>0</v>
      </c>
      <c r="J83" s="7"/>
      <c r="K83" s="1" t="s">
        <v>125</v>
      </c>
      <c r="L83" s="1" t="s">
        <v>256</v>
      </c>
    </row>
    <row r="84" spans="1:12" ht="21" customHeight="1">
      <c r="A84" s="5">
        <v>46262</v>
      </c>
      <c r="B84" s="7">
        <v>1905</v>
      </c>
      <c r="C84" s="7">
        <v>11458460</v>
      </c>
      <c r="D84" s="7">
        <v>2000</v>
      </c>
      <c r="E84" s="7">
        <v>1997.87</v>
      </c>
      <c r="F84" s="7">
        <v>2000</v>
      </c>
      <c r="G84" s="7">
        <v>1864.8</v>
      </c>
      <c r="H84" s="7">
        <v>0</v>
      </c>
      <c r="I84" s="7">
        <v>0</v>
      </c>
      <c r="J84" s="7"/>
      <c r="K84" s="1" t="s">
        <v>125</v>
      </c>
      <c r="L84" s="1" t="s">
        <v>257</v>
      </c>
    </row>
    <row r="85" spans="1:12" ht="21" customHeight="1">
      <c r="A85" s="5">
        <v>46265</v>
      </c>
      <c r="B85" s="7">
        <v>1997.87</v>
      </c>
      <c r="C85" s="7">
        <v>399574.59</v>
      </c>
      <c r="D85" s="7">
        <v>1997.87</v>
      </c>
      <c r="E85" s="7">
        <v>2203.6</v>
      </c>
      <c r="F85" s="7">
        <v>0</v>
      </c>
      <c r="G85" s="7">
        <v>0</v>
      </c>
      <c r="H85" s="7">
        <v>0</v>
      </c>
      <c r="I85" s="7">
        <v>0</v>
      </c>
      <c r="J85" s="7"/>
      <c r="K85" s="1" t="s">
        <v>125</v>
      </c>
      <c r="L85" s="1" t="s">
        <v>258</v>
      </c>
    </row>
    <row r="86" spans="1:12" ht="21" customHeight="1">
      <c r="A86" s="5">
        <v>46266</v>
      </c>
      <c r="B86" s="7">
        <v>2180</v>
      </c>
      <c r="C86" s="7">
        <v>6172276.5</v>
      </c>
      <c r="D86" s="7">
        <v>2203.6</v>
      </c>
      <c r="E86" s="7">
        <v>2170</v>
      </c>
      <c r="F86" s="7">
        <v>2300</v>
      </c>
      <c r="G86" s="7">
        <v>2203.6</v>
      </c>
      <c r="H86" s="7">
        <v>0</v>
      </c>
      <c r="I86" s="7">
        <v>0</v>
      </c>
      <c r="J86" s="7"/>
      <c r="K86" s="1" t="s">
        <v>125</v>
      </c>
      <c r="L86" s="1" t="s">
        <v>259</v>
      </c>
    </row>
    <row r="87" spans="1:12" ht="21" customHeight="1">
      <c r="A87" s="5">
        <v>46267</v>
      </c>
      <c r="B87" s="7">
        <v>2170</v>
      </c>
      <c r="C87" s="7">
        <v>1302000</v>
      </c>
      <c r="D87" s="7">
        <v>2170</v>
      </c>
      <c r="E87" s="7">
        <v>2296.75</v>
      </c>
      <c r="F87" s="7">
        <v>2170</v>
      </c>
      <c r="G87" s="7">
        <v>2170</v>
      </c>
      <c r="H87" s="7">
        <v>0</v>
      </c>
      <c r="I87" s="7">
        <v>0</v>
      </c>
      <c r="J87" s="7"/>
      <c r="K87" s="1" t="s">
        <v>125</v>
      </c>
      <c r="L87" s="1" t="s">
        <v>260</v>
      </c>
    </row>
    <row r="88" spans="1:12" ht="21" customHeight="1">
      <c r="A88" s="5">
        <v>46268</v>
      </c>
      <c r="B88" s="7">
        <v>2221.63</v>
      </c>
      <c r="C88" s="7">
        <v>681513.19</v>
      </c>
      <c r="D88" s="7">
        <v>2296.75</v>
      </c>
      <c r="E88" s="7">
        <v>2133.58</v>
      </c>
      <c r="F88" s="7">
        <v>2296.75</v>
      </c>
      <c r="G88" s="7">
        <v>2296.75</v>
      </c>
      <c r="H88" s="7">
        <v>0</v>
      </c>
      <c r="I88" s="7">
        <v>0</v>
      </c>
      <c r="J88" s="7"/>
      <c r="K88" s="1" t="s">
        <v>125</v>
      </c>
      <c r="L88" s="1" t="s">
        <v>261</v>
      </c>
    </row>
    <row r="89" spans="1:12" ht="21" customHeight="1">
      <c r="A89" s="5">
        <v>46269</v>
      </c>
      <c r="B89" s="7">
        <v>2133.58</v>
      </c>
      <c r="C89" s="7">
        <v>213358</v>
      </c>
      <c r="D89" s="7">
        <v>2133.58</v>
      </c>
      <c r="E89" s="7">
        <v>2035.2</v>
      </c>
      <c r="F89" s="7">
        <v>0</v>
      </c>
      <c r="G89" s="7">
        <v>0</v>
      </c>
      <c r="H89" s="7">
        <v>0</v>
      </c>
      <c r="I89" s="7">
        <v>0</v>
      </c>
      <c r="J89" s="7"/>
      <c r="K89" s="1" t="s">
        <v>125</v>
      </c>
      <c r="L89" s="1" t="s">
        <v>262</v>
      </c>
    </row>
    <row r="90" spans="1:12" ht="21" customHeight="1">
      <c r="A90" s="5">
        <v>46272</v>
      </c>
      <c r="B90" s="7">
        <v>2094.25</v>
      </c>
      <c r="C90" s="7">
        <v>1046059</v>
      </c>
      <c r="D90" s="7">
        <v>2035.2</v>
      </c>
      <c r="E90" s="7">
        <v>2035.2</v>
      </c>
      <c r="F90" s="7">
        <v>2110.38</v>
      </c>
      <c r="G90" s="7">
        <v>2035.2</v>
      </c>
      <c r="H90" s="7">
        <v>0</v>
      </c>
      <c r="I90" s="7">
        <v>0</v>
      </c>
      <c r="J90" s="7"/>
      <c r="K90" s="1" t="s">
        <v>125</v>
      </c>
      <c r="L90" s="1" t="s">
        <v>263</v>
      </c>
    </row>
    <row r="91" spans="1:12" ht="21" customHeight="1">
      <c r="A91" s="5">
        <v>46273</v>
      </c>
      <c r="B91" s="7">
        <v>2094.25</v>
      </c>
      <c r="C91" s="7">
        <v>0</v>
      </c>
      <c r="D91" s="7">
        <v>2035.2</v>
      </c>
      <c r="E91" s="7">
        <v>2040</v>
      </c>
      <c r="F91" s="7">
        <v>2110.38</v>
      </c>
      <c r="G91" s="7">
        <v>2035.2</v>
      </c>
      <c r="H91" s="7">
        <v>0</v>
      </c>
      <c r="I91" s="7">
        <v>0</v>
      </c>
      <c r="J91" s="7"/>
      <c r="K91" s="1" t="s">
        <v>125</v>
      </c>
      <c r="L91" s="1" t="s">
        <v>264</v>
      </c>
    </row>
    <row r="92" spans="1:12" ht="21" customHeight="1">
      <c r="A92" s="5">
        <v>46274</v>
      </c>
      <c r="B92" s="7">
        <v>2047.78</v>
      </c>
      <c r="C92" s="7">
        <v>1842999.75</v>
      </c>
      <c r="D92" s="7">
        <v>2040</v>
      </c>
      <c r="E92" s="7">
        <v>2154.75</v>
      </c>
      <c r="F92" s="7">
        <v>2050</v>
      </c>
      <c r="G92" s="7">
        <v>2040</v>
      </c>
      <c r="H92" s="7">
        <v>0</v>
      </c>
      <c r="I92" s="7">
        <v>0</v>
      </c>
      <c r="J92" s="7"/>
      <c r="K92" s="1" t="s">
        <v>125</v>
      </c>
      <c r="L92" s="1" t="s">
        <v>265</v>
      </c>
    </row>
    <row r="93" spans="1:12" ht="21" customHeight="1">
      <c r="A93" s="5">
        <v>46275</v>
      </c>
      <c r="B93" s="7">
        <v>2248.1999999999998</v>
      </c>
      <c r="C93" s="7">
        <v>878331.69</v>
      </c>
      <c r="D93" s="7">
        <v>2154.75</v>
      </c>
      <c r="E93" s="7">
        <v>2154.75</v>
      </c>
      <c r="F93" s="7">
        <v>2225.61</v>
      </c>
      <c r="G93" s="7">
        <v>2154.75</v>
      </c>
      <c r="H93" s="7">
        <v>0</v>
      </c>
      <c r="I93" s="7">
        <v>0</v>
      </c>
      <c r="J93" s="7"/>
      <c r="K93" s="1" t="s">
        <v>125</v>
      </c>
      <c r="L93" s="1" t="s">
        <v>266</v>
      </c>
    </row>
    <row r="94" spans="1:12" ht="21" customHeight="1">
      <c r="A94" s="5">
        <v>46276</v>
      </c>
      <c r="B94" s="7">
        <v>2248.1999999999998</v>
      </c>
      <c r="C94" s="7">
        <v>0</v>
      </c>
      <c r="D94" s="7">
        <v>2154.75</v>
      </c>
      <c r="E94" s="7">
        <v>2154.75</v>
      </c>
      <c r="F94" s="7">
        <v>2225.61</v>
      </c>
      <c r="G94" s="7">
        <v>2154.75</v>
      </c>
      <c r="H94" s="7">
        <v>0</v>
      </c>
      <c r="I94" s="7">
        <v>0</v>
      </c>
      <c r="J94" s="7"/>
      <c r="K94" s="1" t="s">
        <v>125</v>
      </c>
      <c r="L94" s="1" t="s">
        <v>267</v>
      </c>
    </row>
    <row r="95" spans="1:12" ht="21" customHeight="1">
      <c r="A95" s="5">
        <v>46279</v>
      </c>
      <c r="B95" s="7">
        <v>2248.1999999999998</v>
      </c>
      <c r="C95" s="7">
        <v>0</v>
      </c>
      <c r="D95" s="7">
        <v>2154.75</v>
      </c>
      <c r="E95" s="7">
        <v>1840.71</v>
      </c>
      <c r="F95" s="7">
        <v>2225.61</v>
      </c>
      <c r="G95" s="7">
        <v>2154.75</v>
      </c>
      <c r="H95" s="7">
        <v>0</v>
      </c>
      <c r="I95" s="7">
        <v>0</v>
      </c>
      <c r="J95" s="7"/>
      <c r="K95" s="1" t="s">
        <v>125</v>
      </c>
      <c r="L95" s="1" t="s">
        <v>268</v>
      </c>
    </row>
    <row r="96" spans="1:12" ht="21" customHeight="1">
      <c r="A96" s="5">
        <v>46280</v>
      </c>
      <c r="B96" s="7">
        <v>1851</v>
      </c>
      <c r="C96" s="7">
        <v>2212747.25</v>
      </c>
      <c r="D96" s="7">
        <v>1840.71</v>
      </c>
      <c r="E96" s="7">
        <v>1808.85</v>
      </c>
      <c r="F96" s="7">
        <v>1848.45</v>
      </c>
      <c r="G96" s="7">
        <v>1840.71</v>
      </c>
      <c r="H96" s="7">
        <v>0</v>
      </c>
      <c r="I96" s="7">
        <v>0</v>
      </c>
      <c r="J96" s="7"/>
      <c r="K96" s="1" t="s">
        <v>125</v>
      </c>
      <c r="L96" s="1" t="s">
        <v>269</v>
      </c>
    </row>
    <row r="97" spans="1:12" ht="21" customHeight="1">
      <c r="A97" s="5">
        <v>46281</v>
      </c>
      <c r="B97" s="7">
        <v>1808.85</v>
      </c>
      <c r="C97" s="7">
        <v>361770.59</v>
      </c>
      <c r="D97" s="7">
        <v>1808.85</v>
      </c>
      <c r="E97" s="7">
        <v>1600</v>
      </c>
      <c r="F97" s="7">
        <v>0</v>
      </c>
      <c r="G97" s="7">
        <v>0</v>
      </c>
      <c r="H97" s="7">
        <v>0</v>
      </c>
      <c r="I97" s="7">
        <v>0</v>
      </c>
      <c r="J97" s="7"/>
      <c r="K97" s="1" t="s">
        <v>125</v>
      </c>
      <c r="L97" s="1" t="s">
        <v>270</v>
      </c>
    </row>
    <row r="98" spans="1:12" ht="21" customHeight="1">
      <c r="A98" s="5">
        <v>46255</v>
      </c>
      <c r="B98" s="7">
        <v>1712</v>
      </c>
      <c r="C98" s="7">
        <v>331200</v>
      </c>
      <c r="D98" s="7">
        <v>1600</v>
      </c>
      <c r="E98" s="7">
        <v>1856.75</v>
      </c>
      <c r="F98" s="7">
        <v>1600</v>
      </c>
      <c r="G98" s="7">
        <v>1600</v>
      </c>
      <c r="H98" s="7">
        <v>0</v>
      </c>
      <c r="I98" s="7">
        <v>0</v>
      </c>
      <c r="J98" s="7"/>
      <c r="K98" s="1" t="s">
        <v>123</v>
      </c>
      <c r="L98" s="1" t="s">
        <v>271</v>
      </c>
    </row>
    <row r="99" spans="1:12" ht="21" customHeight="1">
      <c r="A99" s="5">
        <v>46258</v>
      </c>
      <c r="B99" s="7">
        <v>1962</v>
      </c>
      <c r="C99" s="7">
        <v>567549.81000000006</v>
      </c>
      <c r="D99" s="7">
        <v>1856.75</v>
      </c>
      <c r="E99" s="7">
        <v>1888.46</v>
      </c>
      <c r="F99" s="7">
        <v>1856.75</v>
      </c>
      <c r="G99" s="7">
        <v>1856.75</v>
      </c>
      <c r="H99" s="7">
        <v>0</v>
      </c>
      <c r="I99" s="7">
        <v>0</v>
      </c>
      <c r="J99" s="7"/>
      <c r="K99" s="1" t="s">
        <v>123</v>
      </c>
      <c r="L99" s="1" t="s">
        <v>272</v>
      </c>
    </row>
    <row r="100" spans="1:12" ht="21" customHeight="1">
      <c r="A100" s="5">
        <v>46259</v>
      </c>
      <c r="B100" s="7">
        <v>1953.12</v>
      </c>
      <c r="C100" s="7">
        <v>40872712</v>
      </c>
      <c r="D100" s="7">
        <v>1888.46</v>
      </c>
      <c r="E100" s="7">
        <v>2165.4</v>
      </c>
      <c r="F100" s="7">
        <v>1958.63</v>
      </c>
      <c r="G100" s="7">
        <v>1888.46</v>
      </c>
      <c r="H100" s="7">
        <v>0</v>
      </c>
      <c r="I100" s="7">
        <v>0</v>
      </c>
      <c r="J100" s="7"/>
      <c r="K100" s="1" t="s">
        <v>123</v>
      </c>
      <c r="L100" s="1" t="s">
        <v>273</v>
      </c>
    </row>
    <row r="101" spans="1:12" ht="21" customHeight="1">
      <c r="A101" s="5">
        <v>46260</v>
      </c>
      <c r="B101" s="7">
        <v>1981.15</v>
      </c>
      <c r="C101" s="7">
        <v>8594971</v>
      </c>
      <c r="D101" s="7">
        <v>2165.4</v>
      </c>
      <c r="E101" s="7">
        <v>1989.33</v>
      </c>
      <c r="F101" s="7">
        <v>2165.4</v>
      </c>
      <c r="G101" s="7">
        <v>1989.77</v>
      </c>
      <c r="H101" s="7">
        <v>0</v>
      </c>
      <c r="I101" s="7">
        <v>0</v>
      </c>
      <c r="J101" s="7"/>
      <c r="K101" s="1" t="s">
        <v>123</v>
      </c>
      <c r="L101" s="1" t="s">
        <v>274</v>
      </c>
    </row>
    <row r="102" spans="1:12" ht="21" customHeight="1">
      <c r="A102" s="5">
        <v>46261</v>
      </c>
      <c r="B102" s="7">
        <v>1861.9</v>
      </c>
      <c r="C102" s="7">
        <v>11232893</v>
      </c>
      <c r="D102" s="7">
        <v>1989.33</v>
      </c>
      <c r="E102" s="7">
        <v>1810</v>
      </c>
      <c r="F102" s="7">
        <v>2040.3</v>
      </c>
      <c r="G102" s="7">
        <v>1858.73</v>
      </c>
      <c r="H102" s="7">
        <v>0</v>
      </c>
      <c r="I102" s="7">
        <v>0</v>
      </c>
      <c r="J102" s="7"/>
      <c r="K102" s="1" t="s">
        <v>123</v>
      </c>
      <c r="L102" s="1" t="s">
        <v>275</v>
      </c>
    </row>
    <row r="103" spans="1:12" ht="21" customHeight="1">
      <c r="A103" s="5">
        <v>46262</v>
      </c>
      <c r="B103" s="7">
        <v>1677.12</v>
      </c>
      <c r="C103" s="7">
        <v>2326423.25</v>
      </c>
      <c r="D103" s="7">
        <v>1810</v>
      </c>
      <c r="E103" s="7">
        <v>1810</v>
      </c>
      <c r="F103" s="7">
        <v>1810</v>
      </c>
      <c r="G103" s="7">
        <v>1810</v>
      </c>
      <c r="H103" s="7">
        <v>0</v>
      </c>
      <c r="I103" s="7">
        <v>0</v>
      </c>
      <c r="J103" s="7"/>
      <c r="K103" s="1" t="s">
        <v>123</v>
      </c>
      <c r="L103" s="1" t="s">
        <v>276</v>
      </c>
    </row>
    <row r="104" spans="1:12" ht="21" customHeight="1">
      <c r="A104" s="5">
        <v>46265</v>
      </c>
      <c r="B104" s="7">
        <v>1677.12</v>
      </c>
      <c r="C104" s="7">
        <v>0</v>
      </c>
      <c r="D104" s="7">
        <v>1810</v>
      </c>
      <c r="E104" s="7">
        <v>2000</v>
      </c>
      <c r="F104" s="7">
        <v>1810</v>
      </c>
      <c r="G104" s="7">
        <v>1810</v>
      </c>
      <c r="H104" s="7">
        <v>0</v>
      </c>
      <c r="I104" s="7">
        <v>0</v>
      </c>
      <c r="J104" s="7"/>
      <c r="K104" s="1" t="s">
        <v>123</v>
      </c>
      <c r="L104" s="1" t="s">
        <v>277</v>
      </c>
    </row>
    <row r="105" spans="1:12" ht="21" customHeight="1">
      <c r="A105" s="5">
        <v>46266</v>
      </c>
      <c r="B105" s="7">
        <v>1991.75</v>
      </c>
      <c r="C105" s="7">
        <v>11462760</v>
      </c>
      <c r="D105" s="7">
        <v>2000</v>
      </c>
      <c r="E105" s="7">
        <v>2000</v>
      </c>
      <c r="F105" s="7">
        <v>2044.31</v>
      </c>
      <c r="G105" s="7">
        <v>1988</v>
      </c>
      <c r="H105" s="7">
        <v>0</v>
      </c>
      <c r="I105" s="7">
        <v>0</v>
      </c>
      <c r="J105" s="7"/>
      <c r="K105" s="1" t="s">
        <v>123</v>
      </c>
      <c r="L105" s="1" t="s">
        <v>278</v>
      </c>
    </row>
    <row r="106" spans="1:12" ht="21" customHeight="1">
      <c r="A106" s="5">
        <v>46267</v>
      </c>
      <c r="B106" s="7">
        <v>1991.75</v>
      </c>
      <c r="C106" s="7">
        <v>0</v>
      </c>
      <c r="D106" s="7">
        <v>2000</v>
      </c>
      <c r="E106" s="7">
        <v>2078.4299999999998</v>
      </c>
      <c r="F106" s="7">
        <v>2044.31</v>
      </c>
      <c r="G106" s="7">
        <v>1988</v>
      </c>
      <c r="H106" s="7">
        <v>0</v>
      </c>
      <c r="I106" s="7">
        <v>0</v>
      </c>
      <c r="J106" s="7"/>
      <c r="K106" s="1" t="s">
        <v>123</v>
      </c>
      <c r="L106" s="1" t="s">
        <v>279</v>
      </c>
    </row>
    <row r="107" spans="1:12" ht="21" customHeight="1">
      <c r="A107" s="5">
        <v>46268</v>
      </c>
      <c r="B107" s="7">
        <v>2076.9299999999998</v>
      </c>
      <c r="C107" s="7">
        <v>2062511.75</v>
      </c>
      <c r="D107" s="7">
        <v>2078.4299999999998</v>
      </c>
      <c r="E107" s="7">
        <v>2078.4299999999998</v>
      </c>
      <c r="F107" s="7">
        <v>2102.98</v>
      </c>
      <c r="G107" s="7">
        <v>2027.11</v>
      </c>
      <c r="H107" s="7">
        <v>0</v>
      </c>
      <c r="I107" s="7">
        <v>0</v>
      </c>
      <c r="J107" s="7"/>
      <c r="K107" s="1" t="s">
        <v>123</v>
      </c>
      <c r="L107" s="1" t="s">
        <v>280</v>
      </c>
    </row>
    <row r="108" spans="1:12" ht="21" customHeight="1">
      <c r="A108" s="5">
        <v>46269</v>
      </c>
      <c r="B108" s="7">
        <v>2076.9299999999998</v>
      </c>
      <c r="C108" s="7">
        <v>0</v>
      </c>
      <c r="D108" s="7">
        <v>2078.4299999999998</v>
      </c>
      <c r="E108" s="7">
        <v>1840.52</v>
      </c>
      <c r="F108" s="7">
        <v>2102.98</v>
      </c>
      <c r="G108" s="7">
        <v>2027.11</v>
      </c>
      <c r="H108" s="7">
        <v>0</v>
      </c>
      <c r="I108" s="7">
        <v>0</v>
      </c>
      <c r="J108" s="7"/>
      <c r="K108" s="1" t="s">
        <v>123</v>
      </c>
      <c r="L108" s="1" t="s">
        <v>281</v>
      </c>
    </row>
    <row r="109" spans="1:12" ht="21" customHeight="1">
      <c r="A109" s="5">
        <v>46272</v>
      </c>
      <c r="B109" s="7">
        <v>1880.26</v>
      </c>
      <c r="C109" s="7">
        <v>3207227.25</v>
      </c>
      <c r="D109" s="7">
        <v>1840.52</v>
      </c>
      <c r="E109" s="7">
        <v>1840.52</v>
      </c>
      <c r="F109" s="7">
        <v>1925.73</v>
      </c>
      <c r="G109" s="7">
        <v>1840.52</v>
      </c>
      <c r="H109" s="7">
        <v>0</v>
      </c>
      <c r="I109" s="7">
        <v>0</v>
      </c>
      <c r="J109" s="7"/>
      <c r="K109" s="1" t="s">
        <v>123</v>
      </c>
      <c r="L109" s="1" t="s">
        <v>282</v>
      </c>
    </row>
    <row r="110" spans="1:12" ht="21" customHeight="1">
      <c r="A110" s="5">
        <v>46273</v>
      </c>
      <c r="B110" s="7">
        <v>1880.26</v>
      </c>
      <c r="C110" s="7">
        <v>0</v>
      </c>
      <c r="D110" s="7">
        <v>1840.52</v>
      </c>
      <c r="E110" s="7">
        <v>1833.77</v>
      </c>
      <c r="F110" s="7">
        <v>1925.73</v>
      </c>
      <c r="G110" s="7">
        <v>1840.52</v>
      </c>
      <c r="H110" s="7">
        <v>0</v>
      </c>
      <c r="I110" s="7">
        <v>0</v>
      </c>
      <c r="J110" s="7"/>
      <c r="K110" s="1" t="s">
        <v>123</v>
      </c>
      <c r="L110" s="1" t="s">
        <v>283</v>
      </c>
    </row>
    <row r="111" spans="1:12" ht="21" customHeight="1">
      <c r="A111" s="5">
        <v>46274</v>
      </c>
      <c r="B111" s="7">
        <v>1895.85</v>
      </c>
      <c r="C111" s="7">
        <v>745923.19</v>
      </c>
      <c r="D111" s="7">
        <v>1833.77</v>
      </c>
      <c r="E111" s="7">
        <v>1960.86</v>
      </c>
      <c r="F111" s="7">
        <v>1833.77</v>
      </c>
      <c r="G111" s="7">
        <v>1833.77</v>
      </c>
      <c r="H111" s="7">
        <v>0</v>
      </c>
      <c r="I111" s="7">
        <v>0</v>
      </c>
      <c r="J111" s="7"/>
      <c r="K111" s="1" t="s">
        <v>123</v>
      </c>
      <c r="L111" s="1" t="s">
        <v>284</v>
      </c>
    </row>
    <row r="112" spans="1:12" ht="21" customHeight="1">
      <c r="A112" s="5">
        <v>46275</v>
      </c>
      <c r="B112" s="7">
        <v>1992.7</v>
      </c>
      <c r="C112" s="7">
        <v>2208809.5</v>
      </c>
      <c r="D112" s="7">
        <v>1960.86</v>
      </c>
      <c r="E112" s="7">
        <v>1998.09</v>
      </c>
      <c r="F112" s="7">
        <v>2047.51</v>
      </c>
      <c r="G112" s="7">
        <v>1960.86</v>
      </c>
      <c r="H112" s="7">
        <v>0</v>
      </c>
      <c r="I112" s="7">
        <v>0</v>
      </c>
      <c r="J112" s="7"/>
      <c r="K112" s="1" t="s">
        <v>123</v>
      </c>
      <c r="L112" s="1" t="s">
        <v>285</v>
      </c>
    </row>
    <row r="113" spans="1:12" ht="21" customHeight="1">
      <c r="A113" s="5">
        <v>46276</v>
      </c>
      <c r="B113" s="7">
        <v>1998.09</v>
      </c>
      <c r="C113" s="7">
        <v>399617.81</v>
      </c>
      <c r="D113" s="7">
        <v>1998.09</v>
      </c>
      <c r="E113" s="7">
        <v>1998.09</v>
      </c>
      <c r="F113" s="7">
        <v>0</v>
      </c>
      <c r="G113" s="7">
        <v>0</v>
      </c>
      <c r="H113" s="7">
        <v>0</v>
      </c>
      <c r="I113" s="7">
        <v>0</v>
      </c>
      <c r="J113" s="7"/>
      <c r="K113" s="1" t="s">
        <v>123</v>
      </c>
      <c r="L113" s="1" t="s">
        <v>286</v>
      </c>
    </row>
    <row r="114" spans="1:12" ht="21" customHeight="1">
      <c r="A114" s="5">
        <v>46279</v>
      </c>
      <c r="B114" s="7">
        <v>1998.09</v>
      </c>
      <c r="C114" s="7">
        <v>0</v>
      </c>
      <c r="D114" s="7">
        <v>1998.09</v>
      </c>
      <c r="E114" s="7">
        <v>1653.01</v>
      </c>
      <c r="F114" s="7">
        <v>1998.09</v>
      </c>
      <c r="G114" s="7">
        <v>1998.09</v>
      </c>
      <c r="H114" s="7">
        <v>0</v>
      </c>
      <c r="I114" s="7">
        <v>0</v>
      </c>
      <c r="J114" s="7"/>
      <c r="K114" s="1" t="s">
        <v>123</v>
      </c>
      <c r="L114" s="1" t="s">
        <v>287</v>
      </c>
    </row>
    <row r="115" spans="1:12" ht="21" customHeight="1">
      <c r="A115" s="5">
        <v>46280</v>
      </c>
      <c r="B115" s="7">
        <v>1678.07</v>
      </c>
      <c r="C115" s="7">
        <v>503108.09</v>
      </c>
      <c r="D115" s="7">
        <v>1653.01</v>
      </c>
      <c r="E115" s="7">
        <v>1653.01</v>
      </c>
      <c r="F115" s="7">
        <v>1700</v>
      </c>
      <c r="G115" s="7">
        <v>1653.01</v>
      </c>
      <c r="H115" s="7">
        <v>0</v>
      </c>
      <c r="I115" s="7">
        <v>0</v>
      </c>
      <c r="J115" s="7"/>
      <c r="K115" s="1" t="s">
        <v>123</v>
      </c>
      <c r="L115" s="1" t="s">
        <v>288</v>
      </c>
    </row>
    <row r="116" spans="1:12" ht="21" customHeight="1">
      <c r="A116" s="5">
        <v>46281</v>
      </c>
      <c r="B116" s="7">
        <v>1678.07</v>
      </c>
      <c r="C116" s="7">
        <v>0</v>
      </c>
      <c r="D116" s="7">
        <v>1653.01</v>
      </c>
      <c r="E116" s="7">
        <v>1534</v>
      </c>
      <c r="F116" s="7">
        <v>1700</v>
      </c>
      <c r="G116" s="7">
        <v>1653.01</v>
      </c>
      <c r="H116" s="7">
        <v>0</v>
      </c>
      <c r="I116" s="7">
        <v>0</v>
      </c>
      <c r="J116" s="7"/>
      <c r="K116" s="1" t="s">
        <v>123</v>
      </c>
      <c r="L116" s="1" t="s">
        <v>289</v>
      </c>
    </row>
    <row r="117" spans="1:12" ht="21" customHeight="1">
      <c r="A117" s="5">
        <v>46255</v>
      </c>
      <c r="B117" s="7">
        <v>1534</v>
      </c>
      <c r="C117" s="7">
        <v>153400</v>
      </c>
      <c r="D117" s="7">
        <v>1534</v>
      </c>
      <c r="E117" s="7">
        <v>1667.76</v>
      </c>
      <c r="F117" s="7">
        <v>0</v>
      </c>
      <c r="G117" s="7">
        <v>0</v>
      </c>
      <c r="H117" s="7">
        <v>0</v>
      </c>
      <c r="I117" s="7">
        <v>0</v>
      </c>
      <c r="J117" s="7"/>
      <c r="K117" s="1" t="s">
        <v>119</v>
      </c>
      <c r="L117" s="1" t="s">
        <v>290</v>
      </c>
    </row>
    <row r="118" spans="1:12" ht="21" customHeight="1">
      <c r="A118" s="5">
        <v>46258</v>
      </c>
      <c r="B118" s="7">
        <v>1781.31</v>
      </c>
      <c r="C118" s="7">
        <v>7706996.5</v>
      </c>
      <c r="D118" s="7">
        <v>1667.76</v>
      </c>
      <c r="E118" s="7">
        <v>1706.71</v>
      </c>
      <c r="F118" s="7">
        <v>1778.96</v>
      </c>
      <c r="G118" s="7">
        <v>1667.76</v>
      </c>
      <c r="H118" s="7">
        <v>0</v>
      </c>
      <c r="I118" s="7">
        <v>0</v>
      </c>
      <c r="J118" s="7"/>
      <c r="K118" s="1" t="s">
        <v>119</v>
      </c>
      <c r="L118" s="1" t="s">
        <v>291</v>
      </c>
    </row>
    <row r="119" spans="1:12" ht="21" customHeight="1">
      <c r="A119" s="5">
        <v>46259</v>
      </c>
      <c r="B119" s="7">
        <v>1752.86</v>
      </c>
      <c r="C119" s="7">
        <v>75597752</v>
      </c>
      <c r="D119" s="7">
        <v>1706.71</v>
      </c>
      <c r="E119" s="7">
        <v>1706.71</v>
      </c>
      <c r="F119" s="7">
        <v>1766.86</v>
      </c>
      <c r="G119" s="7">
        <v>1697.73</v>
      </c>
      <c r="H119" s="7">
        <v>0</v>
      </c>
      <c r="I119" s="7">
        <v>0</v>
      </c>
      <c r="J119" s="7"/>
      <c r="K119" s="1" t="s">
        <v>119</v>
      </c>
      <c r="L119" s="1" t="s">
        <v>292</v>
      </c>
    </row>
    <row r="120" spans="1:12" ht="21" customHeight="1">
      <c r="A120" s="5">
        <v>46260</v>
      </c>
      <c r="B120" s="7">
        <v>1752.86</v>
      </c>
      <c r="C120" s="7">
        <v>0</v>
      </c>
      <c r="D120" s="7">
        <v>1706.71</v>
      </c>
      <c r="E120" s="7">
        <v>1802.64</v>
      </c>
      <c r="F120" s="7">
        <v>1766.86</v>
      </c>
      <c r="G120" s="7">
        <v>1697.73</v>
      </c>
      <c r="H120" s="7">
        <v>0</v>
      </c>
      <c r="I120" s="7">
        <v>0</v>
      </c>
      <c r="J120" s="7"/>
      <c r="K120" s="1" t="s">
        <v>119</v>
      </c>
      <c r="L120" s="1" t="s">
        <v>293</v>
      </c>
    </row>
    <row r="121" spans="1:12" ht="21" customHeight="1">
      <c r="A121" s="5">
        <v>46261</v>
      </c>
      <c r="B121" s="7">
        <v>1790.79</v>
      </c>
      <c r="C121" s="7">
        <v>3942097.5</v>
      </c>
      <c r="D121" s="7">
        <v>1802.64</v>
      </c>
      <c r="E121" s="7">
        <v>1610</v>
      </c>
      <c r="F121" s="7">
        <v>1803.24</v>
      </c>
      <c r="G121" s="7">
        <v>1778.33</v>
      </c>
      <c r="H121" s="7">
        <v>0</v>
      </c>
      <c r="I121" s="7">
        <v>0</v>
      </c>
      <c r="J121" s="7"/>
      <c r="K121" s="1" t="s">
        <v>119</v>
      </c>
      <c r="L121" s="1" t="s">
        <v>294</v>
      </c>
    </row>
    <row r="122" spans="1:12" ht="21" customHeight="1">
      <c r="A122" s="5">
        <v>46262</v>
      </c>
      <c r="B122" s="7">
        <v>1552.16</v>
      </c>
      <c r="C122" s="7">
        <v>3828404.75</v>
      </c>
      <c r="D122" s="7">
        <v>1610</v>
      </c>
      <c r="E122" s="7">
        <v>1616.01</v>
      </c>
      <c r="F122" s="7">
        <v>1610</v>
      </c>
      <c r="G122" s="7">
        <v>1489.86</v>
      </c>
      <c r="H122" s="7">
        <v>0</v>
      </c>
      <c r="I122" s="7">
        <v>0</v>
      </c>
      <c r="J122" s="7"/>
      <c r="K122" s="1" t="s">
        <v>119</v>
      </c>
      <c r="L122" s="1" t="s">
        <v>295</v>
      </c>
    </row>
    <row r="123" spans="1:12" ht="21" customHeight="1">
      <c r="A123" s="5">
        <v>46265</v>
      </c>
      <c r="B123" s="7">
        <v>1812</v>
      </c>
      <c r="C123" s="7">
        <v>2818746.75</v>
      </c>
      <c r="D123" s="7">
        <v>1616.01</v>
      </c>
      <c r="E123" s="7">
        <v>1700</v>
      </c>
      <c r="F123" s="7">
        <v>1812</v>
      </c>
      <c r="G123" s="7">
        <v>1616.01</v>
      </c>
      <c r="H123" s="7">
        <v>0</v>
      </c>
      <c r="I123" s="7">
        <v>0</v>
      </c>
      <c r="J123" s="7"/>
      <c r="K123" s="1" t="s">
        <v>119</v>
      </c>
      <c r="L123" s="1" t="s">
        <v>296</v>
      </c>
    </row>
    <row r="124" spans="1:12" ht="21" customHeight="1">
      <c r="A124" s="5">
        <v>46266</v>
      </c>
      <c r="B124" s="7">
        <v>1790</v>
      </c>
      <c r="C124" s="7">
        <v>2144391.25</v>
      </c>
      <c r="D124" s="7">
        <v>1700</v>
      </c>
      <c r="E124" s="7">
        <v>1700</v>
      </c>
      <c r="F124" s="7">
        <v>1822.64</v>
      </c>
      <c r="G124" s="7">
        <v>1700</v>
      </c>
      <c r="H124" s="7">
        <v>0</v>
      </c>
      <c r="I124" s="7">
        <v>0</v>
      </c>
      <c r="J124" s="7"/>
      <c r="K124" s="1" t="s">
        <v>119</v>
      </c>
      <c r="L124" s="1" t="s">
        <v>297</v>
      </c>
    </row>
    <row r="125" spans="1:12" ht="21" customHeight="1">
      <c r="A125" s="5">
        <v>46267</v>
      </c>
      <c r="B125" s="7">
        <v>1790</v>
      </c>
      <c r="C125" s="7">
        <v>0</v>
      </c>
      <c r="D125" s="7">
        <v>1700</v>
      </c>
      <c r="E125" s="7">
        <v>1887.49</v>
      </c>
      <c r="F125" s="7">
        <v>1822.64</v>
      </c>
      <c r="G125" s="7">
        <v>1700</v>
      </c>
      <c r="H125" s="7">
        <v>0</v>
      </c>
      <c r="I125" s="7">
        <v>0</v>
      </c>
      <c r="J125" s="7"/>
      <c r="K125" s="1" t="s">
        <v>119</v>
      </c>
      <c r="L125" s="1" t="s">
        <v>298</v>
      </c>
    </row>
    <row r="126" spans="1:12" ht="21" customHeight="1">
      <c r="A126" s="5">
        <v>46268</v>
      </c>
      <c r="B126" s="7">
        <v>1829.26</v>
      </c>
      <c r="C126" s="7">
        <v>24560736</v>
      </c>
      <c r="D126" s="7">
        <v>1887.49</v>
      </c>
      <c r="E126" s="7">
        <v>1680.06</v>
      </c>
      <c r="F126" s="7">
        <v>1911.9</v>
      </c>
      <c r="G126" s="7">
        <v>1788</v>
      </c>
      <c r="H126" s="7">
        <v>0</v>
      </c>
      <c r="I126" s="7">
        <v>0</v>
      </c>
      <c r="J126" s="7"/>
      <c r="K126" s="1" t="s">
        <v>119</v>
      </c>
      <c r="L126" s="1" t="s">
        <v>299</v>
      </c>
    </row>
    <row r="127" spans="1:12" ht="21" customHeight="1">
      <c r="A127" s="5">
        <v>46269</v>
      </c>
      <c r="B127" s="7">
        <v>1680.06</v>
      </c>
      <c r="C127" s="7">
        <v>168006.09</v>
      </c>
      <c r="D127" s="7">
        <v>1680.06</v>
      </c>
      <c r="E127" s="7">
        <v>1726.88</v>
      </c>
      <c r="F127" s="7">
        <v>0</v>
      </c>
      <c r="G127" s="7">
        <v>0</v>
      </c>
      <c r="H127" s="7">
        <v>0</v>
      </c>
      <c r="I127" s="7">
        <v>0</v>
      </c>
      <c r="J127" s="7"/>
      <c r="K127" s="1" t="s">
        <v>119</v>
      </c>
      <c r="L127" s="1" t="s">
        <v>300</v>
      </c>
    </row>
    <row r="128" spans="1:12" ht="21" customHeight="1">
      <c r="A128" s="5">
        <v>46272</v>
      </c>
      <c r="B128" s="7">
        <v>1636.72</v>
      </c>
      <c r="C128" s="7">
        <v>1697140.25</v>
      </c>
      <c r="D128" s="7">
        <v>1726.88</v>
      </c>
      <c r="E128" s="7">
        <v>1726.88</v>
      </c>
      <c r="F128" s="7">
        <v>1901.18</v>
      </c>
      <c r="G128" s="7">
        <v>1705.98</v>
      </c>
      <c r="H128" s="7">
        <v>0</v>
      </c>
      <c r="I128" s="7">
        <v>0</v>
      </c>
      <c r="J128" s="7"/>
      <c r="K128" s="1" t="s">
        <v>119</v>
      </c>
      <c r="L128" s="1" t="s">
        <v>301</v>
      </c>
    </row>
    <row r="129" spans="1:12" ht="21" customHeight="1">
      <c r="A129" s="5">
        <v>46273</v>
      </c>
      <c r="B129" s="7">
        <v>1636.72</v>
      </c>
      <c r="C129" s="7">
        <v>0</v>
      </c>
      <c r="D129" s="7">
        <v>1726.88</v>
      </c>
      <c r="E129" s="7">
        <v>1750</v>
      </c>
      <c r="F129" s="7">
        <v>1901.18</v>
      </c>
      <c r="G129" s="7">
        <v>1705.98</v>
      </c>
      <c r="H129" s="7">
        <v>0</v>
      </c>
      <c r="I129" s="7">
        <v>0</v>
      </c>
      <c r="J129" s="7"/>
      <c r="K129" s="1" t="s">
        <v>119</v>
      </c>
      <c r="L129" s="1" t="s">
        <v>302</v>
      </c>
    </row>
    <row r="130" spans="1:12" ht="21" customHeight="1">
      <c r="A130" s="5">
        <v>46274</v>
      </c>
      <c r="B130" s="7">
        <v>1750</v>
      </c>
      <c r="C130" s="7">
        <v>350000</v>
      </c>
      <c r="D130" s="7">
        <v>1750</v>
      </c>
      <c r="E130" s="7">
        <v>1768.14</v>
      </c>
      <c r="F130" s="7">
        <v>0</v>
      </c>
      <c r="G130" s="7">
        <v>0</v>
      </c>
      <c r="H130" s="7">
        <v>0</v>
      </c>
      <c r="I130" s="7">
        <v>0</v>
      </c>
      <c r="J130" s="7"/>
      <c r="K130" s="1" t="s">
        <v>119</v>
      </c>
      <c r="L130" s="1" t="s">
        <v>303</v>
      </c>
    </row>
    <row r="131" spans="1:12" ht="21" customHeight="1">
      <c r="A131" s="5">
        <v>46275</v>
      </c>
      <c r="B131" s="7">
        <v>1846.26</v>
      </c>
      <c r="C131" s="7">
        <v>6062021.5</v>
      </c>
      <c r="D131" s="7">
        <v>1768.14</v>
      </c>
      <c r="E131" s="7">
        <v>1800</v>
      </c>
      <c r="F131" s="7">
        <v>1899.43</v>
      </c>
      <c r="G131" s="7">
        <v>1768.14</v>
      </c>
      <c r="H131" s="7">
        <v>0</v>
      </c>
      <c r="I131" s="7">
        <v>0</v>
      </c>
      <c r="J131" s="7"/>
      <c r="K131" s="1" t="s">
        <v>119</v>
      </c>
      <c r="L131" s="1" t="s">
        <v>304</v>
      </c>
    </row>
    <row r="132" spans="1:12" ht="21" customHeight="1">
      <c r="A132" s="5">
        <v>46276</v>
      </c>
      <c r="B132" s="7">
        <v>1801.16</v>
      </c>
      <c r="C132" s="7">
        <v>720464.62</v>
      </c>
      <c r="D132" s="7">
        <v>1800</v>
      </c>
      <c r="E132" s="7">
        <v>1647</v>
      </c>
      <c r="F132" s="7">
        <v>1800</v>
      </c>
      <c r="G132" s="7">
        <v>1800</v>
      </c>
      <c r="H132" s="7">
        <v>0</v>
      </c>
      <c r="I132" s="7">
        <v>0</v>
      </c>
      <c r="J132" s="7"/>
      <c r="K132" s="1" t="s">
        <v>119</v>
      </c>
      <c r="L132" s="1" t="s">
        <v>305</v>
      </c>
    </row>
    <row r="133" spans="1:12" ht="21" customHeight="1">
      <c r="A133" s="5">
        <v>46279</v>
      </c>
      <c r="B133" s="7">
        <v>1616</v>
      </c>
      <c r="C133" s="7">
        <v>3268665</v>
      </c>
      <c r="D133" s="7">
        <v>1647</v>
      </c>
      <c r="E133" s="7">
        <v>1424.19</v>
      </c>
      <c r="F133" s="7">
        <v>1647</v>
      </c>
      <c r="G133" s="7">
        <v>1600</v>
      </c>
      <c r="H133" s="7">
        <v>0</v>
      </c>
      <c r="I133" s="7">
        <v>0</v>
      </c>
      <c r="J133" s="7"/>
      <c r="K133" s="1" t="s">
        <v>119</v>
      </c>
      <c r="L133" s="1" t="s">
        <v>306</v>
      </c>
    </row>
    <row r="134" spans="1:12" ht="21" customHeight="1">
      <c r="A134" s="5">
        <v>46280</v>
      </c>
      <c r="B134" s="7">
        <v>1470</v>
      </c>
      <c r="C134" s="7">
        <v>11837598</v>
      </c>
      <c r="D134" s="7">
        <v>1424.19</v>
      </c>
      <c r="E134" s="7">
        <v>1424.19</v>
      </c>
      <c r="F134" s="7">
        <v>1532.25</v>
      </c>
      <c r="G134" s="7">
        <v>1424.19</v>
      </c>
      <c r="H134" s="7">
        <v>0</v>
      </c>
      <c r="I134" s="7">
        <v>0</v>
      </c>
      <c r="J134" s="7"/>
      <c r="K134" s="1" t="s">
        <v>119</v>
      </c>
      <c r="L134" s="1" t="s">
        <v>307</v>
      </c>
    </row>
    <row r="135" spans="1:12" ht="21" customHeight="1">
      <c r="A135" s="5">
        <v>46281</v>
      </c>
      <c r="B135" s="7">
        <v>1470</v>
      </c>
      <c r="C135" s="7">
        <v>0</v>
      </c>
      <c r="D135" s="7">
        <v>1424.19</v>
      </c>
      <c r="E135" s="7">
        <v>1460.62</v>
      </c>
      <c r="F135" s="7">
        <v>1532.25</v>
      </c>
      <c r="G135" s="7">
        <v>1424.19</v>
      </c>
      <c r="H135" s="7">
        <v>0</v>
      </c>
      <c r="I135" s="7">
        <v>0</v>
      </c>
      <c r="J135" s="7"/>
      <c r="K135" s="1" t="s">
        <v>119</v>
      </c>
      <c r="L135" s="1" t="s">
        <v>308</v>
      </c>
    </row>
    <row r="136" spans="1:12" ht="21" customHeight="1">
      <c r="A136" s="5">
        <v>46258</v>
      </c>
      <c r="B136" s="7">
        <v>1460.62</v>
      </c>
      <c r="C136" s="7">
        <v>292123.81</v>
      </c>
      <c r="D136" s="7">
        <v>1460.62</v>
      </c>
      <c r="E136" s="7">
        <v>1566.63</v>
      </c>
      <c r="F136" s="7">
        <v>0</v>
      </c>
      <c r="G136" s="7">
        <v>0</v>
      </c>
      <c r="H136" s="7">
        <v>0</v>
      </c>
      <c r="I136" s="7">
        <v>0</v>
      </c>
      <c r="J136" s="7"/>
      <c r="K136" s="1" t="s">
        <v>114</v>
      </c>
      <c r="L136" s="1" t="s">
        <v>309</v>
      </c>
    </row>
    <row r="137" spans="1:12" ht="21" customHeight="1">
      <c r="A137" s="5">
        <v>46259</v>
      </c>
      <c r="B137" s="7">
        <v>1550.9</v>
      </c>
      <c r="C137" s="7">
        <v>465269.59</v>
      </c>
      <c r="D137" s="7">
        <v>1566.63</v>
      </c>
      <c r="E137" s="7">
        <v>1645</v>
      </c>
      <c r="F137" s="7">
        <v>1566.63</v>
      </c>
      <c r="G137" s="7">
        <v>1566.63</v>
      </c>
      <c r="H137" s="7">
        <v>0</v>
      </c>
      <c r="I137" s="7">
        <v>0</v>
      </c>
      <c r="J137" s="7"/>
      <c r="K137" s="1" t="s">
        <v>114</v>
      </c>
      <c r="L137" s="1" t="s">
        <v>310</v>
      </c>
    </row>
    <row r="138" spans="1:12" ht="21" customHeight="1">
      <c r="A138" s="5">
        <v>46260</v>
      </c>
      <c r="B138" s="7">
        <v>1645</v>
      </c>
      <c r="C138" s="7">
        <v>164500</v>
      </c>
      <c r="D138" s="7">
        <v>1645</v>
      </c>
      <c r="E138" s="7">
        <v>1622.66</v>
      </c>
      <c r="F138" s="7">
        <v>0</v>
      </c>
      <c r="G138" s="7">
        <v>0</v>
      </c>
      <c r="H138" s="7">
        <v>0</v>
      </c>
      <c r="I138" s="7">
        <v>0</v>
      </c>
      <c r="J138" s="7"/>
      <c r="K138" s="1" t="s">
        <v>114</v>
      </c>
      <c r="L138" s="1" t="s">
        <v>311</v>
      </c>
    </row>
    <row r="139" spans="1:12" ht="21" customHeight="1">
      <c r="A139" s="5">
        <v>46261</v>
      </c>
      <c r="B139" s="7">
        <v>1490.13</v>
      </c>
      <c r="C139" s="7">
        <v>2222197.5</v>
      </c>
      <c r="D139" s="7">
        <v>1622.66</v>
      </c>
      <c r="E139" s="7">
        <v>1311.48</v>
      </c>
      <c r="F139" s="7">
        <v>1622.66</v>
      </c>
      <c r="G139" s="7">
        <v>1599.64</v>
      </c>
      <c r="H139" s="7">
        <v>0</v>
      </c>
      <c r="I139" s="7">
        <v>0</v>
      </c>
      <c r="J139" s="7"/>
      <c r="K139" s="1" t="s">
        <v>114</v>
      </c>
      <c r="L139" s="1" t="s">
        <v>312</v>
      </c>
    </row>
    <row r="140" spans="1:12" ht="21" customHeight="1">
      <c r="A140" s="5">
        <v>46262</v>
      </c>
      <c r="B140" s="7">
        <v>1311.48</v>
      </c>
      <c r="C140" s="7">
        <v>262295.19</v>
      </c>
      <c r="D140" s="7">
        <v>1311.48</v>
      </c>
      <c r="E140" s="7">
        <v>1311.48</v>
      </c>
      <c r="F140" s="7">
        <v>0</v>
      </c>
      <c r="G140" s="7">
        <v>0</v>
      </c>
      <c r="H140" s="7">
        <v>0</v>
      </c>
      <c r="I140" s="7">
        <v>0</v>
      </c>
      <c r="J140" s="7"/>
      <c r="K140" s="1" t="s">
        <v>114</v>
      </c>
      <c r="L140" s="1" t="s">
        <v>313</v>
      </c>
    </row>
    <row r="141" spans="1:12" ht="21" customHeight="1">
      <c r="A141" s="5">
        <v>46265</v>
      </c>
      <c r="B141" s="7">
        <v>1311.48</v>
      </c>
      <c r="C141" s="7">
        <v>0</v>
      </c>
      <c r="D141" s="7">
        <v>1311.48</v>
      </c>
      <c r="E141" s="7">
        <v>1563</v>
      </c>
      <c r="F141" s="7">
        <v>1311.48</v>
      </c>
      <c r="G141" s="7">
        <v>1311.48</v>
      </c>
      <c r="H141" s="7">
        <v>0</v>
      </c>
      <c r="I141" s="7">
        <v>0</v>
      </c>
      <c r="J141" s="7"/>
      <c r="K141" s="1" t="s">
        <v>114</v>
      </c>
      <c r="L141" s="1" t="s">
        <v>314</v>
      </c>
    </row>
    <row r="142" spans="1:12" ht="21" customHeight="1">
      <c r="A142" s="5">
        <v>46266</v>
      </c>
      <c r="B142" s="7">
        <v>1600</v>
      </c>
      <c r="C142" s="7">
        <v>5124500</v>
      </c>
      <c r="D142" s="7">
        <v>1563</v>
      </c>
      <c r="E142" s="7">
        <v>1563</v>
      </c>
      <c r="F142" s="7">
        <v>1640</v>
      </c>
      <c r="G142" s="7">
        <v>1563</v>
      </c>
      <c r="H142" s="7">
        <v>0</v>
      </c>
      <c r="I142" s="7">
        <v>0</v>
      </c>
      <c r="J142" s="7"/>
      <c r="K142" s="1" t="s">
        <v>114</v>
      </c>
      <c r="L142" s="1" t="s">
        <v>315</v>
      </c>
    </row>
    <row r="143" spans="1:12" ht="21" customHeight="1">
      <c r="A143" s="5">
        <v>46267</v>
      </c>
      <c r="B143" s="7">
        <v>1600</v>
      </c>
      <c r="C143" s="7">
        <v>0</v>
      </c>
      <c r="D143" s="7">
        <v>1563</v>
      </c>
      <c r="E143" s="7">
        <v>1770.93</v>
      </c>
      <c r="F143" s="7">
        <v>1640</v>
      </c>
      <c r="G143" s="7">
        <v>1563</v>
      </c>
      <c r="H143" s="7">
        <v>0</v>
      </c>
      <c r="I143" s="7">
        <v>0</v>
      </c>
      <c r="J143" s="7"/>
      <c r="K143" s="1" t="s">
        <v>114</v>
      </c>
      <c r="L143" s="1" t="s">
        <v>316</v>
      </c>
    </row>
    <row r="144" spans="1:12" ht="21" customHeight="1">
      <c r="A144" s="5">
        <v>46268</v>
      </c>
      <c r="B144" s="7">
        <v>1600</v>
      </c>
      <c r="C144" s="7">
        <v>17176826</v>
      </c>
      <c r="D144" s="7">
        <v>1770.93</v>
      </c>
      <c r="E144" s="7">
        <v>1770.93</v>
      </c>
      <c r="F144" s="7">
        <v>1770.93</v>
      </c>
      <c r="G144" s="7">
        <v>1600</v>
      </c>
      <c r="H144" s="7">
        <v>0</v>
      </c>
      <c r="I144" s="7">
        <v>0</v>
      </c>
      <c r="J144" s="7"/>
      <c r="K144" s="1" t="s">
        <v>114</v>
      </c>
      <c r="L144" s="1" t="s">
        <v>317</v>
      </c>
    </row>
    <row r="145" spans="1:12" ht="21" customHeight="1">
      <c r="A145" s="5">
        <v>46269</v>
      </c>
      <c r="B145" s="7">
        <v>1600</v>
      </c>
      <c r="C145" s="7">
        <v>0</v>
      </c>
      <c r="D145" s="7">
        <v>1770.93</v>
      </c>
      <c r="E145" s="7">
        <v>1460.26</v>
      </c>
      <c r="F145" s="7">
        <v>1770.93</v>
      </c>
      <c r="G145" s="7">
        <v>1600</v>
      </c>
      <c r="H145" s="7">
        <v>0</v>
      </c>
      <c r="I145" s="7">
        <v>0</v>
      </c>
      <c r="J145" s="7"/>
      <c r="K145" s="1" t="s">
        <v>114</v>
      </c>
      <c r="L145" s="1" t="s">
        <v>318</v>
      </c>
    </row>
    <row r="146" spans="1:12" ht="21" customHeight="1">
      <c r="A146" s="5">
        <v>46272</v>
      </c>
      <c r="B146" s="7">
        <v>1500</v>
      </c>
      <c r="C146" s="7">
        <v>4102120.5</v>
      </c>
      <c r="D146" s="7">
        <v>1460.26</v>
      </c>
      <c r="E146" s="7">
        <v>1500</v>
      </c>
      <c r="F146" s="7">
        <v>1538.47</v>
      </c>
      <c r="G146" s="7">
        <v>1445.23</v>
      </c>
      <c r="H146" s="7">
        <v>0</v>
      </c>
      <c r="I146" s="7">
        <v>0</v>
      </c>
      <c r="J146" s="7"/>
      <c r="K146" s="1" t="s">
        <v>114</v>
      </c>
      <c r="L146" s="1" t="s">
        <v>319</v>
      </c>
    </row>
    <row r="147" spans="1:12" ht="21" customHeight="1">
      <c r="A147" s="5">
        <v>46273</v>
      </c>
      <c r="B147" s="7">
        <v>1490</v>
      </c>
      <c r="C147" s="7">
        <v>8490000</v>
      </c>
      <c r="D147" s="7">
        <v>1500</v>
      </c>
      <c r="E147" s="7">
        <v>1500</v>
      </c>
      <c r="F147" s="7">
        <v>1500</v>
      </c>
      <c r="G147" s="7">
        <v>1480</v>
      </c>
      <c r="H147" s="7">
        <v>0</v>
      </c>
      <c r="I147" s="7">
        <v>0</v>
      </c>
      <c r="J147" s="7"/>
      <c r="K147" s="1" t="s">
        <v>114</v>
      </c>
      <c r="L147" s="1" t="s">
        <v>320</v>
      </c>
    </row>
    <row r="148" spans="1:12" ht="21" customHeight="1">
      <c r="A148" s="5">
        <v>46274</v>
      </c>
      <c r="B148" s="7">
        <v>1490</v>
      </c>
      <c r="C148" s="7">
        <v>0</v>
      </c>
      <c r="D148" s="7">
        <v>1500</v>
      </c>
      <c r="E148" s="7">
        <v>1575.8</v>
      </c>
      <c r="F148" s="7">
        <v>1500</v>
      </c>
      <c r="G148" s="7">
        <v>1480</v>
      </c>
      <c r="H148" s="7">
        <v>0</v>
      </c>
      <c r="I148" s="7">
        <v>0</v>
      </c>
      <c r="J148" s="7"/>
      <c r="K148" s="1" t="s">
        <v>114</v>
      </c>
      <c r="L148" s="1" t="s">
        <v>321</v>
      </c>
    </row>
    <row r="149" spans="1:12" ht="21" customHeight="1">
      <c r="A149" s="5">
        <v>46275</v>
      </c>
      <c r="B149" s="7">
        <v>1600</v>
      </c>
      <c r="C149" s="7">
        <v>4385161</v>
      </c>
      <c r="D149" s="7">
        <v>1575.8</v>
      </c>
      <c r="E149" s="7">
        <v>1614.96</v>
      </c>
      <c r="F149" s="7">
        <v>1700</v>
      </c>
      <c r="G149" s="7">
        <v>1575.8</v>
      </c>
      <c r="H149" s="7">
        <v>0</v>
      </c>
      <c r="I149" s="7">
        <v>0</v>
      </c>
      <c r="J149" s="7"/>
      <c r="K149" s="1" t="s">
        <v>114</v>
      </c>
      <c r="L149" s="1" t="s">
        <v>322</v>
      </c>
    </row>
    <row r="150" spans="1:12" ht="21" customHeight="1">
      <c r="A150" s="5">
        <v>46276</v>
      </c>
      <c r="B150" s="7">
        <v>1490</v>
      </c>
      <c r="C150" s="7">
        <v>5163728.5</v>
      </c>
      <c r="D150" s="7">
        <v>1614.96</v>
      </c>
      <c r="E150" s="7">
        <v>1455</v>
      </c>
      <c r="F150" s="7">
        <v>1647.76</v>
      </c>
      <c r="G150" s="7">
        <v>1450</v>
      </c>
      <c r="H150" s="7">
        <v>0</v>
      </c>
      <c r="I150" s="7">
        <v>0</v>
      </c>
      <c r="J150" s="7"/>
      <c r="K150" s="1" t="s">
        <v>114</v>
      </c>
      <c r="L150" s="1" t="s">
        <v>323</v>
      </c>
    </row>
    <row r="151" spans="1:12" ht="21" customHeight="1">
      <c r="A151" s="5">
        <v>46279</v>
      </c>
      <c r="B151" s="7">
        <v>1455</v>
      </c>
      <c r="C151" s="7">
        <v>1455000</v>
      </c>
      <c r="D151" s="7">
        <v>1455</v>
      </c>
      <c r="E151" s="7">
        <v>1455</v>
      </c>
      <c r="F151" s="7">
        <v>1455</v>
      </c>
      <c r="G151" s="7">
        <v>1455</v>
      </c>
      <c r="H151" s="7">
        <v>0</v>
      </c>
      <c r="I151" s="7">
        <v>0</v>
      </c>
      <c r="J151" s="7"/>
      <c r="K151" s="1" t="s">
        <v>114</v>
      </c>
      <c r="L151" s="1" t="s">
        <v>324</v>
      </c>
    </row>
    <row r="152" spans="1:12" ht="21" customHeight="1">
      <c r="A152" s="5">
        <v>46280</v>
      </c>
      <c r="B152" s="7">
        <v>1455</v>
      </c>
      <c r="C152" s="7">
        <v>0</v>
      </c>
      <c r="D152" s="7">
        <v>1455</v>
      </c>
      <c r="E152" s="7">
        <v>1227.44</v>
      </c>
      <c r="F152" s="7">
        <v>1455</v>
      </c>
      <c r="G152" s="7">
        <v>1455</v>
      </c>
      <c r="H152" s="7">
        <v>0</v>
      </c>
      <c r="I152" s="7">
        <v>0</v>
      </c>
      <c r="J152" s="7"/>
      <c r="K152" s="1" t="s">
        <v>114</v>
      </c>
      <c r="L152" s="1" t="s">
        <v>325</v>
      </c>
    </row>
    <row r="153" spans="1:12" ht="21" customHeight="1">
      <c r="A153" s="5">
        <v>46281</v>
      </c>
      <c r="B153" s="7">
        <v>1233.1300000000001</v>
      </c>
      <c r="C153" s="7">
        <v>1870673.75</v>
      </c>
      <c r="D153" s="7">
        <v>1227.44</v>
      </c>
      <c r="E153" s="7">
        <v>1517.49</v>
      </c>
      <c r="F153" s="7">
        <v>1335.39</v>
      </c>
      <c r="G153" s="7">
        <v>1227.44</v>
      </c>
      <c r="H153" s="7">
        <v>0</v>
      </c>
      <c r="I153" s="7">
        <v>0</v>
      </c>
      <c r="J153" s="7"/>
      <c r="K153" s="1" t="s">
        <v>114</v>
      </c>
      <c r="L153" s="1" t="s">
        <v>326</v>
      </c>
    </row>
    <row r="154" spans="1:12" ht="21" customHeight="1">
      <c r="A154" s="5">
        <v>46268</v>
      </c>
      <c r="B154" s="7">
        <v>1490</v>
      </c>
      <c r="C154" s="7">
        <v>14665750</v>
      </c>
      <c r="D154" s="7">
        <v>1517.49</v>
      </c>
      <c r="E154" s="7">
        <v>1517.49</v>
      </c>
      <c r="F154" s="7">
        <v>1518</v>
      </c>
      <c r="G154" s="7">
        <v>1413</v>
      </c>
      <c r="H154" s="7">
        <v>0</v>
      </c>
      <c r="I154" s="7">
        <v>0</v>
      </c>
      <c r="J154" s="7"/>
      <c r="K154" s="1" t="s">
        <v>108</v>
      </c>
      <c r="L154" s="1" t="s">
        <v>327</v>
      </c>
    </row>
    <row r="155" spans="1:12" ht="21" customHeight="1">
      <c r="A155" s="5">
        <v>46269</v>
      </c>
      <c r="B155" s="7">
        <v>1490</v>
      </c>
      <c r="C155" s="7">
        <v>0</v>
      </c>
      <c r="D155" s="7">
        <v>1517.49</v>
      </c>
      <c r="E155" s="7">
        <v>1306.95</v>
      </c>
      <c r="F155" s="7">
        <v>1518</v>
      </c>
      <c r="G155" s="7">
        <v>1413</v>
      </c>
      <c r="H155" s="7">
        <v>0</v>
      </c>
      <c r="I155" s="7">
        <v>0</v>
      </c>
      <c r="J155" s="7"/>
      <c r="K155" s="1" t="s">
        <v>108</v>
      </c>
      <c r="L155" s="1" t="s">
        <v>328</v>
      </c>
    </row>
    <row r="156" spans="1:12" ht="21" customHeight="1">
      <c r="A156" s="5">
        <v>46272</v>
      </c>
      <c r="B156" s="7">
        <v>1330</v>
      </c>
      <c r="C156" s="7">
        <v>2134019</v>
      </c>
      <c r="D156" s="7">
        <v>1306.95</v>
      </c>
      <c r="E156" s="7">
        <v>1280</v>
      </c>
      <c r="F156" s="7">
        <v>1375.37</v>
      </c>
      <c r="G156" s="7">
        <v>1300.18</v>
      </c>
      <c r="H156" s="7">
        <v>0</v>
      </c>
      <c r="I156" s="7">
        <v>0</v>
      </c>
      <c r="J156" s="7"/>
      <c r="K156" s="1" t="s">
        <v>108</v>
      </c>
      <c r="L156" s="1" t="s">
        <v>329</v>
      </c>
    </row>
    <row r="157" spans="1:12" ht="21" customHeight="1">
      <c r="A157" s="5">
        <v>46273</v>
      </c>
      <c r="B157" s="7">
        <v>1310</v>
      </c>
      <c r="C157" s="7">
        <v>776913.62</v>
      </c>
      <c r="D157" s="7">
        <v>1280</v>
      </c>
      <c r="E157" s="7">
        <v>1285</v>
      </c>
      <c r="F157" s="7">
        <v>1310</v>
      </c>
      <c r="G157" s="7">
        <v>1277.08</v>
      </c>
      <c r="H157" s="7">
        <v>0</v>
      </c>
      <c r="I157" s="7">
        <v>0</v>
      </c>
      <c r="J157" s="7"/>
      <c r="K157" s="1" t="s">
        <v>108</v>
      </c>
      <c r="L157" s="1" t="s">
        <v>330</v>
      </c>
    </row>
    <row r="158" spans="1:12" ht="21" customHeight="1">
      <c r="A158" s="5">
        <v>46274</v>
      </c>
      <c r="B158" s="7">
        <v>1403.14</v>
      </c>
      <c r="C158" s="7">
        <v>7112980</v>
      </c>
      <c r="D158" s="7">
        <v>1285</v>
      </c>
      <c r="E158" s="7">
        <v>1384</v>
      </c>
      <c r="F158" s="7">
        <v>1285</v>
      </c>
      <c r="G158" s="7">
        <v>1265</v>
      </c>
      <c r="H158" s="7">
        <v>0</v>
      </c>
      <c r="I158" s="7">
        <v>0</v>
      </c>
      <c r="J158" s="7"/>
      <c r="K158" s="1" t="s">
        <v>108</v>
      </c>
      <c r="L158" s="1" t="s">
        <v>331</v>
      </c>
    </row>
    <row r="159" spans="1:12" ht="21" customHeight="1">
      <c r="A159" s="5">
        <v>46275</v>
      </c>
      <c r="B159" s="7">
        <v>1483.43</v>
      </c>
      <c r="C159" s="7">
        <v>12320064</v>
      </c>
      <c r="D159" s="7">
        <v>1384</v>
      </c>
      <c r="E159" s="7">
        <v>1450</v>
      </c>
      <c r="F159" s="7">
        <v>1510</v>
      </c>
      <c r="G159" s="7">
        <v>1384</v>
      </c>
      <c r="H159" s="7">
        <v>0</v>
      </c>
      <c r="I159" s="7">
        <v>0</v>
      </c>
      <c r="J159" s="7"/>
      <c r="K159" s="1" t="s">
        <v>108</v>
      </c>
      <c r="L159" s="1" t="s">
        <v>332</v>
      </c>
    </row>
    <row r="160" spans="1:12" ht="21" customHeight="1">
      <c r="A160" s="5">
        <v>46276</v>
      </c>
      <c r="B160" s="7">
        <v>1343.33</v>
      </c>
      <c r="C160" s="7">
        <v>14677796</v>
      </c>
      <c r="D160" s="7">
        <v>1450</v>
      </c>
      <c r="E160" s="7">
        <v>1337.15</v>
      </c>
      <c r="F160" s="7">
        <v>1459.88</v>
      </c>
      <c r="G160" s="7">
        <v>1330</v>
      </c>
      <c r="H160" s="7">
        <v>0</v>
      </c>
      <c r="I160" s="7">
        <v>0</v>
      </c>
      <c r="J160" s="7"/>
      <c r="K160" s="1" t="s">
        <v>108</v>
      </c>
      <c r="L160" s="1" t="s">
        <v>333</v>
      </c>
    </row>
    <row r="161" spans="1:12" ht="21" customHeight="1">
      <c r="A161" s="5">
        <v>46279</v>
      </c>
      <c r="B161" s="7">
        <v>1198.6500000000001</v>
      </c>
      <c r="C161" s="7">
        <v>18114076</v>
      </c>
      <c r="D161" s="7">
        <v>1337.15</v>
      </c>
      <c r="E161" s="7">
        <v>1337.15</v>
      </c>
      <c r="F161" s="7">
        <v>1337.15</v>
      </c>
      <c r="G161" s="7">
        <v>1163.54</v>
      </c>
      <c r="H161" s="7">
        <v>0</v>
      </c>
      <c r="I161" s="7">
        <v>0</v>
      </c>
      <c r="J161" s="7"/>
      <c r="K161" s="1" t="s">
        <v>108</v>
      </c>
      <c r="L161" s="1" t="s">
        <v>334</v>
      </c>
    </row>
    <row r="162" spans="1:12" ht="21" customHeight="1">
      <c r="A162" s="5">
        <v>46280</v>
      </c>
      <c r="B162" s="7">
        <v>1198.6500000000001</v>
      </c>
      <c r="C162" s="7">
        <v>0</v>
      </c>
      <c r="D162" s="7">
        <v>1337.15</v>
      </c>
      <c r="E162" s="7">
        <v>1059.3</v>
      </c>
      <c r="F162" s="7">
        <v>1337.15</v>
      </c>
      <c r="G162" s="7">
        <v>1163.54</v>
      </c>
      <c r="H162" s="7">
        <v>0</v>
      </c>
      <c r="I162" s="7">
        <v>0</v>
      </c>
      <c r="J162" s="7"/>
      <c r="K162" s="1" t="s">
        <v>108</v>
      </c>
      <c r="L162" s="1" t="s">
        <v>335</v>
      </c>
    </row>
    <row r="163" spans="1:12" ht="21" customHeight="1">
      <c r="A163" s="5">
        <v>46281</v>
      </c>
      <c r="B163" s="7">
        <v>1049.9000000000001</v>
      </c>
      <c r="C163" s="7">
        <v>1980739.25</v>
      </c>
      <c r="D163" s="7">
        <v>1059.3</v>
      </c>
      <c r="E163" s="7">
        <v>1000</v>
      </c>
      <c r="F163" s="7">
        <v>1142.92</v>
      </c>
      <c r="G163" s="7">
        <v>1059.3</v>
      </c>
      <c r="H163" s="7">
        <v>0</v>
      </c>
      <c r="I163" s="7">
        <v>0</v>
      </c>
      <c r="J163" s="7"/>
      <c r="K163" s="1" t="s">
        <v>108</v>
      </c>
      <c r="L163" s="1" t="s">
        <v>336</v>
      </c>
    </row>
    <row r="164" spans="1:12" ht="21" customHeight="1">
      <c r="A164" s="5">
        <v>46255</v>
      </c>
      <c r="B164" s="7">
        <v>995</v>
      </c>
      <c r="C164" s="7">
        <v>10241728</v>
      </c>
      <c r="D164" s="7">
        <v>1000</v>
      </c>
      <c r="E164" s="7">
        <v>995</v>
      </c>
      <c r="F164" s="7">
        <v>1019.18</v>
      </c>
      <c r="G164" s="7">
        <v>950</v>
      </c>
      <c r="H164" s="7">
        <v>0</v>
      </c>
      <c r="I164" s="7">
        <v>0</v>
      </c>
      <c r="J164" s="7"/>
      <c r="K164" s="1" t="s">
        <v>104</v>
      </c>
      <c r="L164" s="1" t="s">
        <v>337</v>
      </c>
    </row>
    <row r="165" spans="1:12" ht="21" customHeight="1">
      <c r="A165" s="5">
        <v>46258</v>
      </c>
      <c r="B165" s="7">
        <v>1350</v>
      </c>
      <c r="C165" s="7">
        <v>17557000</v>
      </c>
      <c r="D165" s="7">
        <v>995</v>
      </c>
      <c r="E165" s="7">
        <v>1200</v>
      </c>
      <c r="F165" s="7">
        <v>1248</v>
      </c>
      <c r="G165" s="7">
        <v>995</v>
      </c>
      <c r="H165" s="7">
        <v>0</v>
      </c>
      <c r="I165" s="7">
        <v>0</v>
      </c>
      <c r="J165" s="7"/>
      <c r="K165" s="1" t="s">
        <v>104</v>
      </c>
      <c r="L165" s="1" t="s">
        <v>338</v>
      </c>
    </row>
    <row r="166" spans="1:12" ht="21" customHeight="1">
      <c r="A166" s="5">
        <v>46259</v>
      </c>
      <c r="B166" s="7">
        <v>1200</v>
      </c>
      <c r="C166" s="7">
        <v>120000</v>
      </c>
      <c r="D166" s="7">
        <v>1200</v>
      </c>
      <c r="E166" s="7">
        <v>1400</v>
      </c>
      <c r="F166" s="7">
        <v>0</v>
      </c>
      <c r="G166" s="7">
        <v>0</v>
      </c>
      <c r="H166" s="7">
        <v>0</v>
      </c>
      <c r="I166" s="7">
        <v>0</v>
      </c>
      <c r="J166" s="7"/>
      <c r="K166" s="1" t="s">
        <v>104</v>
      </c>
      <c r="L166" s="1" t="s">
        <v>339</v>
      </c>
    </row>
    <row r="167" spans="1:12" ht="21" customHeight="1">
      <c r="A167" s="5">
        <v>46260</v>
      </c>
      <c r="B167" s="7">
        <v>1439.96</v>
      </c>
      <c r="C167" s="7">
        <v>283995.90999999997</v>
      </c>
      <c r="D167" s="7">
        <v>1400</v>
      </c>
      <c r="E167" s="7">
        <v>1200</v>
      </c>
      <c r="F167" s="7">
        <v>1400</v>
      </c>
      <c r="G167" s="7">
        <v>1400</v>
      </c>
      <c r="H167" s="7">
        <v>0</v>
      </c>
      <c r="I167" s="7">
        <v>0</v>
      </c>
      <c r="J167" s="7"/>
      <c r="K167" s="1" t="s">
        <v>104</v>
      </c>
      <c r="L167" s="1" t="s">
        <v>340</v>
      </c>
    </row>
    <row r="168" spans="1:12" ht="21" customHeight="1">
      <c r="A168" s="5">
        <v>46261</v>
      </c>
      <c r="B168" s="7">
        <v>1178.78</v>
      </c>
      <c r="C168" s="7">
        <v>5776001</v>
      </c>
      <c r="D168" s="7">
        <v>1200</v>
      </c>
      <c r="E168" s="7">
        <v>1200</v>
      </c>
      <c r="F168" s="7">
        <v>1200</v>
      </c>
      <c r="G168" s="7">
        <v>1165</v>
      </c>
      <c r="H168" s="7">
        <v>0</v>
      </c>
      <c r="I168" s="7">
        <v>0</v>
      </c>
      <c r="J168" s="7"/>
      <c r="K168" s="1" t="s">
        <v>104</v>
      </c>
      <c r="L168" s="1" t="s">
        <v>341</v>
      </c>
    </row>
    <row r="169" spans="1:12" ht="21" customHeight="1">
      <c r="A169" s="5">
        <v>46262</v>
      </c>
      <c r="B169" s="7">
        <v>1178.78</v>
      </c>
      <c r="C169" s="7">
        <v>0</v>
      </c>
      <c r="D169" s="7">
        <v>1200</v>
      </c>
      <c r="E169" s="7">
        <v>1300</v>
      </c>
      <c r="F169" s="7">
        <v>1200</v>
      </c>
      <c r="G169" s="7">
        <v>1165</v>
      </c>
      <c r="H169" s="7">
        <v>0</v>
      </c>
      <c r="I169" s="7">
        <v>0</v>
      </c>
      <c r="J169" s="7"/>
      <c r="K169" s="1" t="s">
        <v>104</v>
      </c>
      <c r="L169" s="1" t="s">
        <v>342</v>
      </c>
    </row>
    <row r="170" spans="1:12" ht="21" customHeight="1">
      <c r="A170" s="5">
        <v>46265</v>
      </c>
      <c r="B170" s="7">
        <v>1200</v>
      </c>
      <c r="C170" s="7">
        <v>682000</v>
      </c>
      <c r="D170" s="7">
        <v>1300</v>
      </c>
      <c r="E170" s="7">
        <v>1300</v>
      </c>
      <c r="F170" s="7">
        <v>1440</v>
      </c>
      <c r="G170" s="7">
        <v>1300</v>
      </c>
      <c r="H170" s="7">
        <v>0</v>
      </c>
      <c r="I170" s="7">
        <v>0</v>
      </c>
      <c r="J170" s="7"/>
      <c r="K170" s="1" t="s">
        <v>104</v>
      </c>
      <c r="L170" s="1" t="s">
        <v>343</v>
      </c>
    </row>
    <row r="171" spans="1:12" ht="21" customHeight="1">
      <c r="A171" s="5">
        <v>46266</v>
      </c>
      <c r="B171" s="7">
        <v>1200</v>
      </c>
      <c r="C171" s="7">
        <v>0</v>
      </c>
      <c r="D171" s="7">
        <v>1300</v>
      </c>
      <c r="E171" s="7">
        <v>1350</v>
      </c>
      <c r="F171" s="7">
        <v>1440</v>
      </c>
      <c r="G171" s="7">
        <v>1300</v>
      </c>
      <c r="H171" s="7">
        <v>0</v>
      </c>
      <c r="I171" s="7">
        <v>0</v>
      </c>
      <c r="J171" s="7"/>
      <c r="K171" s="1" t="s">
        <v>104</v>
      </c>
      <c r="L171" s="1" t="s">
        <v>344</v>
      </c>
    </row>
    <row r="172" spans="1:12" ht="21" customHeight="1">
      <c r="A172" s="5">
        <v>46267</v>
      </c>
      <c r="B172" s="7">
        <v>1350</v>
      </c>
      <c r="C172" s="7">
        <v>135000</v>
      </c>
      <c r="D172" s="7">
        <v>1350</v>
      </c>
      <c r="E172" s="7">
        <v>1407.04</v>
      </c>
      <c r="F172" s="7">
        <v>0</v>
      </c>
      <c r="G172" s="7">
        <v>0</v>
      </c>
      <c r="H172" s="7">
        <v>0</v>
      </c>
      <c r="I172" s="7">
        <v>0</v>
      </c>
      <c r="J172" s="7"/>
      <c r="K172" s="1" t="s">
        <v>104</v>
      </c>
      <c r="L172" s="1" t="s">
        <v>345</v>
      </c>
    </row>
    <row r="173" spans="1:12" ht="21" customHeight="1">
      <c r="A173" s="5">
        <v>46268</v>
      </c>
      <c r="B173" s="7">
        <v>1215.5899999999999</v>
      </c>
      <c r="C173" s="7">
        <v>16902164</v>
      </c>
      <c r="D173" s="7">
        <v>1407.04</v>
      </c>
      <c r="E173" s="7">
        <v>1205.29</v>
      </c>
      <c r="F173" s="7">
        <v>1407.04</v>
      </c>
      <c r="G173" s="7">
        <v>1250</v>
      </c>
      <c r="H173" s="7">
        <v>0</v>
      </c>
      <c r="I173" s="7">
        <v>0</v>
      </c>
      <c r="J173" s="7"/>
      <c r="K173" s="1" t="s">
        <v>104</v>
      </c>
      <c r="L173" s="1" t="s">
        <v>346</v>
      </c>
    </row>
    <row r="174" spans="1:12" ht="21" customHeight="1">
      <c r="A174" s="5">
        <v>46269</v>
      </c>
      <c r="B174" s="7">
        <v>1200.05</v>
      </c>
      <c r="C174" s="7">
        <v>7445408.5</v>
      </c>
      <c r="D174" s="7">
        <v>1205.29</v>
      </c>
      <c r="E174" s="7">
        <v>1142.51</v>
      </c>
      <c r="F174" s="7">
        <v>1205.29</v>
      </c>
      <c r="G174" s="7">
        <v>1200</v>
      </c>
      <c r="H174" s="7">
        <v>0</v>
      </c>
      <c r="I174" s="7">
        <v>0</v>
      </c>
      <c r="J174" s="7"/>
      <c r="K174" s="1" t="s">
        <v>104</v>
      </c>
      <c r="L174" s="1" t="s">
        <v>347</v>
      </c>
    </row>
    <row r="175" spans="1:12" ht="21" customHeight="1">
      <c r="A175" s="5">
        <v>46272</v>
      </c>
      <c r="B175" s="7">
        <v>1158.57</v>
      </c>
      <c r="C175" s="7">
        <v>11853357</v>
      </c>
      <c r="D175" s="7">
        <v>1142.51</v>
      </c>
      <c r="E175" s="7">
        <v>1210</v>
      </c>
      <c r="F175" s="7">
        <v>1245.77</v>
      </c>
      <c r="G175" s="7">
        <v>1080</v>
      </c>
      <c r="H175" s="7">
        <v>0</v>
      </c>
      <c r="I175" s="7">
        <v>0</v>
      </c>
      <c r="J175" s="7"/>
      <c r="K175" s="1" t="s">
        <v>104</v>
      </c>
      <c r="L175" s="1" t="s">
        <v>348</v>
      </c>
    </row>
    <row r="176" spans="1:12" ht="21" customHeight="1">
      <c r="A176" s="5">
        <v>46273</v>
      </c>
      <c r="B176" s="7">
        <v>1200</v>
      </c>
      <c r="C176" s="7">
        <v>1927000</v>
      </c>
      <c r="D176" s="7">
        <v>1210</v>
      </c>
      <c r="E176" s="7">
        <v>1120</v>
      </c>
      <c r="F176" s="7">
        <v>1210</v>
      </c>
      <c r="G176" s="7">
        <v>1200</v>
      </c>
      <c r="H176" s="7">
        <v>0</v>
      </c>
      <c r="I176" s="7">
        <v>0</v>
      </c>
      <c r="J176" s="7"/>
      <c r="K176" s="1" t="s">
        <v>104</v>
      </c>
      <c r="L176" s="1" t="s">
        <v>349</v>
      </c>
    </row>
    <row r="177" spans="1:12" ht="21" customHeight="1">
      <c r="A177" s="5">
        <v>46274</v>
      </c>
      <c r="B177" s="7">
        <v>1253.9100000000001</v>
      </c>
      <c r="C177" s="7">
        <v>3520692.25</v>
      </c>
      <c r="D177" s="7">
        <v>1120</v>
      </c>
      <c r="E177" s="7">
        <v>1207.2</v>
      </c>
      <c r="F177" s="7">
        <v>1253.92</v>
      </c>
      <c r="G177" s="7">
        <v>1085</v>
      </c>
      <c r="H177" s="7">
        <v>0</v>
      </c>
      <c r="I177" s="7">
        <v>0</v>
      </c>
      <c r="J177" s="7"/>
      <c r="K177" s="1" t="s">
        <v>104</v>
      </c>
      <c r="L177" s="1" t="s">
        <v>350</v>
      </c>
    </row>
    <row r="178" spans="1:12" ht="21" customHeight="1">
      <c r="A178" s="5">
        <v>46275</v>
      </c>
      <c r="B178" s="7">
        <v>1269.8</v>
      </c>
      <c r="C178" s="7">
        <v>3449371.75</v>
      </c>
      <c r="D178" s="7">
        <v>1207.2</v>
      </c>
      <c r="E178" s="7">
        <v>1185</v>
      </c>
      <c r="F178" s="7">
        <v>1304.01</v>
      </c>
      <c r="G178" s="7">
        <v>1207.2</v>
      </c>
      <c r="H178" s="7">
        <v>0</v>
      </c>
      <c r="I178" s="7">
        <v>0</v>
      </c>
      <c r="J178" s="7"/>
      <c r="K178" s="1" t="s">
        <v>104</v>
      </c>
      <c r="L178" s="1" t="s">
        <v>351</v>
      </c>
    </row>
    <row r="179" spans="1:12" ht="21" customHeight="1">
      <c r="A179" s="5">
        <v>46276</v>
      </c>
      <c r="B179" s="7">
        <v>1130</v>
      </c>
      <c r="C179" s="7">
        <v>686932.81</v>
      </c>
      <c r="D179" s="7">
        <v>1185</v>
      </c>
      <c r="E179" s="7">
        <v>1135</v>
      </c>
      <c r="F179" s="7">
        <v>1185</v>
      </c>
      <c r="G179" s="7">
        <v>1130</v>
      </c>
      <c r="H179" s="7">
        <v>0</v>
      </c>
      <c r="I179" s="7">
        <v>0</v>
      </c>
      <c r="J179" s="7"/>
      <c r="K179" s="1" t="s">
        <v>104</v>
      </c>
      <c r="L179" s="1" t="s">
        <v>352</v>
      </c>
    </row>
    <row r="180" spans="1:12" ht="21" customHeight="1">
      <c r="A180" s="5">
        <v>46279</v>
      </c>
      <c r="B180" s="7">
        <v>1010</v>
      </c>
      <c r="C180" s="7">
        <v>22518816</v>
      </c>
      <c r="D180" s="7">
        <v>1135</v>
      </c>
      <c r="E180" s="7">
        <v>890</v>
      </c>
      <c r="F180" s="7">
        <v>1145</v>
      </c>
      <c r="G180" s="7">
        <v>997.35</v>
      </c>
      <c r="H180" s="7">
        <v>0</v>
      </c>
      <c r="I180" s="7">
        <v>0</v>
      </c>
      <c r="J180" s="7"/>
      <c r="K180" s="1" t="s">
        <v>104</v>
      </c>
      <c r="L180" s="1" t="s">
        <v>353</v>
      </c>
    </row>
    <row r="181" spans="1:12" ht="21" customHeight="1">
      <c r="A181" s="5">
        <v>46280</v>
      </c>
      <c r="B181" s="7">
        <v>930</v>
      </c>
      <c r="C181" s="7">
        <v>2821693.25</v>
      </c>
      <c r="D181" s="7">
        <v>890</v>
      </c>
      <c r="E181" s="7">
        <v>946.54</v>
      </c>
      <c r="F181" s="7">
        <v>990</v>
      </c>
      <c r="G181" s="7">
        <v>890</v>
      </c>
      <c r="H181" s="7">
        <v>0</v>
      </c>
      <c r="I181" s="7">
        <v>0</v>
      </c>
      <c r="J181" s="7"/>
      <c r="K181" s="1" t="s">
        <v>104</v>
      </c>
      <c r="L181" s="1" t="s">
        <v>354</v>
      </c>
    </row>
    <row r="182" spans="1:12" ht="21" customHeight="1">
      <c r="A182" s="5">
        <v>46281</v>
      </c>
      <c r="B182" s="7">
        <v>916.41</v>
      </c>
      <c r="C182" s="7">
        <v>11611929</v>
      </c>
      <c r="D182" s="7">
        <v>946.54</v>
      </c>
      <c r="E182" s="7">
        <v>900</v>
      </c>
      <c r="F182" s="7">
        <v>946.54</v>
      </c>
      <c r="G182" s="7">
        <v>856.28</v>
      </c>
      <c r="H182" s="7">
        <v>0</v>
      </c>
      <c r="I182" s="7">
        <v>0</v>
      </c>
      <c r="J182" s="7"/>
      <c r="K182" s="1" t="s">
        <v>104</v>
      </c>
      <c r="L182" s="1" t="s">
        <v>355</v>
      </c>
    </row>
    <row r="183" spans="1:12" ht="21" customHeight="1">
      <c r="A183" s="5">
        <v>46255</v>
      </c>
      <c r="B183" s="7">
        <v>845</v>
      </c>
      <c r="C183" s="7">
        <v>13107226</v>
      </c>
      <c r="D183" s="7">
        <v>900</v>
      </c>
      <c r="E183" s="7">
        <v>946</v>
      </c>
      <c r="F183" s="7">
        <v>900</v>
      </c>
      <c r="G183" s="7">
        <v>825</v>
      </c>
      <c r="H183" s="7">
        <v>0</v>
      </c>
      <c r="I183" s="7">
        <v>0</v>
      </c>
      <c r="J183" s="7"/>
      <c r="K183" s="1" t="s">
        <v>99</v>
      </c>
      <c r="L183" s="1" t="s">
        <v>356</v>
      </c>
    </row>
    <row r="184" spans="1:12" ht="21" customHeight="1">
      <c r="A184" s="5">
        <v>46258</v>
      </c>
      <c r="B184" s="7">
        <v>1075</v>
      </c>
      <c r="C184" s="7">
        <v>3516235.75</v>
      </c>
      <c r="D184" s="7">
        <v>946</v>
      </c>
      <c r="E184" s="7">
        <v>1000</v>
      </c>
      <c r="F184" s="7">
        <v>1042.5</v>
      </c>
      <c r="G184" s="7">
        <v>924.51</v>
      </c>
      <c r="H184" s="7">
        <v>0</v>
      </c>
      <c r="I184" s="7">
        <v>0</v>
      </c>
      <c r="J184" s="7"/>
      <c r="K184" s="1" t="s">
        <v>99</v>
      </c>
      <c r="L184" s="1" t="s">
        <v>357</v>
      </c>
    </row>
    <row r="185" spans="1:12" ht="21" customHeight="1">
      <c r="A185" s="5">
        <v>46259</v>
      </c>
      <c r="B185" s="7">
        <v>1000</v>
      </c>
      <c r="C185" s="7">
        <v>200000.09</v>
      </c>
      <c r="D185" s="7">
        <v>1000</v>
      </c>
      <c r="E185" s="7">
        <v>1000</v>
      </c>
      <c r="F185" s="7">
        <v>1000</v>
      </c>
      <c r="G185" s="7">
        <v>1000</v>
      </c>
      <c r="H185" s="7">
        <v>0</v>
      </c>
      <c r="I185" s="7">
        <v>0</v>
      </c>
      <c r="J185" s="7"/>
      <c r="K185" s="1" t="s">
        <v>99</v>
      </c>
      <c r="L185" s="1" t="s">
        <v>358</v>
      </c>
    </row>
    <row r="186" spans="1:12" ht="21" customHeight="1">
      <c r="A186" s="5">
        <v>46260</v>
      </c>
      <c r="B186" s="7">
        <v>1000</v>
      </c>
      <c r="C186" s="7">
        <v>0</v>
      </c>
      <c r="D186" s="7">
        <v>1000</v>
      </c>
      <c r="E186" s="7">
        <v>1015.87</v>
      </c>
      <c r="F186" s="7">
        <v>1000</v>
      </c>
      <c r="G186" s="7">
        <v>1000</v>
      </c>
      <c r="H186" s="7">
        <v>0</v>
      </c>
      <c r="I186" s="7">
        <v>0</v>
      </c>
      <c r="J186" s="7"/>
      <c r="K186" s="1" t="s">
        <v>99</v>
      </c>
      <c r="L186" s="1" t="s">
        <v>359</v>
      </c>
    </row>
    <row r="187" spans="1:12" ht="21" customHeight="1">
      <c r="A187" s="5">
        <v>46261</v>
      </c>
      <c r="B187" s="7">
        <v>1000</v>
      </c>
      <c r="C187" s="7">
        <v>6149087</v>
      </c>
      <c r="D187" s="7">
        <v>1015.87</v>
      </c>
      <c r="E187" s="7">
        <v>983.31</v>
      </c>
      <c r="F187" s="7">
        <v>1015.87</v>
      </c>
      <c r="G187" s="7">
        <v>1000</v>
      </c>
      <c r="H187" s="7">
        <v>0</v>
      </c>
      <c r="I187" s="7">
        <v>0</v>
      </c>
      <c r="J187" s="7"/>
      <c r="K187" s="1" t="s">
        <v>99</v>
      </c>
      <c r="L187" s="1" t="s">
        <v>360</v>
      </c>
    </row>
    <row r="188" spans="1:12" ht="21" customHeight="1">
      <c r="A188" s="5">
        <v>46262</v>
      </c>
      <c r="B188" s="7">
        <v>870</v>
      </c>
      <c r="C188" s="7">
        <v>3803161.5</v>
      </c>
      <c r="D188" s="7">
        <v>983.31</v>
      </c>
      <c r="E188" s="7">
        <v>971.66</v>
      </c>
      <c r="F188" s="7">
        <v>983.31</v>
      </c>
      <c r="G188" s="7">
        <v>833.09</v>
      </c>
      <c r="H188" s="7">
        <v>0</v>
      </c>
      <c r="I188" s="7">
        <v>0</v>
      </c>
      <c r="J188" s="7"/>
      <c r="K188" s="1" t="s">
        <v>99</v>
      </c>
      <c r="L188" s="1" t="s">
        <v>361</v>
      </c>
    </row>
    <row r="189" spans="1:12" ht="21" customHeight="1">
      <c r="A189" s="5">
        <v>46265</v>
      </c>
      <c r="B189" s="7">
        <v>1069</v>
      </c>
      <c r="C189" s="7">
        <v>4061122.25</v>
      </c>
      <c r="D189" s="7">
        <v>971.66</v>
      </c>
      <c r="E189" s="7">
        <v>971.66</v>
      </c>
      <c r="F189" s="7">
        <v>1080</v>
      </c>
      <c r="G189" s="7">
        <v>971.66</v>
      </c>
      <c r="H189" s="7">
        <v>0</v>
      </c>
      <c r="I189" s="7">
        <v>0</v>
      </c>
      <c r="J189" s="7"/>
      <c r="K189" s="1" t="s">
        <v>99</v>
      </c>
      <c r="L189" s="1" t="s">
        <v>362</v>
      </c>
    </row>
    <row r="190" spans="1:12" ht="21" customHeight="1">
      <c r="A190" s="5">
        <v>46266</v>
      </c>
      <c r="B190" s="7">
        <v>1069</v>
      </c>
      <c r="C190" s="7">
        <v>0</v>
      </c>
      <c r="D190" s="7">
        <v>971.66</v>
      </c>
      <c r="E190" s="7">
        <v>1089.32</v>
      </c>
      <c r="F190" s="7">
        <v>1080</v>
      </c>
      <c r="G190" s="7">
        <v>971.66</v>
      </c>
      <c r="H190" s="7">
        <v>0</v>
      </c>
      <c r="I190" s="7">
        <v>0</v>
      </c>
      <c r="J190" s="7"/>
      <c r="K190" s="1" t="s">
        <v>99</v>
      </c>
      <c r="L190" s="1" t="s">
        <v>363</v>
      </c>
    </row>
    <row r="191" spans="1:12" ht="21" customHeight="1">
      <c r="A191" s="5">
        <v>46267</v>
      </c>
      <c r="B191" s="7">
        <v>1088.47</v>
      </c>
      <c r="C191" s="7">
        <v>435389.41</v>
      </c>
      <c r="D191" s="7">
        <v>1089.32</v>
      </c>
      <c r="E191" s="7">
        <v>1168.0899999999999</v>
      </c>
      <c r="F191" s="7">
        <v>1089.32</v>
      </c>
      <c r="G191" s="7">
        <v>1089.32</v>
      </c>
      <c r="H191" s="7">
        <v>0</v>
      </c>
      <c r="I191" s="7">
        <v>0</v>
      </c>
      <c r="J191" s="7"/>
      <c r="K191" s="1" t="s">
        <v>99</v>
      </c>
      <c r="L191" s="1" t="s">
        <v>364</v>
      </c>
    </row>
    <row r="192" spans="1:12" ht="21" customHeight="1">
      <c r="A192" s="5">
        <v>46268</v>
      </c>
      <c r="B192" s="7">
        <v>1100</v>
      </c>
      <c r="C192" s="7">
        <v>7780003.5</v>
      </c>
      <c r="D192" s="7">
        <v>1168.0899999999999</v>
      </c>
      <c r="E192" s="7">
        <v>1100.3800000000001</v>
      </c>
      <c r="F192" s="7">
        <v>1171.93</v>
      </c>
      <c r="G192" s="7">
        <v>1090</v>
      </c>
      <c r="H192" s="7">
        <v>0</v>
      </c>
      <c r="I192" s="7">
        <v>0</v>
      </c>
      <c r="J192" s="7"/>
      <c r="K192" s="1" t="s">
        <v>99</v>
      </c>
      <c r="L192" s="1" t="s">
        <v>365</v>
      </c>
    </row>
    <row r="193" spans="1:12" ht="21" customHeight="1">
      <c r="A193" s="5">
        <v>46269</v>
      </c>
      <c r="B193" s="7">
        <v>1015</v>
      </c>
      <c r="C193" s="7">
        <v>4714691</v>
      </c>
      <c r="D193" s="7">
        <v>1100.3800000000001</v>
      </c>
      <c r="E193" s="7">
        <v>1100.3800000000001</v>
      </c>
      <c r="F193" s="7">
        <v>1100.3800000000001</v>
      </c>
      <c r="G193" s="7">
        <v>1010</v>
      </c>
      <c r="H193" s="7">
        <v>0</v>
      </c>
      <c r="I193" s="7">
        <v>0</v>
      </c>
      <c r="J193" s="7"/>
      <c r="K193" s="1" t="s">
        <v>99</v>
      </c>
      <c r="L193" s="1" t="s">
        <v>366</v>
      </c>
    </row>
    <row r="194" spans="1:12" ht="21" customHeight="1">
      <c r="A194" s="5">
        <v>46272</v>
      </c>
      <c r="B194" s="7">
        <v>1015</v>
      </c>
      <c r="C194" s="7">
        <v>0</v>
      </c>
      <c r="D194" s="7">
        <v>1100.3800000000001</v>
      </c>
      <c r="E194" s="7">
        <v>1000</v>
      </c>
      <c r="F194" s="7">
        <v>1100.3800000000001</v>
      </c>
      <c r="G194" s="7">
        <v>1010</v>
      </c>
      <c r="H194" s="7">
        <v>0</v>
      </c>
      <c r="I194" s="7">
        <v>0</v>
      </c>
      <c r="J194" s="7"/>
      <c r="K194" s="1" t="s">
        <v>99</v>
      </c>
      <c r="L194" s="1" t="s">
        <v>367</v>
      </c>
    </row>
    <row r="195" spans="1:12" ht="21" customHeight="1">
      <c r="A195" s="5">
        <v>46273</v>
      </c>
      <c r="B195" s="7">
        <v>1065</v>
      </c>
      <c r="C195" s="7">
        <v>2420717.5</v>
      </c>
      <c r="D195" s="7">
        <v>1000</v>
      </c>
      <c r="E195" s="7">
        <v>987.79</v>
      </c>
      <c r="F195" s="7">
        <v>1065</v>
      </c>
      <c r="G195" s="7">
        <v>980</v>
      </c>
      <c r="H195" s="7">
        <v>0</v>
      </c>
      <c r="I195" s="7">
        <v>0</v>
      </c>
      <c r="J195" s="7"/>
      <c r="K195" s="1" t="s">
        <v>99</v>
      </c>
      <c r="L195" s="1" t="s">
        <v>368</v>
      </c>
    </row>
    <row r="196" spans="1:12" ht="21" customHeight="1">
      <c r="A196" s="5">
        <v>46274</v>
      </c>
      <c r="B196" s="7">
        <v>1070</v>
      </c>
      <c r="C196" s="7">
        <v>6157861</v>
      </c>
      <c r="D196" s="7">
        <v>987.79</v>
      </c>
      <c r="E196" s="7">
        <v>1036.93</v>
      </c>
      <c r="F196" s="7">
        <v>1100</v>
      </c>
      <c r="G196" s="7">
        <v>918</v>
      </c>
      <c r="H196" s="7">
        <v>0</v>
      </c>
      <c r="I196" s="7">
        <v>0</v>
      </c>
      <c r="J196" s="7"/>
      <c r="K196" s="1" t="s">
        <v>99</v>
      </c>
      <c r="L196" s="1" t="s">
        <v>369</v>
      </c>
    </row>
    <row r="197" spans="1:12" ht="21" customHeight="1">
      <c r="A197" s="5">
        <v>46275</v>
      </c>
      <c r="B197" s="7">
        <v>1112.5</v>
      </c>
      <c r="C197" s="7">
        <v>2148986.75</v>
      </c>
      <c r="D197" s="7">
        <v>1036.93</v>
      </c>
      <c r="E197" s="7">
        <v>1088.92</v>
      </c>
      <c r="F197" s="7">
        <v>1180.0999999999999</v>
      </c>
      <c r="G197" s="7">
        <v>1036.93</v>
      </c>
      <c r="H197" s="7">
        <v>0</v>
      </c>
      <c r="I197" s="7">
        <v>0</v>
      </c>
      <c r="J197" s="7"/>
      <c r="K197" s="1" t="s">
        <v>99</v>
      </c>
      <c r="L197" s="1" t="s">
        <v>370</v>
      </c>
    </row>
    <row r="198" spans="1:12" ht="21" customHeight="1">
      <c r="A198" s="5">
        <v>46276</v>
      </c>
      <c r="B198" s="7">
        <v>941.05</v>
      </c>
      <c r="C198" s="7">
        <v>7676950</v>
      </c>
      <c r="D198" s="7">
        <v>1088.92</v>
      </c>
      <c r="E198" s="7">
        <v>950</v>
      </c>
      <c r="F198" s="7">
        <v>1104.76</v>
      </c>
      <c r="G198" s="7">
        <v>893.51</v>
      </c>
      <c r="H198" s="7">
        <v>0</v>
      </c>
      <c r="I198" s="7">
        <v>0</v>
      </c>
      <c r="J198" s="7"/>
      <c r="K198" s="1" t="s">
        <v>99</v>
      </c>
      <c r="L198" s="1" t="s">
        <v>371</v>
      </c>
    </row>
    <row r="199" spans="1:12" ht="21" customHeight="1">
      <c r="A199" s="5">
        <v>46279</v>
      </c>
      <c r="B199" s="7">
        <v>847.81</v>
      </c>
      <c r="C199" s="7">
        <v>4077403.75</v>
      </c>
      <c r="D199" s="7">
        <v>950</v>
      </c>
      <c r="E199" s="7">
        <v>750</v>
      </c>
      <c r="F199" s="7">
        <v>950</v>
      </c>
      <c r="G199" s="7">
        <v>845</v>
      </c>
      <c r="H199" s="7">
        <v>0</v>
      </c>
      <c r="I199" s="7">
        <v>0</v>
      </c>
      <c r="J199" s="7"/>
      <c r="K199" s="1" t="s">
        <v>99</v>
      </c>
      <c r="L199" s="1" t="s">
        <v>372</v>
      </c>
    </row>
    <row r="200" spans="1:12" ht="21" customHeight="1">
      <c r="A200" s="5">
        <v>46280</v>
      </c>
      <c r="B200" s="7">
        <v>757.6</v>
      </c>
      <c r="C200" s="7">
        <v>13415150</v>
      </c>
      <c r="D200" s="7">
        <v>750</v>
      </c>
      <c r="E200" s="7">
        <v>700</v>
      </c>
      <c r="F200" s="7">
        <v>822.13</v>
      </c>
      <c r="G200" s="7">
        <v>730</v>
      </c>
      <c r="H200" s="7">
        <v>0</v>
      </c>
      <c r="I200" s="7">
        <v>0</v>
      </c>
      <c r="J200" s="7"/>
      <c r="K200" s="1" t="s">
        <v>99</v>
      </c>
      <c r="L200" s="1" t="s">
        <v>373</v>
      </c>
    </row>
    <row r="201" spans="1:12" ht="21" customHeight="1">
      <c r="A201" s="5">
        <v>46281</v>
      </c>
      <c r="B201" s="7">
        <v>704.74</v>
      </c>
      <c r="C201" s="7">
        <v>13875889</v>
      </c>
      <c r="D201" s="7">
        <v>700</v>
      </c>
      <c r="E201" s="7">
        <v>775</v>
      </c>
      <c r="F201" s="7">
        <v>810</v>
      </c>
      <c r="G201" s="7">
        <v>700</v>
      </c>
      <c r="H201" s="7">
        <v>0</v>
      </c>
      <c r="I201" s="7">
        <v>0</v>
      </c>
      <c r="J201" s="7"/>
      <c r="K201" s="1" t="s">
        <v>99</v>
      </c>
      <c r="L201" s="1" t="s">
        <v>374</v>
      </c>
    </row>
    <row r="202" spans="1:12" ht="21" customHeight="1">
      <c r="A202" s="5">
        <v>46255</v>
      </c>
      <c r="B202" s="7">
        <v>711</v>
      </c>
      <c r="C202" s="7">
        <v>15215765</v>
      </c>
      <c r="D202" s="7">
        <v>775</v>
      </c>
      <c r="E202" s="7">
        <v>756.99</v>
      </c>
      <c r="F202" s="7">
        <v>830</v>
      </c>
      <c r="G202" s="7">
        <v>685.01</v>
      </c>
      <c r="H202" s="7">
        <v>0</v>
      </c>
      <c r="I202" s="7">
        <v>0</v>
      </c>
      <c r="J202" s="7"/>
      <c r="K202" s="1" t="s">
        <v>95</v>
      </c>
      <c r="L202" s="1" t="s">
        <v>375</v>
      </c>
    </row>
    <row r="203" spans="1:12" ht="21" customHeight="1">
      <c r="A203" s="5">
        <v>46258</v>
      </c>
      <c r="B203" s="7">
        <v>918.25</v>
      </c>
      <c r="C203" s="7">
        <v>66371088</v>
      </c>
      <c r="D203" s="7">
        <v>756.99</v>
      </c>
      <c r="E203" s="7">
        <v>850.01</v>
      </c>
      <c r="F203" s="7">
        <v>982.25</v>
      </c>
      <c r="G203" s="7">
        <v>750</v>
      </c>
      <c r="H203" s="7">
        <v>0</v>
      </c>
      <c r="I203" s="7">
        <v>0</v>
      </c>
      <c r="J203" s="7"/>
      <c r="K203" s="1" t="s">
        <v>95</v>
      </c>
      <c r="L203" s="1" t="s">
        <v>376</v>
      </c>
    </row>
    <row r="204" spans="1:12" ht="21" customHeight="1">
      <c r="A204" s="5">
        <v>46259</v>
      </c>
      <c r="B204" s="7">
        <v>982.67</v>
      </c>
      <c r="C204" s="7">
        <v>31800552</v>
      </c>
      <c r="D204" s="7">
        <v>850.01</v>
      </c>
      <c r="E204" s="7">
        <v>1000</v>
      </c>
      <c r="F204" s="7">
        <v>1025.0999999999999</v>
      </c>
      <c r="G204" s="7">
        <v>850.01</v>
      </c>
      <c r="H204" s="7">
        <v>0</v>
      </c>
      <c r="I204" s="7">
        <v>0</v>
      </c>
      <c r="J204" s="7"/>
      <c r="K204" s="1" t="s">
        <v>95</v>
      </c>
      <c r="L204" s="1" t="s">
        <v>377</v>
      </c>
    </row>
    <row r="205" spans="1:12" ht="21" customHeight="1">
      <c r="A205" s="5">
        <v>46260</v>
      </c>
      <c r="B205" s="7">
        <v>944.2</v>
      </c>
      <c r="C205" s="7">
        <v>4527855</v>
      </c>
      <c r="D205" s="7">
        <v>1000</v>
      </c>
      <c r="E205" s="7">
        <v>990</v>
      </c>
      <c r="F205" s="7">
        <v>1020</v>
      </c>
      <c r="G205" s="7">
        <v>932</v>
      </c>
      <c r="H205" s="7">
        <v>0</v>
      </c>
      <c r="I205" s="7">
        <v>0</v>
      </c>
      <c r="J205" s="7"/>
      <c r="K205" s="1" t="s">
        <v>95</v>
      </c>
      <c r="L205" s="1" t="s">
        <v>378</v>
      </c>
    </row>
    <row r="206" spans="1:12" ht="21" customHeight="1">
      <c r="A206" s="5">
        <v>46261</v>
      </c>
      <c r="B206" s="7">
        <v>843.84</v>
      </c>
      <c r="C206" s="7">
        <v>55175124</v>
      </c>
      <c r="D206" s="7">
        <v>990</v>
      </c>
      <c r="E206" s="7">
        <v>837.08</v>
      </c>
      <c r="F206" s="7">
        <v>990</v>
      </c>
      <c r="G206" s="7">
        <v>823.5</v>
      </c>
      <c r="H206" s="7">
        <v>0</v>
      </c>
      <c r="I206" s="7">
        <v>0</v>
      </c>
      <c r="J206" s="7"/>
      <c r="K206" s="1" t="s">
        <v>95</v>
      </c>
      <c r="L206" s="1" t="s">
        <v>379</v>
      </c>
    </row>
    <row r="207" spans="1:12" ht="21" customHeight="1">
      <c r="A207" s="5">
        <v>46262</v>
      </c>
      <c r="B207" s="7">
        <v>775</v>
      </c>
      <c r="C207" s="7">
        <v>25748998</v>
      </c>
      <c r="D207" s="7">
        <v>837.08</v>
      </c>
      <c r="E207" s="7">
        <v>798</v>
      </c>
      <c r="F207" s="7">
        <v>840</v>
      </c>
      <c r="G207" s="7">
        <v>700</v>
      </c>
      <c r="H207" s="7">
        <v>0</v>
      </c>
      <c r="I207" s="7">
        <v>0</v>
      </c>
      <c r="J207" s="7"/>
      <c r="K207" s="1" t="s">
        <v>95</v>
      </c>
      <c r="L207" s="1" t="s">
        <v>380</v>
      </c>
    </row>
    <row r="208" spans="1:12" ht="21" customHeight="1">
      <c r="A208" s="5">
        <v>46265</v>
      </c>
      <c r="B208" s="7">
        <v>925</v>
      </c>
      <c r="C208" s="7">
        <v>37233648</v>
      </c>
      <c r="D208" s="7">
        <v>798</v>
      </c>
      <c r="E208" s="7">
        <v>967.88</v>
      </c>
      <c r="F208" s="7">
        <v>1000</v>
      </c>
      <c r="G208" s="7">
        <v>798</v>
      </c>
      <c r="H208" s="7">
        <v>0</v>
      </c>
      <c r="I208" s="7">
        <v>0</v>
      </c>
      <c r="J208" s="7"/>
      <c r="K208" s="1" t="s">
        <v>95</v>
      </c>
      <c r="L208" s="1" t="s">
        <v>381</v>
      </c>
    </row>
    <row r="209" spans="1:12" ht="21" customHeight="1">
      <c r="A209" s="5">
        <v>46266</v>
      </c>
      <c r="B209" s="7">
        <v>909.97</v>
      </c>
      <c r="C209" s="7">
        <v>14920983</v>
      </c>
      <c r="D209" s="7">
        <v>967.88</v>
      </c>
      <c r="E209" s="7">
        <v>890</v>
      </c>
      <c r="F209" s="7">
        <v>1050</v>
      </c>
      <c r="G209" s="7">
        <v>890</v>
      </c>
      <c r="H209" s="7">
        <v>0</v>
      </c>
      <c r="I209" s="7">
        <v>0</v>
      </c>
      <c r="J209" s="7"/>
      <c r="K209" s="1" t="s">
        <v>95</v>
      </c>
      <c r="L209" s="1" t="s">
        <v>382</v>
      </c>
    </row>
    <row r="210" spans="1:12" ht="21" customHeight="1">
      <c r="A210" s="5">
        <v>46267</v>
      </c>
      <c r="B210" s="7">
        <v>1025</v>
      </c>
      <c r="C210" s="7">
        <v>9232591</v>
      </c>
      <c r="D210" s="7">
        <v>890</v>
      </c>
      <c r="E210" s="7">
        <v>1037.8900000000001</v>
      </c>
      <c r="F210" s="7">
        <v>1025</v>
      </c>
      <c r="G210" s="7">
        <v>890</v>
      </c>
      <c r="H210" s="7">
        <v>0</v>
      </c>
      <c r="I210" s="7">
        <v>0</v>
      </c>
      <c r="J210" s="7"/>
      <c r="K210" s="1" t="s">
        <v>95</v>
      </c>
      <c r="L210" s="1" t="s">
        <v>383</v>
      </c>
    </row>
    <row r="211" spans="1:12" ht="21" customHeight="1">
      <c r="A211" s="5">
        <v>46268</v>
      </c>
      <c r="B211" s="7">
        <v>935</v>
      </c>
      <c r="C211" s="7">
        <v>11888418</v>
      </c>
      <c r="D211" s="7">
        <v>1037.8900000000001</v>
      </c>
      <c r="E211" s="7">
        <v>909.55</v>
      </c>
      <c r="F211" s="7">
        <v>1037.8900000000001</v>
      </c>
      <c r="G211" s="7">
        <v>938.46</v>
      </c>
      <c r="H211" s="7">
        <v>0</v>
      </c>
      <c r="I211" s="7">
        <v>0</v>
      </c>
      <c r="J211" s="7"/>
      <c r="K211" s="1" t="s">
        <v>95</v>
      </c>
      <c r="L211" s="1" t="s">
        <v>384</v>
      </c>
    </row>
    <row r="212" spans="1:12" ht="21" customHeight="1">
      <c r="A212" s="5">
        <v>46269</v>
      </c>
      <c r="B212" s="7">
        <v>850</v>
      </c>
      <c r="C212" s="7">
        <v>49858820</v>
      </c>
      <c r="D212" s="7">
        <v>909.55</v>
      </c>
      <c r="E212" s="7">
        <v>831.72</v>
      </c>
      <c r="F212" s="7">
        <v>964.56</v>
      </c>
      <c r="G212" s="7">
        <v>865</v>
      </c>
      <c r="H212" s="7">
        <v>0</v>
      </c>
      <c r="I212" s="7">
        <v>0</v>
      </c>
      <c r="J212" s="7"/>
      <c r="K212" s="1" t="s">
        <v>95</v>
      </c>
      <c r="L212" s="1" t="s">
        <v>385</v>
      </c>
    </row>
    <row r="213" spans="1:12" ht="21" customHeight="1">
      <c r="A213" s="5">
        <v>46272</v>
      </c>
      <c r="B213" s="7">
        <v>829</v>
      </c>
      <c r="C213" s="7">
        <v>16878956</v>
      </c>
      <c r="D213" s="7">
        <v>831.72</v>
      </c>
      <c r="E213" s="7">
        <v>860</v>
      </c>
      <c r="F213" s="7">
        <v>850</v>
      </c>
      <c r="G213" s="7">
        <v>821</v>
      </c>
      <c r="H213" s="7">
        <v>0</v>
      </c>
      <c r="I213" s="7">
        <v>0</v>
      </c>
      <c r="J213" s="7"/>
      <c r="K213" s="1" t="s">
        <v>95</v>
      </c>
      <c r="L213" s="1" t="s">
        <v>386</v>
      </c>
    </row>
    <row r="214" spans="1:12" ht="21" customHeight="1">
      <c r="A214" s="5">
        <v>46273</v>
      </c>
      <c r="B214" s="7">
        <v>900</v>
      </c>
      <c r="C214" s="7">
        <v>19926616</v>
      </c>
      <c r="D214" s="7">
        <v>860</v>
      </c>
      <c r="E214" s="7">
        <v>820</v>
      </c>
      <c r="F214" s="7">
        <v>955</v>
      </c>
      <c r="G214" s="7">
        <v>800</v>
      </c>
      <c r="H214" s="7">
        <v>0</v>
      </c>
      <c r="I214" s="7">
        <v>0</v>
      </c>
      <c r="J214" s="7"/>
      <c r="K214" s="1" t="s">
        <v>95</v>
      </c>
      <c r="L214" s="1" t="s">
        <v>387</v>
      </c>
    </row>
    <row r="215" spans="1:12" ht="21" customHeight="1">
      <c r="A215" s="5">
        <v>46274</v>
      </c>
      <c r="B215" s="7">
        <v>875.61</v>
      </c>
      <c r="C215" s="7">
        <v>21708370</v>
      </c>
      <c r="D215" s="7">
        <v>820</v>
      </c>
      <c r="E215" s="7">
        <v>889.84</v>
      </c>
      <c r="F215" s="7">
        <v>983.13</v>
      </c>
      <c r="G215" s="7">
        <v>773.01</v>
      </c>
      <c r="H215" s="7">
        <v>0</v>
      </c>
      <c r="I215" s="7">
        <v>0</v>
      </c>
      <c r="J215" s="7"/>
      <c r="K215" s="1" t="s">
        <v>95</v>
      </c>
      <c r="L215" s="1" t="s">
        <v>388</v>
      </c>
    </row>
    <row r="216" spans="1:12" ht="21" customHeight="1">
      <c r="A216" s="5">
        <v>46275</v>
      </c>
      <c r="B216" s="7">
        <v>945</v>
      </c>
      <c r="C216" s="7">
        <v>4725870</v>
      </c>
      <c r="D216" s="7">
        <v>889.84</v>
      </c>
      <c r="E216" s="7">
        <v>918</v>
      </c>
      <c r="F216" s="7">
        <v>1031.95</v>
      </c>
      <c r="G216" s="7">
        <v>889.84</v>
      </c>
      <c r="H216" s="7">
        <v>0</v>
      </c>
      <c r="I216" s="7">
        <v>0</v>
      </c>
      <c r="J216" s="7"/>
      <c r="K216" s="1" t="s">
        <v>95</v>
      </c>
      <c r="L216" s="1" t="s">
        <v>389</v>
      </c>
    </row>
    <row r="217" spans="1:12" ht="21" customHeight="1">
      <c r="A217" s="5">
        <v>46276</v>
      </c>
      <c r="B217" s="7">
        <v>830</v>
      </c>
      <c r="C217" s="7">
        <v>27462252</v>
      </c>
      <c r="D217" s="7">
        <v>918</v>
      </c>
      <c r="E217" s="7">
        <v>800</v>
      </c>
      <c r="F217" s="7">
        <v>919.98</v>
      </c>
      <c r="G217" s="7">
        <v>770</v>
      </c>
      <c r="H217" s="7">
        <v>0</v>
      </c>
      <c r="I217" s="7">
        <v>0</v>
      </c>
      <c r="J217" s="7"/>
      <c r="K217" s="1" t="s">
        <v>95</v>
      </c>
      <c r="L217" s="1" t="s">
        <v>390</v>
      </c>
    </row>
    <row r="218" spans="1:12" ht="21" customHeight="1">
      <c r="A218" s="5">
        <v>46279</v>
      </c>
      <c r="B218" s="7">
        <v>675.11</v>
      </c>
      <c r="C218" s="7">
        <v>29115720</v>
      </c>
      <c r="D218" s="7">
        <v>800</v>
      </c>
      <c r="E218" s="7">
        <v>675.13</v>
      </c>
      <c r="F218" s="7">
        <v>800</v>
      </c>
      <c r="G218" s="7">
        <v>671</v>
      </c>
      <c r="H218" s="7">
        <v>0</v>
      </c>
      <c r="I218" s="7">
        <v>0</v>
      </c>
      <c r="J218" s="7"/>
      <c r="K218" s="1" t="s">
        <v>95</v>
      </c>
      <c r="L218" s="1" t="s">
        <v>391</v>
      </c>
    </row>
    <row r="219" spans="1:12" ht="21" customHeight="1">
      <c r="A219" s="5">
        <v>46280</v>
      </c>
      <c r="B219" s="7">
        <v>600.20000000000005</v>
      </c>
      <c r="C219" s="7">
        <v>52725424</v>
      </c>
      <c r="D219" s="7">
        <v>675.13</v>
      </c>
      <c r="E219" s="7">
        <v>600</v>
      </c>
      <c r="F219" s="7">
        <v>675.13</v>
      </c>
      <c r="G219" s="7">
        <v>580</v>
      </c>
      <c r="H219" s="7">
        <v>0</v>
      </c>
      <c r="I219" s="7">
        <v>0</v>
      </c>
      <c r="J219" s="7"/>
      <c r="K219" s="1" t="s">
        <v>95</v>
      </c>
      <c r="L219" s="1" t="s">
        <v>392</v>
      </c>
    </row>
    <row r="220" spans="1:12" ht="21" customHeight="1">
      <c r="A220" s="5">
        <v>46281</v>
      </c>
      <c r="B220" s="7">
        <v>616.1</v>
      </c>
      <c r="C220" s="7">
        <v>27128652</v>
      </c>
      <c r="D220" s="7">
        <v>600</v>
      </c>
      <c r="E220" s="7">
        <v>600</v>
      </c>
      <c r="F220" s="7">
        <v>670</v>
      </c>
      <c r="G220" s="7">
        <v>570</v>
      </c>
      <c r="H220" s="7">
        <v>0</v>
      </c>
      <c r="I220" s="7">
        <v>0</v>
      </c>
      <c r="J220" s="7"/>
      <c r="K220" s="1" t="s">
        <v>95</v>
      </c>
      <c r="L220" s="1" t="s">
        <v>393</v>
      </c>
    </row>
    <row r="221" spans="1:12" ht="21" customHeight="1">
      <c r="A221" s="5">
        <v>46255</v>
      </c>
      <c r="B221" s="7">
        <v>630</v>
      </c>
      <c r="C221" s="7">
        <v>64370992</v>
      </c>
      <c r="D221" s="7">
        <v>600</v>
      </c>
      <c r="E221" s="7">
        <v>484</v>
      </c>
      <c r="F221" s="7">
        <v>716.22</v>
      </c>
      <c r="G221" s="7">
        <v>576</v>
      </c>
      <c r="H221" s="7">
        <v>0</v>
      </c>
      <c r="I221" s="7">
        <v>0</v>
      </c>
      <c r="J221" s="7"/>
      <c r="K221" s="1" t="s">
        <v>91</v>
      </c>
      <c r="L221" s="1" t="s">
        <v>394</v>
      </c>
    </row>
    <row r="222" spans="1:12" ht="21" customHeight="1">
      <c r="A222" s="5">
        <v>46258</v>
      </c>
      <c r="B222" s="7">
        <v>801.3</v>
      </c>
      <c r="C222" s="7">
        <v>133091224</v>
      </c>
      <c r="D222" s="7">
        <v>484</v>
      </c>
      <c r="E222" s="7">
        <v>800</v>
      </c>
      <c r="F222" s="7">
        <v>860</v>
      </c>
      <c r="G222" s="7">
        <v>484</v>
      </c>
      <c r="H222" s="7">
        <v>0</v>
      </c>
      <c r="I222" s="7">
        <v>0</v>
      </c>
      <c r="J222" s="7"/>
      <c r="K222" s="1" t="s">
        <v>91</v>
      </c>
      <c r="L222" s="1" t="s">
        <v>395</v>
      </c>
    </row>
    <row r="223" spans="1:12" ht="21" customHeight="1">
      <c r="A223" s="5">
        <v>46259</v>
      </c>
      <c r="B223" s="7">
        <v>852.31</v>
      </c>
      <c r="C223" s="7">
        <v>139653152</v>
      </c>
      <c r="D223" s="7">
        <v>800</v>
      </c>
      <c r="E223" s="7">
        <v>895</v>
      </c>
      <c r="F223" s="7">
        <v>859.9</v>
      </c>
      <c r="G223" s="7">
        <v>650</v>
      </c>
      <c r="H223" s="7">
        <v>0</v>
      </c>
      <c r="I223" s="7">
        <v>0</v>
      </c>
      <c r="J223" s="7"/>
      <c r="K223" s="1" t="s">
        <v>91</v>
      </c>
      <c r="L223" s="1" t="s">
        <v>396</v>
      </c>
    </row>
    <row r="224" spans="1:12" ht="21" customHeight="1">
      <c r="A224" s="5">
        <v>46260</v>
      </c>
      <c r="B224" s="7">
        <v>808.58</v>
      </c>
      <c r="C224" s="7">
        <v>49664944</v>
      </c>
      <c r="D224" s="7">
        <v>895</v>
      </c>
      <c r="E224" s="7">
        <v>780.04</v>
      </c>
      <c r="F224" s="7">
        <v>939.99</v>
      </c>
      <c r="G224" s="7">
        <v>800</v>
      </c>
      <c r="H224" s="7">
        <v>0</v>
      </c>
      <c r="I224" s="7">
        <v>0</v>
      </c>
      <c r="J224" s="7"/>
      <c r="K224" s="1" t="s">
        <v>91</v>
      </c>
      <c r="L224" s="1" t="s">
        <v>397</v>
      </c>
    </row>
    <row r="225" spans="1:12" ht="21" customHeight="1">
      <c r="A225" s="5">
        <v>46261</v>
      </c>
      <c r="B225" s="7">
        <v>706.67</v>
      </c>
      <c r="C225" s="7">
        <v>69429448</v>
      </c>
      <c r="D225" s="7">
        <v>780.04</v>
      </c>
      <c r="E225" s="7">
        <v>690</v>
      </c>
      <c r="F225" s="7">
        <v>780.04</v>
      </c>
      <c r="G225" s="7">
        <v>700</v>
      </c>
      <c r="H225" s="7">
        <v>0</v>
      </c>
      <c r="I225" s="7">
        <v>0</v>
      </c>
      <c r="J225" s="7"/>
      <c r="K225" s="1" t="s">
        <v>91</v>
      </c>
      <c r="L225" s="1" t="s">
        <v>398</v>
      </c>
    </row>
    <row r="226" spans="1:12" ht="21" customHeight="1">
      <c r="A226" s="5">
        <v>46262</v>
      </c>
      <c r="B226" s="7">
        <v>651.80999999999995</v>
      </c>
      <c r="C226" s="7">
        <v>55706680</v>
      </c>
      <c r="D226" s="7">
        <v>690</v>
      </c>
      <c r="E226" s="7">
        <v>685</v>
      </c>
      <c r="F226" s="7">
        <v>690.79</v>
      </c>
      <c r="G226" s="7">
        <v>580</v>
      </c>
      <c r="H226" s="7">
        <v>0</v>
      </c>
      <c r="I226" s="7">
        <v>0</v>
      </c>
      <c r="J226" s="7"/>
      <c r="K226" s="1" t="s">
        <v>91</v>
      </c>
      <c r="L226" s="1" t="s">
        <v>399</v>
      </c>
    </row>
    <row r="227" spans="1:12" ht="21" customHeight="1">
      <c r="A227" s="5">
        <v>46265</v>
      </c>
      <c r="B227" s="7">
        <v>785.86</v>
      </c>
      <c r="C227" s="7">
        <v>21813032</v>
      </c>
      <c r="D227" s="7">
        <v>685</v>
      </c>
      <c r="E227" s="7">
        <v>800</v>
      </c>
      <c r="F227" s="7">
        <v>885</v>
      </c>
      <c r="G227" s="7">
        <v>670</v>
      </c>
      <c r="H227" s="7">
        <v>0</v>
      </c>
      <c r="I227" s="7">
        <v>0</v>
      </c>
      <c r="J227" s="7"/>
      <c r="K227" s="1" t="s">
        <v>91</v>
      </c>
      <c r="L227" s="1" t="s">
        <v>400</v>
      </c>
    </row>
    <row r="228" spans="1:12" ht="21" customHeight="1">
      <c r="A228" s="5">
        <v>46266</v>
      </c>
      <c r="B228" s="7">
        <v>808.51</v>
      </c>
      <c r="C228" s="7">
        <v>30988906</v>
      </c>
      <c r="D228" s="7">
        <v>800</v>
      </c>
      <c r="E228" s="7">
        <v>810</v>
      </c>
      <c r="F228" s="7">
        <v>890</v>
      </c>
      <c r="G228" s="7">
        <v>763.57</v>
      </c>
      <c r="H228" s="7">
        <v>0</v>
      </c>
      <c r="I228" s="7">
        <v>0</v>
      </c>
      <c r="J228" s="7"/>
      <c r="K228" s="1" t="s">
        <v>91</v>
      </c>
      <c r="L228" s="1" t="s">
        <v>401</v>
      </c>
    </row>
    <row r="229" spans="1:12" ht="21" customHeight="1">
      <c r="A229" s="5">
        <v>46267</v>
      </c>
      <c r="B229" s="7">
        <v>884.58</v>
      </c>
      <c r="C229" s="7">
        <v>58310144</v>
      </c>
      <c r="D229" s="7">
        <v>810</v>
      </c>
      <c r="E229" s="7">
        <v>950</v>
      </c>
      <c r="F229" s="7">
        <v>899.91</v>
      </c>
      <c r="G229" s="7">
        <v>790</v>
      </c>
      <c r="H229" s="7">
        <v>0</v>
      </c>
      <c r="I229" s="7">
        <v>0</v>
      </c>
      <c r="J229" s="7"/>
      <c r="K229" s="1" t="s">
        <v>91</v>
      </c>
      <c r="L229" s="1" t="s">
        <v>402</v>
      </c>
    </row>
    <row r="230" spans="1:12" ht="21" customHeight="1">
      <c r="A230" s="5">
        <v>46268</v>
      </c>
      <c r="B230" s="7">
        <v>800.04</v>
      </c>
      <c r="C230" s="7">
        <v>61064284</v>
      </c>
      <c r="D230" s="7">
        <v>950</v>
      </c>
      <c r="E230" s="7">
        <v>782.67</v>
      </c>
      <c r="F230" s="7">
        <v>990</v>
      </c>
      <c r="G230" s="7">
        <v>775</v>
      </c>
      <c r="H230" s="7">
        <v>0</v>
      </c>
      <c r="I230" s="7">
        <v>0</v>
      </c>
      <c r="J230" s="7"/>
      <c r="K230" s="1" t="s">
        <v>91</v>
      </c>
      <c r="L230" s="1" t="s">
        <v>403</v>
      </c>
    </row>
    <row r="231" spans="1:12" ht="21" customHeight="1">
      <c r="A231" s="5">
        <v>46269</v>
      </c>
      <c r="B231" s="7">
        <v>738.92</v>
      </c>
      <c r="C231" s="7">
        <v>34423560</v>
      </c>
      <c r="D231" s="7">
        <v>782.67</v>
      </c>
      <c r="E231" s="7">
        <v>715.86</v>
      </c>
      <c r="F231" s="7">
        <v>814</v>
      </c>
      <c r="G231" s="7">
        <v>710.1</v>
      </c>
      <c r="H231" s="7">
        <v>0</v>
      </c>
      <c r="I231" s="7">
        <v>0</v>
      </c>
      <c r="J231" s="7"/>
      <c r="K231" s="1" t="s">
        <v>91</v>
      </c>
      <c r="L231" s="1" t="s">
        <v>404</v>
      </c>
    </row>
    <row r="232" spans="1:12" ht="21" customHeight="1">
      <c r="A232" s="5">
        <v>46272</v>
      </c>
      <c r="B232" s="7">
        <v>687.1</v>
      </c>
      <c r="C232" s="7">
        <v>26867160</v>
      </c>
      <c r="D232" s="7">
        <v>715.86</v>
      </c>
      <c r="E232" s="7">
        <v>750</v>
      </c>
      <c r="F232" s="7">
        <v>715.86</v>
      </c>
      <c r="G232" s="7">
        <v>680.11</v>
      </c>
      <c r="H232" s="7">
        <v>0</v>
      </c>
      <c r="I232" s="7">
        <v>0</v>
      </c>
      <c r="J232" s="7"/>
      <c r="K232" s="1" t="s">
        <v>91</v>
      </c>
      <c r="L232" s="1" t="s">
        <v>405</v>
      </c>
    </row>
    <row r="233" spans="1:12" ht="21" customHeight="1">
      <c r="A233" s="5">
        <v>46273</v>
      </c>
      <c r="B233" s="7">
        <v>731.04</v>
      </c>
      <c r="C233" s="7">
        <v>70286280</v>
      </c>
      <c r="D233" s="7">
        <v>750</v>
      </c>
      <c r="E233" s="7">
        <v>650</v>
      </c>
      <c r="F233" s="7">
        <v>750</v>
      </c>
      <c r="G233" s="7">
        <v>650</v>
      </c>
      <c r="H233" s="7">
        <v>0</v>
      </c>
      <c r="I233" s="7">
        <v>0</v>
      </c>
      <c r="J233" s="7"/>
      <c r="K233" s="1" t="s">
        <v>91</v>
      </c>
      <c r="L233" s="1" t="s">
        <v>406</v>
      </c>
    </row>
    <row r="234" spans="1:12" ht="21" customHeight="1">
      <c r="A234" s="5">
        <v>46274</v>
      </c>
      <c r="B234" s="7">
        <v>773.75</v>
      </c>
      <c r="C234" s="7">
        <v>67822120</v>
      </c>
      <c r="D234" s="7">
        <v>650</v>
      </c>
      <c r="E234" s="7">
        <v>749.73</v>
      </c>
      <c r="F234" s="7">
        <v>815</v>
      </c>
      <c r="G234" s="7">
        <v>639</v>
      </c>
      <c r="H234" s="7">
        <v>0</v>
      </c>
      <c r="I234" s="7">
        <v>0</v>
      </c>
      <c r="J234" s="7"/>
      <c r="K234" s="1" t="s">
        <v>91</v>
      </c>
      <c r="L234" s="1" t="s">
        <v>407</v>
      </c>
    </row>
    <row r="235" spans="1:12" ht="21" customHeight="1">
      <c r="A235" s="5">
        <v>46275</v>
      </c>
      <c r="B235" s="7">
        <v>763.51</v>
      </c>
      <c r="C235" s="7">
        <v>74862256</v>
      </c>
      <c r="D235" s="7">
        <v>749.73</v>
      </c>
      <c r="E235" s="7">
        <v>753.43</v>
      </c>
      <c r="F235" s="7">
        <v>910</v>
      </c>
      <c r="G235" s="7">
        <v>725</v>
      </c>
      <c r="H235" s="7">
        <v>0</v>
      </c>
      <c r="I235" s="7">
        <v>0</v>
      </c>
      <c r="J235" s="7"/>
      <c r="K235" s="1" t="s">
        <v>91</v>
      </c>
      <c r="L235" s="1" t="s">
        <v>408</v>
      </c>
    </row>
    <row r="236" spans="1:12" ht="21" customHeight="1">
      <c r="A236" s="5">
        <v>46276</v>
      </c>
      <c r="B236" s="7">
        <v>663.81</v>
      </c>
      <c r="C236" s="7">
        <v>89392912</v>
      </c>
      <c r="D236" s="7">
        <v>753.43</v>
      </c>
      <c r="E236" s="7">
        <v>665</v>
      </c>
      <c r="F236" s="7">
        <v>777.95</v>
      </c>
      <c r="G236" s="7">
        <v>598.07000000000005</v>
      </c>
      <c r="H236" s="7">
        <v>0</v>
      </c>
      <c r="I236" s="7">
        <v>0</v>
      </c>
      <c r="J236" s="7"/>
      <c r="K236" s="1" t="s">
        <v>91</v>
      </c>
      <c r="L236" s="1" t="s">
        <v>409</v>
      </c>
    </row>
    <row r="237" spans="1:12" ht="21" customHeight="1">
      <c r="A237" s="5">
        <v>46279</v>
      </c>
      <c r="B237" s="7">
        <v>574.6</v>
      </c>
      <c r="C237" s="7">
        <v>79085528</v>
      </c>
      <c r="D237" s="7">
        <v>665</v>
      </c>
      <c r="E237" s="7">
        <v>520</v>
      </c>
      <c r="F237" s="7">
        <v>665</v>
      </c>
      <c r="G237" s="7">
        <v>540</v>
      </c>
      <c r="H237" s="7">
        <v>0</v>
      </c>
      <c r="I237" s="7">
        <v>0</v>
      </c>
      <c r="J237" s="7"/>
      <c r="K237" s="1" t="s">
        <v>91</v>
      </c>
      <c r="L237" s="1" t="s">
        <v>410</v>
      </c>
    </row>
    <row r="238" spans="1:12" ht="21" customHeight="1">
      <c r="A238" s="5">
        <v>46280</v>
      </c>
      <c r="B238" s="7">
        <v>490</v>
      </c>
      <c r="C238" s="7">
        <v>51367756</v>
      </c>
      <c r="D238" s="7">
        <v>520</v>
      </c>
      <c r="E238" s="7">
        <v>435</v>
      </c>
      <c r="F238" s="7">
        <v>536.65</v>
      </c>
      <c r="G238" s="7">
        <v>450</v>
      </c>
      <c r="H238" s="7">
        <v>0</v>
      </c>
      <c r="I238" s="7">
        <v>0</v>
      </c>
      <c r="J238" s="7"/>
      <c r="K238" s="1" t="s">
        <v>91</v>
      </c>
      <c r="L238" s="1" t="s">
        <v>411</v>
      </c>
    </row>
    <row r="239" spans="1:12" ht="21" customHeight="1">
      <c r="A239" s="5">
        <v>46281</v>
      </c>
      <c r="B239" s="7">
        <v>478.22</v>
      </c>
      <c r="C239" s="7">
        <v>55284376</v>
      </c>
      <c r="D239" s="7">
        <v>435</v>
      </c>
      <c r="E239" s="7">
        <v>510</v>
      </c>
      <c r="F239" s="7">
        <v>540</v>
      </c>
      <c r="G239" s="7">
        <v>435</v>
      </c>
      <c r="H239" s="7">
        <v>0</v>
      </c>
      <c r="I239" s="7">
        <v>0</v>
      </c>
      <c r="J239" s="7"/>
      <c r="K239" s="1" t="s">
        <v>91</v>
      </c>
      <c r="L239" s="1" t="s">
        <v>412</v>
      </c>
    </row>
    <row r="240" spans="1:12" ht="21" customHeight="1">
      <c r="A240" s="5">
        <v>46255</v>
      </c>
      <c r="B240" s="7">
        <v>520</v>
      </c>
      <c r="C240" s="7">
        <v>103459176</v>
      </c>
      <c r="D240" s="7">
        <v>510</v>
      </c>
      <c r="E240" s="7">
        <v>550</v>
      </c>
      <c r="F240" s="7">
        <v>625</v>
      </c>
      <c r="G240" s="7">
        <v>485</v>
      </c>
      <c r="H240" s="7">
        <v>0</v>
      </c>
      <c r="I240" s="7">
        <v>0</v>
      </c>
      <c r="J240" s="7"/>
      <c r="K240" s="1" t="s">
        <v>86</v>
      </c>
      <c r="L240" s="1" t="s">
        <v>413</v>
      </c>
    </row>
    <row r="241" spans="1:12" ht="21" customHeight="1">
      <c r="A241" s="5">
        <v>46258</v>
      </c>
      <c r="B241" s="7">
        <v>686.77</v>
      </c>
      <c r="C241" s="7">
        <v>612210304</v>
      </c>
      <c r="D241" s="7">
        <v>550</v>
      </c>
      <c r="E241" s="7">
        <v>650</v>
      </c>
      <c r="F241" s="7">
        <v>725</v>
      </c>
      <c r="G241" s="7">
        <v>482</v>
      </c>
      <c r="H241" s="7">
        <v>0</v>
      </c>
      <c r="I241" s="7">
        <v>0</v>
      </c>
      <c r="J241" s="7"/>
      <c r="K241" s="1" t="s">
        <v>86</v>
      </c>
      <c r="L241" s="1" t="s">
        <v>414</v>
      </c>
    </row>
    <row r="242" spans="1:12" ht="21" customHeight="1">
      <c r="A242" s="5">
        <v>46259</v>
      </c>
      <c r="B242" s="7">
        <v>720.8</v>
      </c>
      <c r="C242" s="7">
        <v>187535632</v>
      </c>
      <c r="D242" s="7">
        <v>650</v>
      </c>
      <c r="E242" s="7">
        <v>750.01</v>
      </c>
      <c r="F242" s="7">
        <v>749</v>
      </c>
      <c r="G242" s="7">
        <v>628</v>
      </c>
      <c r="H242" s="7">
        <v>0</v>
      </c>
      <c r="I242" s="7">
        <v>0</v>
      </c>
      <c r="J242" s="7"/>
      <c r="K242" s="1" t="s">
        <v>86</v>
      </c>
      <c r="L242" s="1" t="s">
        <v>415</v>
      </c>
    </row>
    <row r="243" spans="1:12" ht="21" customHeight="1">
      <c r="A243" s="5">
        <v>46260</v>
      </c>
      <c r="B243" s="7">
        <v>690.84</v>
      </c>
      <c r="C243" s="7">
        <v>155714400</v>
      </c>
      <c r="D243" s="7">
        <v>750.01</v>
      </c>
      <c r="E243" s="7">
        <v>691.24</v>
      </c>
      <c r="F243" s="7">
        <v>815</v>
      </c>
      <c r="G243" s="7">
        <v>670.01</v>
      </c>
      <c r="H243" s="7">
        <v>0</v>
      </c>
      <c r="I243" s="7">
        <v>0</v>
      </c>
      <c r="J243" s="7"/>
      <c r="K243" s="1" t="s">
        <v>86</v>
      </c>
      <c r="L243" s="1" t="s">
        <v>416</v>
      </c>
    </row>
    <row r="244" spans="1:12" ht="21" customHeight="1">
      <c r="A244" s="5">
        <v>46261</v>
      </c>
      <c r="B244" s="7">
        <v>587.6</v>
      </c>
      <c r="C244" s="7">
        <v>169466192</v>
      </c>
      <c r="D244" s="7">
        <v>691.24</v>
      </c>
      <c r="E244" s="7">
        <v>600.01</v>
      </c>
      <c r="F244" s="7">
        <v>691.24</v>
      </c>
      <c r="G244" s="7">
        <v>585</v>
      </c>
      <c r="H244" s="7">
        <v>0</v>
      </c>
      <c r="I244" s="7">
        <v>0</v>
      </c>
      <c r="J244" s="7"/>
      <c r="K244" s="1" t="s">
        <v>86</v>
      </c>
      <c r="L244" s="1" t="s">
        <v>417</v>
      </c>
    </row>
    <row r="245" spans="1:12" ht="21" customHeight="1">
      <c r="A245" s="5">
        <v>46262</v>
      </c>
      <c r="B245" s="7">
        <v>532.71</v>
      </c>
      <c r="C245" s="7">
        <v>147764528</v>
      </c>
      <c r="D245" s="7">
        <v>600.01</v>
      </c>
      <c r="E245" s="7">
        <v>534</v>
      </c>
      <c r="F245" s="7">
        <v>600.01</v>
      </c>
      <c r="G245" s="7">
        <v>470</v>
      </c>
      <c r="H245" s="7">
        <v>0</v>
      </c>
      <c r="I245" s="7">
        <v>0</v>
      </c>
      <c r="J245" s="7"/>
      <c r="K245" s="1" t="s">
        <v>86</v>
      </c>
      <c r="L245" s="1" t="s">
        <v>418</v>
      </c>
    </row>
    <row r="246" spans="1:12" ht="21" customHeight="1">
      <c r="A246" s="5">
        <v>46265</v>
      </c>
      <c r="B246" s="7">
        <v>661.02</v>
      </c>
      <c r="C246" s="7">
        <v>177637984</v>
      </c>
      <c r="D246" s="7">
        <v>534</v>
      </c>
      <c r="E246" s="7">
        <v>652</v>
      </c>
      <c r="F246" s="7">
        <v>720</v>
      </c>
      <c r="G246" s="7">
        <v>534</v>
      </c>
      <c r="H246" s="7">
        <v>0</v>
      </c>
      <c r="I246" s="7">
        <v>0</v>
      </c>
      <c r="J246" s="7"/>
      <c r="K246" s="1" t="s">
        <v>86</v>
      </c>
      <c r="L246" s="1" t="s">
        <v>419</v>
      </c>
    </row>
    <row r="247" spans="1:12" ht="21" customHeight="1">
      <c r="A247" s="5">
        <v>46266</v>
      </c>
      <c r="B247" s="7">
        <v>688.81</v>
      </c>
      <c r="C247" s="7">
        <v>310467520</v>
      </c>
      <c r="D247" s="7">
        <v>652</v>
      </c>
      <c r="E247" s="7">
        <v>690</v>
      </c>
      <c r="F247" s="7">
        <v>760</v>
      </c>
      <c r="G247" s="7">
        <v>630</v>
      </c>
      <c r="H247" s="7">
        <v>0</v>
      </c>
      <c r="I247" s="7">
        <v>0</v>
      </c>
      <c r="J247" s="7"/>
      <c r="K247" s="1" t="s">
        <v>86</v>
      </c>
      <c r="L247" s="1" t="s">
        <v>420</v>
      </c>
    </row>
    <row r="248" spans="1:12" ht="21" customHeight="1">
      <c r="A248" s="5">
        <v>46267</v>
      </c>
      <c r="B248" s="7">
        <v>745.47</v>
      </c>
      <c r="C248" s="7">
        <v>94739640</v>
      </c>
      <c r="D248" s="7">
        <v>690</v>
      </c>
      <c r="E248" s="7">
        <v>796</v>
      </c>
      <c r="F248" s="7">
        <v>750</v>
      </c>
      <c r="G248" s="7">
        <v>660.01</v>
      </c>
      <c r="H248" s="7">
        <v>0</v>
      </c>
      <c r="I248" s="7">
        <v>0</v>
      </c>
      <c r="J248" s="7"/>
      <c r="K248" s="1" t="s">
        <v>86</v>
      </c>
      <c r="L248" s="1" t="s">
        <v>421</v>
      </c>
    </row>
    <row r="249" spans="1:12" ht="21" customHeight="1">
      <c r="A249" s="5">
        <v>46268</v>
      </c>
      <c r="B249" s="7">
        <v>665.11</v>
      </c>
      <c r="C249" s="7">
        <v>96836888</v>
      </c>
      <c r="D249" s="7">
        <v>796</v>
      </c>
      <c r="E249" s="7">
        <v>630</v>
      </c>
      <c r="F249" s="7">
        <v>820</v>
      </c>
      <c r="G249" s="7">
        <v>640</v>
      </c>
      <c r="H249" s="7">
        <v>0</v>
      </c>
      <c r="I249" s="7">
        <v>0</v>
      </c>
      <c r="J249" s="7"/>
      <c r="K249" s="1" t="s">
        <v>86</v>
      </c>
      <c r="L249" s="1" t="s">
        <v>422</v>
      </c>
    </row>
    <row r="250" spans="1:12" ht="21" customHeight="1">
      <c r="A250" s="5">
        <v>46269</v>
      </c>
      <c r="B250" s="7">
        <v>616.63</v>
      </c>
      <c r="C250" s="7">
        <v>101920112</v>
      </c>
      <c r="D250" s="7">
        <v>630</v>
      </c>
      <c r="E250" s="7">
        <v>600</v>
      </c>
      <c r="F250" s="7">
        <v>669.98</v>
      </c>
      <c r="G250" s="7">
        <v>557.29999999999995</v>
      </c>
      <c r="H250" s="7">
        <v>0</v>
      </c>
      <c r="I250" s="7">
        <v>0</v>
      </c>
      <c r="J250" s="7"/>
      <c r="K250" s="1" t="s">
        <v>86</v>
      </c>
      <c r="L250" s="1" t="s">
        <v>423</v>
      </c>
    </row>
    <row r="251" spans="1:12" ht="21" customHeight="1">
      <c r="A251" s="5">
        <v>46272</v>
      </c>
      <c r="B251" s="7">
        <v>567</v>
      </c>
      <c r="C251" s="7">
        <v>17502592</v>
      </c>
      <c r="D251" s="7">
        <v>600</v>
      </c>
      <c r="E251" s="7">
        <v>599.99</v>
      </c>
      <c r="F251" s="7">
        <v>600</v>
      </c>
      <c r="G251" s="7">
        <v>565</v>
      </c>
      <c r="H251" s="7">
        <v>0</v>
      </c>
      <c r="I251" s="7">
        <v>0</v>
      </c>
      <c r="J251" s="7"/>
      <c r="K251" s="1" t="s">
        <v>86</v>
      </c>
      <c r="L251" s="1" t="s">
        <v>424</v>
      </c>
    </row>
    <row r="252" spans="1:12" ht="21" customHeight="1">
      <c r="A252" s="5">
        <v>46273</v>
      </c>
      <c r="B252" s="7">
        <v>595.26</v>
      </c>
      <c r="C252" s="7">
        <v>118256008</v>
      </c>
      <c r="D252" s="7">
        <v>599.99</v>
      </c>
      <c r="E252" s="7">
        <v>540</v>
      </c>
      <c r="F252" s="7">
        <v>624</v>
      </c>
      <c r="G252" s="7">
        <v>520</v>
      </c>
      <c r="H252" s="7">
        <v>0</v>
      </c>
      <c r="I252" s="7">
        <v>0</v>
      </c>
      <c r="J252" s="7"/>
      <c r="K252" s="1" t="s">
        <v>86</v>
      </c>
      <c r="L252" s="1" t="s">
        <v>425</v>
      </c>
    </row>
    <row r="253" spans="1:12" ht="21" customHeight="1">
      <c r="A253" s="5">
        <v>46274</v>
      </c>
      <c r="B253" s="7">
        <v>630.86</v>
      </c>
      <c r="C253" s="7">
        <v>103997440</v>
      </c>
      <c r="D253" s="7">
        <v>540</v>
      </c>
      <c r="E253" s="7">
        <v>593.36</v>
      </c>
      <c r="F253" s="7">
        <v>685</v>
      </c>
      <c r="G253" s="7">
        <v>520</v>
      </c>
      <c r="H253" s="7">
        <v>0</v>
      </c>
      <c r="I253" s="7">
        <v>0</v>
      </c>
      <c r="J253" s="7"/>
      <c r="K253" s="1" t="s">
        <v>86</v>
      </c>
      <c r="L253" s="1" t="s">
        <v>426</v>
      </c>
    </row>
    <row r="254" spans="1:12" ht="21" customHeight="1">
      <c r="A254" s="5">
        <v>46275</v>
      </c>
      <c r="B254" s="7">
        <v>648.79</v>
      </c>
      <c r="C254" s="7">
        <v>107303256</v>
      </c>
      <c r="D254" s="7">
        <v>593.36</v>
      </c>
      <c r="E254" s="7">
        <v>609.57000000000005</v>
      </c>
      <c r="F254" s="7">
        <v>760</v>
      </c>
      <c r="G254" s="7">
        <v>593.36</v>
      </c>
      <c r="H254" s="7">
        <v>0</v>
      </c>
      <c r="I254" s="7">
        <v>0</v>
      </c>
      <c r="J254" s="7"/>
      <c r="K254" s="1" t="s">
        <v>86</v>
      </c>
      <c r="L254" s="1" t="s">
        <v>427</v>
      </c>
    </row>
    <row r="255" spans="1:12" ht="21" customHeight="1">
      <c r="A255" s="5">
        <v>46276</v>
      </c>
      <c r="B255" s="7">
        <v>544.29</v>
      </c>
      <c r="C255" s="7">
        <v>119737312</v>
      </c>
      <c r="D255" s="7">
        <v>609.57000000000005</v>
      </c>
      <c r="E255" s="7">
        <v>508.89</v>
      </c>
      <c r="F255" s="7">
        <v>641</v>
      </c>
      <c r="G255" s="7">
        <v>505</v>
      </c>
      <c r="H255" s="7">
        <v>0</v>
      </c>
      <c r="I255" s="7">
        <v>0</v>
      </c>
      <c r="J255" s="7"/>
      <c r="K255" s="1" t="s">
        <v>86</v>
      </c>
      <c r="L255" s="1" t="s">
        <v>428</v>
      </c>
    </row>
    <row r="256" spans="1:12" ht="21" customHeight="1">
      <c r="A256" s="5">
        <v>46279</v>
      </c>
      <c r="B256" s="7">
        <v>449.91</v>
      </c>
      <c r="C256" s="7">
        <v>135067376</v>
      </c>
      <c r="D256" s="7">
        <v>508.89</v>
      </c>
      <c r="E256" s="7">
        <v>393.71</v>
      </c>
      <c r="F256" s="7">
        <v>533</v>
      </c>
      <c r="G256" s="7">
        <v>430</v>
      </c>
      <c r="H256" s="7">
        <v>0</v>
      </c>
      <c r="I256" s="7">
        <v>0</v>
      </c>
      <c r="J256" s="7"/>
      <c r="K256" s="1" t="s">
        <v>86</v>
      </c>
      <c r="L256" s="1" t="s">
        <v>429</v>
      </c>
    </row>
    <row r="257" spans="1:12" ht="21" customHeight="1">
      <c r="A257" s="5">
        <v>46280</v>
      </c>
      <c r="B257" s="7">
        <v>380.09</v>
      </c>
      <c r="C257" s="7">
        <v>189504416</v>
      </c>
      <c r="D257" s="7">
        <v>393.71</v>
      </c>
      <c r="E257" s="7">
        <v>360.01</v>
      </c>
      <c r="F257" s="7">
        <v>419.9</v>
      </c>
      <c r="G257" s="7">
        <v>350</v>
      </c>
      <c r="H257" s="7">
        <v>0</v>
      </c>
      <c r="I257" s="7">
        <v>0</v>
      </c>
      <c r="J257" s="7"/>
      <c r="K257" s="1" t="s">
        <v>86</v>
      </c>
      <c r="L257" s="1" t="s">
        <v>430</v>
      </c>
    </row>
    <row r="258" spans="1:12" ht="21" customHeight="1">
      <c r="A258" s="5">
        <v>46281</v>
      </c>
      <c r="B258" s="7">
        <v>376.43</v>
      </c>
      <c r="C258" s="7">
        <v>100339456</v>
      </c>
      <c r="D258" s="7">
        <v>360.01</v>
      </c>
      <c r="E258" s="7">
        <v>430</v>
      </c>
      <c r="F258" s="7">
        <v>429.88</v>
      </c>
      <c r="G258" s="7">
        <v>330</v>
      </c>
      <c r="H258" s="7">
        <v>0</v>
      </c>
      <c r="I258" s="7">
        <v>0</v>
      </c>
      <c r="J258" s="7"/>
      <c r="K258" s="1" t="s">
        <v>86</v>
      </c>
      <c r="L258" s="1" t="s">
        <v>431</v>
      </c>
    </row>
    <row r="259" spans="1:12" ht="21" customHeight="1">
      <c r="A259" s="5">
        <v>46255</v>
      </c>
      <c r="B259" s="7">
        <v>419.73</v>
      </c>
      <c r="C259" s="7">
        <v>255199440</v>
      </c>
      <c r="D259" s="7">
        <v>430</v>
      </c>
      <c r="E259" s="7">
        <v>419</v>
      </c>
      <c r="F259" s="7">
        <v>510</v>
      </c>
      <c r="G259" s="7">
        <v>406</v>
      </c>
      <c r="H259" s="7">
        <v>0</v>
      </c>
      <c r="I259" s="7">
        <v>0</v>
      </c>
      <c r="J259" s="7"/>
      <c r="K259" s="1" t="s">
        <v>93</v>
      </c>
      <c r="L259" s="1" t="s">
        <v>432</v>
      </c>
    </row>
    <row r="260" spans="1:12" ht="21" customHeight="1">
      <c r="A260" s="5">
        <v>46258</v>
      </c>
      <c r="B260" s="7">
        <v>579.21</v>
      </c>
      <c r="C260" s="7">
        <v>904627648</v>
      </c>
      <c r="D260" s="7">
        <v>419</v>
      </c>
      <c r="E260" s="7">
        <v>560</v>
      </c>
      <c r="F260" s="7">
        <v>618</v>
      </c>
      <c r="G260" s="7">
        <v>385</v>
      </c>
      <c r="H260" s="7">
        <v>0</v>
      </c>
      <c r="I260" s="7">
        <v>0</v>
      </c>
      <c r="J260" s="7"/>
      <c r="K260" s="1" t="s">
        <v>93</v>
      </c>
      <c r="L260" s="1" t="s">
        <v>433</v>
      </c>
    </row>
    <row r="261" spans="1:12" ht="21" customHeight="1">
      <c r="A261" s="5">
        <v>46259</v>
      </c>
      <c r="B261" s="7">
        <v>604.66</v>
      </c>
      <c r="C261" s="7">
        <v>487959488</v>
      </c>
      <c r="D261" s="7">
        <v>560</v>
      </c>
      <c r="E261" s="7">
        <v>650</v>
      </c>
      <c r="F261" s="7">
        <v>615</v>
      </c>
      <c r="G261" s="7">
        <v>520</v>
      </c>
      <c r="H261" s="7">
        <v>0</v>
      </c>
      <c r="I261" s="7">
        <v>0</v>
      </c>
      <c r="J261" s="7"/>
      <c r="K261" s="1" t="s">
        <v>93</v>
      </c>
      <c r="L261" s="1" t="s">
        <v>434</v>
      </c>
    </row>
    <row r="262" spans="1:12" ht="21" customHeight="1">
      <c r="A262" s="5">
        <v>46260</v>
      </c>
      <c r="B262" s="7">
        <v>565.70000000000005</v>
      </c>
      <c r="C262" s="7">
        <v>228865776</v>
      </c>
      <c r="D262" s="7">
        <v>650</v>
      </c>
      <c r="E262" s="7">
        <v>612</v>
      </c>
      <c r="F262" s="7">
        <v>800</v>
      </c>
      <c r="G262" s="7">
        <v>555</v>
      </c>
      <c r="H262" s="7">
        <v>0</v>
      </c>
      <c r="I262" s="7">
        <v>0</v>
      </c>
      <c r="J262" s="7"/>
      <c r="K262" s="1" t="s">
        <v>93</v>
      </c>
      <c r="L262" s="1" t="s">
        <v>435</v>
      </c>
    </row>
    <row r="263" spans="1:12" ht="21" customHeight="1">
      <c r="A263" s="5">
        <v>46261</v>
      </c>
      <c r="B263" s="7">
        <v>484.8</v>
      </c>
      <c r="C263" s="7">
        <v>409799456</v>
      </c>
      <c r="D263" s="7">
        <v>612</v>
      </c>
      <c r="E263" s="7">
        <v>485</v>
      </c>
      <c r="F263" s="7">
        <v>617.99</v>
      </c>
      <c r="G263" s="7">
        <v>481.7</v>
      </c>
      <c r="H263" s="7">
        <v>0</v>
      </c>
      <c r="I263" s="7">
        <v>0</v>
      </c>
      <c r="J263" s="7"/>
      <c r="K263" s="1" t="s">
        <v>93</v>
      </c>
      <c r="L263" s="1" t="s">
        <v>436</v>
      </c>
    </row>
    <row r="264" spans="1:12" ht="21" customHeight="1">
      <c r="A264" s="5">
        <v>46262</v>
      </c>
      <c r="B264" s="7">
        <v>438.78</v>
      </c>
      <c r="C264" s="7">
        <v>207209360</v>
      </c>
      <c r="D264" s="7">
        <v>485</v>
      </c>
      <c r="E264" s="7">
        <v>450</v>
      </c>
      <c r="F264" s="7">
        <v>485</v>
      </c>
      <c r="G264" s="7">
        <v>380</v>
      </c>
      <c r="H264" s="7">
        <v>0</v>
      </c>
      <c r="I264" s="7">
        <v>0</v>
      </c>
      <c r="J264" s="7"/>
      <c r="K264" s="1" t="s">
        <v>93</v>
      </c>
      <c r="L264" s="1" t="s">
        <v>437</v>
      </c>
    </row>
    <row r="265" spans="1:12" ht="21" customHeight="1">
      <c r="A265" s="5">
        <v>46265</v>
      </c>
      <c r="B265" s="7">
        <v>552.70000000000005</v>
      </c>
      <c r="C265" s="7">
        <v>264683120</v>
      </c>
      <c r="D265" s="7">
        <v>450</v>
      </c>
      <c r="E265" s="7">
        <v>510</v>
      </c>
      <c r="F265" s="7">
        <v>609.99</v>
      </c>
      <c r="G265" s="7">
        <v>440</v>
      </c>
      <c r="H265" s="7">
        <v>0</v>
      </c>
      <c r="I265" s="7">
        <v>0</v>
      </c>
      <c r="J265" s="7"/>
      <c r="K265" s="1" t="s">
        <v>93</v>
      </c>
      <c r="L265" s="1" t="s">
        <v>438</v>
      </c>
    </row>
    <row r="266" spans="1:12" ht="21" customHeight="1">
      <c r="A266" s="5">
        <v>46266</v>
      </c>
      <c r="B266" s="7">
        <v>562.73</v>
      </c>
      <c r="C266" s="7">
        <v>401417760</v>
      </c>
      <c r="D266" s="7">
        <v>510</v>
      </c>
      <c r="E266" s="7">
        <v>573.97</v>
      </c>
      <c r="F266" s="7">
        <v>645</v>
      </c>
      <c r="G266" s="7">
        <v>508.33</v>
      </c>
      <c r="H266" s="7">
        <v>0</v>
      </c>
      <c r="I266" s="7">
        <v>0</v>
      </c>
      <c r="J266" s="7"/>
      <c r="K266" s="1" t="s">
        <v>93</v>
      </c>
      <c r="L266" s="1" t="s">
        <v>439</v>
      </c>
    </row>
    <row r="267" spans="1:12" ht="21" customHeight="1">
      <c r="A267" s="5">
        <v>46267</v>
      </c>
      <c r="B267" s="7">
        <v>617.88</v>
      </c>
      <c r="C267" s="7">
        <v>216383168</v>
      </c>
      <c r="D267" s="7">
        <v>573.97</v>
      </c>
      <c r="E267" s="7">
        <v>650</v>
      </c>
      <c r="F267" s="7">
        <v>626.05999999999995</v>
      </c>
      <c r="G267" s="7">
        <v>543</v>
      </c>
      <c r="H267" s="7">
        <v>0</v>
      </c>
      <c r="I267" s="7">
        <v>0</v>
      </c>
      <c r="J267" s="7"/>
      <c r="K267" s="1" t="s">
        <v>93</v>
      </c>
      <c r="L267" s="1" t="s">
        <v>440</v>
      </c>
    </row>
    <row r="268" spans="1:12" ht="21" customHeight="1">
      <c r="A268" s="5">
        <v>46268</v>
      </c>
      <c r="B268" s="7">
        <v>547.83000000000004</v>
      </c>
      <c r="C268" s="7">
        <v>272889632</v>
      </c>
      <c r="D268" s="7">
        <v>650</v>
      </c>
      <c r="E268" s="7">
        <v>505.12</v>
      </c>
      <c r="F268" s="7">
        <v>720</v>
      </c>
      <c r="G268" s="7">
        <v>528</v>
      </c>
      <c r="H268" s="7">
        <v>0</v>
      </c>
      <c r="I268" s="7">
        <v>0</v>
      </c>
      <c r="J268" s="7"/>
      <c r="K268" s="1" t="s">
        <v>93</v>
      </c>
      <c r="L268" s="1" t="s">
        <v>441</v>
      </c>
    </row>
    <row r="269" spans="1:12" ht="21" customHeight="1">
      <c r="A269" s="5">
        <v>46269</v>
      </c>
      <c r="B269" s="7">
        <v>501.55</v>
      </c>
      <c r="C269" s="7">
        <v>257316112</v>
      </c>
      <c r="D269" s="7">
        <v>505.12</v>
      </c>
      <c r="E269" s="7">
        <v>490</v>
      </c>
      <c r="F269" s="7">
        <v>547.89</v>
      </c>
      <c r="G269" s="7">
        <v>475</v>
      </c>
      <c r="H269" s="7">
        <v>0</v>
      </c>
      <c r="I269" s="7">
        <v>0</v>
      </c>
      <c r="J269" s="7"/>
      <c r="K269" s="1" t="s">
        <v>93</v>
      </c>
      <c r="L269" s="1" t="s">
        <v>442</v>
      </c>
    </row>
    <row r="270" spans="1:12" ht="21" customHeight="1">
      <c r="A270" s="5">
        <v>46272</v>
      </c>
      <c r="B270" s="7">
        <v>460.71</v>
      </c>
      <c r="C270" s="7">
        <v>73510856</v>
      </c>
      <c r="D270" s="7">
        <v>490</v>
      </c>
      <c r="E270" s="7">
        <v>500</v>
      </c>
      <c r="F270" s="7">
        <v>490</v>
      </c>
      <c r="G270" s="7">
        <v>458</v>
      </c>
      <c r="H270" s="7">
        <v>0</v>
      </c>
      <c r="I270" s="7">
        <v>0</v>
      </c>
      <c r="J270" s="7"/>
      <c r="K270" s="1" t="s">
        <v>93</v>
      </c>
      <c r="L270" s="1" t="s">
        <v>443</v>
      </c>
    </row>
    <row r="271" spans="1:12" ht="21" customHeight="1">
      <c r="A271" s="5">
        <v>46273</v>
      </c>
      <c r="B271" s="7">
        <v>485.45</v>
      </c>
      <c r="C271" s="7">
        <v>448907360</v>
      </c>
      <c r="D271" s="7">
        <v>500</v>
      </c>
      <c r="E271" s="7">
        <v>470</v>
      </c>
      <c r="F271" s="7">
        <v>535</v>
      </c>
      <c r="G271" s="7">
        <v>390</v>
      </c>
      <c r="H271" s="7">
        <v>0</v>
      </c>
      <c r="I271" s="7">
        <v>0</v>
      </c>
      <c r="J271" s="7"/>
      <c r="K271" s="1" t="s">
        <v>93</v>
      </c>
      <c r="L271" s="1" t="s">
        <v>444</v>
      </c>
    </row>
    <row r="272" spans="1:12" ht="21" customHeight="1">
      <c r="A272" s="5">
        <v>46274</v>
      </c>
      <c r="B272" s="7">
        <v>521.42999999999995</v>
      </c>
      <c r="C272" s="7">
        <v>399605344</v>
      </c>
      <c r="D272" s="7">
        <v>470</v>
      </c>
      <c r="E272" s="7">
        <v>495</v>
      </c>
      <c r="F272" s="7">
        <v>550</v>
      </c>
      <c r="G272" s="7">
        <v>410</v>
      </c>
      <c r="H272" s="7">
        <v>0</v>
      </c>
      <c r="I272" s="7">
        <v>0</v>
      </c>
      <c r="J272" s="7"/>
      <c r="K272" s="1" t="s">
        <v>93</v>
      </c>
      <c r="L272" s="1" t="s">
        <v>445</v>
      </c>
    </row>
    <row r="273" spans="1:12" ht="21" customHeight="1">
      <c r="A273" s="5">
        <v>46275</v>
      </c>
      <c r="B273" s="7">
        <v>523.63</v>
      </c>
      <c r="C273" s="7">
        <v>306754368</v>
      </c>
      <c r="D273" s="7">
        <v>495</v>
      </c>
      <c r="E273" s="7">
        <v>527</v>
      </c>
      <c r="F273" s="7">
        <v>639</v>
      </c>
      <c r="G273" s="7">
        <v>467.75</v>
      </c>
      <c r="H273" s="7">
        <v>0</v>
      </c>
      <c r="I273" s="7">
        <v>0</v>
      </c>
      <c r="J273" s="7"/>
      <c r="K273" s="1" t="s">
        <v>93</v>
      </c>
      <c r="L273" s="1" t="s">
        <v>446</v>
      </c>
    </row>
    <row r="274" spans="1:12" ht="21" customHeight="1">
      <c r="A274" s="5">
        <v>46276</v>
      </c>
      <c r="B274" s="7">
        <v>438.34</v>
      </c>
      <c r="C274" s="7">
        <v>352488384</v>
      </c>
      <c r="D274" s="7">
        <v>527</v>
      </c>
      <c r="E274" s="7">
        <v>415</v>
      </c>
      <c r="F274" s="7">
        <v>527.49</v>
      </c>
      <c r="G274" s="7">
        <v>406</v>
      </c>
      <c r="H274" s="7">
        <v>0</v>
      </c>
      <c r="I274" s="7">
        <v>0</v>
      </c>
      <c r="J274" s="7"/>
      <c r="K274" s="1" t="s">
        <v>93</v>
      </c>
      <c r="L274" s="1" t="s">
        <v>447</v>
      </c>
    </row>
    <row r="275" spans="1:12" ht="21" customHeight="1">
      <c r="A275" s="5">
        <v>46279</v>
      </c>
      <c r="B275" s="7">
        <v>351.33</v>
      </c>
      <c r="C275" s="7">
        <v>212083968</v>
      </c>
      <c r="D275" s="7">
        <v>415</v>
      </c>
      <c r="E275" s="7">
        <v>310</v>
      </c>
      <c r="F275" s="7">
        <v>425</v>
      </c>
      <c r="G275" s="7">
        <v>337.5</v>
      </c>
      <c r="H275" s="7">
        <v>0</v>
      </c>
      <c r="I275" s="7">
        <v>0</v>
      </c>
      <c r="J275" s="7"/>
      <c r="K275" s="1" t="s">
        <v>93</v>
      </c>
      <c r="L275" s="1" t="s">
        <v>448</v>
      </c>
    </row>
    <row r="276" spans="1:12" ht="21" customHeight="1">
      <c r="A276" s="5">
        <v>46280</v>
      </c>
      <c r="B276" s="7">
        <v>277.07</v>
      </c>
      <c r="C276" s="7">
        <v>418205024</v>
      </c>
      <c r="D276" s="7">
        <v>310</v>
      </c>
      <c r="E276" s="7">
        <v>277</v>
      </c>
      <c r="F276" s="7">
        <v>315</v>
      </c>
      <c r="G276" s="7">
        <v>260</v>
      </c>
      <c r="H276" s="7">
        <v>0</v>
      </c>
      <c r="I276" s="7">
        <v>0</v>
      </c>
      <c r="J276" s="7"/>
      <c r="K276" s="1" t="s">
        <v>93</v>
      </c>
      <c r="L276" s="1" t="s">
        <v>449</v>
      </c>
    </row>
    <row r="277" spans="1:12" ht="21" customHeight="1">
      <c r="A277" s="5">
        <v>46281</v>
      </c>
      <c r="B277" s="7">
        <v>289.64999999999998</v>
      </c>
      <c r="C277" s="7">
        <v>223562320</v>
      </c>
      <c r="D277" s="7">
        <v>277</v>
      </c>
      <c r="E277" s="7">
        <v>341</v>
      </c>
      <c r="F277" s="7">
        <v>329.06</v>
      </c>
      <c r="G277" s="7">
        <v>237</v>
      </c>
      <c r="H277" s="7">
        <v>0</v>
      </c>
      <c r="I277" s="7">
        <v>0</v>
      </c>
      <c r="J277" s="7"/>
      <c r="K277" s="1" t="s">
        <v>93</v>
      </c>
      <c r="L277" s="1" t="s">
        <v>450</v>
      </c>
    </row>
    <row r="278" spans="1:12" ht="21" customHeight="1">
      <c r="A278" s="5">
        <v>46255</v>
      </c>
      <c r="B278" s="7">
        <v>339.33</v>
      </c>
      <c r="C278" s="7">
        <v>76861992</v>
      </c>
      <c r="D278" s="7">
        <v>341</v>
      </c>
      <c r="E278" s="7">
        <v>330</v>
      </c>
      <c r="F278" s="7">
        <v>440</v>
      </c>
      <c r="G278" s="7">
        <v>337.32</v>
      </c>
      <c r="H278" s="7">
        <v>0</v>
      </c>
      <c r="I278" s="7">
        <v>0</v>
      </c>
      <c r="J278" s="7"/>
      <c r="K278" s="1" t="s">
        <v>97</v>
      </c>
      <c r="L278" s="1" t="s">
        <v>451</v>
      </c>
    </row>
    <row r="279" spans="1:12" ht="21" customHeight="1">
      <c r="A279" s="5">
        <v>46258</v>
      </c>
      <c r="B279" s="7">
        <v>485.19</v>
      </c>
      <c r="C279" s="7">
        <v>274389984</v>
      </c>
      <c r="D279" s="7">
        <v>330</v>
      </c>
      <c r="E279" s="7">
        <v>450</v>
      </c>
      <c r="F279" s="7">
        <v>511</v>
      </c>
      <c r="G279" s="7">
        <v>300</v>
      </c>
      <c r="H279" s="7">
        <v>0</v>
      </c>
      <c r="I279" s="7">
        <v>0</v>
      </c>
      <c r="J279" s="7"/>
      <c r="K279" s="1" t="s">
        <v>97</v>
      </c>
      <c r="L279" s="1" t="s">
        <v>452</v>
      </c>
    </row>
    <row r="280" spans="1:12" ht="21" customHeight="1">
      <c r="A280" s="5">
        <v>46259</v>
      </c>
      <c r="B280" s="7">
        <v>501.24</v>
      </c>
      <c r="C280" s="7">
        <v>350747936</v>
      </c>
      <c r="D280" s="7">
        <v>450</v>
      </c>
      <c r="E280" s="7">
        <v>589.99</v>
      </c>
      <c r="F280" s="7">
        <v>513.01</v>
      </c>
      <c r="G280" s="7">
        <v>440</v>
      </c>
      <c r="H280" s="7">
        <v>0</v>
      </c>
      <c r="I280" s="7">
        <v>0</v>
      </c>
      <c r="J280" s="7"/>
      <c r="K280" s="1" t="s">
        <v>97</v>
      </c>
      <c r="L280" s="1" t="s">
        <v>453</v>
      </c>
    </row>
    <row r="281" spans="1:12" ht="21" customHeight="1">
      <c r="A281" s="5">
        <v>46260</v>
      </c>
      <c r="B281" s="7">
        <v>475.76</v>
      </c>
      <c r="C281" s="7">
        <v>207573168</v>
      </c>
      <c r="D281" s="7">
        <v>589.99</v>
      </c>
      <c r="E281" s="7">
        <v>455</v>
      </c>
      <c r="F281" s="7">
        <v>589.99</v>
      </c>
      <c r="G281" s="7">
        <v>458.32</v>
      </c>
      <c r="H281" s="7">
        <v>0</v>
      </c>
      <c r="I281" s="7">
        <v>0</v>
      </c>
      <c r="J281" s="7"/>
      <c r="K281" s="1" t="s">
        <v>97</v>
      </c>
      <c r="L281" s="1" t="s">
        <v>454</v>
      </c>
    </row>
    <row r="282" spans="1:12" ht="21" customHeight="1">
      <c r="A282" s="5">
        <v>46261</v>
      </c>
      <c r="B282" s="7">
        <v>393.33</v>
      </c>
      <c r="C282" s="7">
        <v>419758912</v>
      </c>
      <c r="D282" s="7">
        <v>455</v>
      </c>
      <c r="E282" s="7">
        <v>388.01</v>
      </c>
      <c r="F282" s="7">
        <v>509</v>
      </c>
      <c r="G282" s="7">
        <v>390</v>
      </c>
      <c r="H282" s="7">
        <v>0</v>
      </c>
      <c r="I282" s="7">
        <v>0</v>
      </c>
      <c r="J282" s="7"/>
      <c r="K282" s="1" t="s">
        <v>97</v>
      </c>
      <c r="L282" s="1" t="s">
        <v>455</v>
      </c>
    </row>
    <row r="283" spans="1:12" ht="21" customHeight="1">
      <c r="A283" s="5">
        <v>46262</v>
      </c>
      <c r="B283" s="7">
        <v>358.14</v>
      </c>
      <c r="C283" s="7">
        <v>296442560</v>
      </c>
      <c r="D283" s="7">
        <v>388.01</v>
      </c>
      <c r="E283" s="7">
        <v>360</v>
      </c>
      <c r="F283" s="7">
        <v>388.01</v>
      </c>
      <c r="G283" s="7">
        <v>292</v>
      </c>
      <c r="H283" s="7">
        <v>0</v>
      </c>
      <c r="I283" s="7">
        <v>0</v>
      </c>
      <c r="J283" s="7"/>
      <c r="K283" s="1" t="s">
        <v>97</v>
      </c>
      <c r="L283" s="1" t="s">
        <v>456</v>
      </c>
    </row>
    <row r="284" spans="1:12" ht="21" customHeight="1">
      <c r="A284" s="5">
        <v>46265</v>
      </c>
      <c r="B284" s="7">
        <v>453.57</v>
      </c>
      <c r="C284" s="7">
        <v>375388416</v>
      </c>
      <c r="D284" s="7">
        <v>360</v>
      </c>
      <c r="E284" s="7">
        <v>420</v>
      </c>
      <c r="F284" s="7">
        <v>500</v>
      </c>
      <c r="G284" s="7">
        <v>359.99</v>
      </c>
      <c r="H284" s="7">
        <v>0</v>
      </c>
      <c r="I284" s="7">
        <v>0</v>
      </c>
      <c r="J284" s="7"/>
      <c r="K284" s="1" t="s">
        <v>97</v>
      </c>
      <c r="L284" s="1" t="s">
        <v>457</v>
      </c>
    </row>
    <row r="285" spans="1:12" ht="21" customHeight="1">
      <c r="A285" s="5">
        <v>46266</v>
      </c>
      <c r="B285" s="7">
        <v>464.15</v>
      </c>
      <c r="C285" s="7">
        <v>667446912</v>
      </c>
      <c r="D285" s="7">
        <v>420</v>
      </c>
      <c r="E285" s="7">
        <v>408.42</v>
      </c>
      <c r="F285" s="7">
        <v>531</v>
      </c>
      <c r="G285" s="7">
        <v>403</v>
      </c>
      <c r="H285" s="7">
        <v>0</v>
      </c>
      <c r="I285" s="7">
        <v>0</v>
      </c>
      <c r="J285" s="7"/>
      <c r="K285" s="1" t="s">
        <v>97</v>
      </c>
      <c r="L285" s="1" t="s">
        <v>458</v>
      </c>
    </row>
    <row r="286" spans="1:12" ht="21" customHeight="1">
      <c r="A286" s="5">
        <v>46267</v>
      </c>
      <c r="B286" s="7">
        <v>507.78</v>
      </c>
      <c r="C286" s="7">
        <v>383027872</v>
      </c>
      <c r="D286" s="7">
        <v>408.42</v>
      </c>
      <c r="E286" s="7">
        <v>542</v>
      </c>
      <c r="F286" s="7">
        <v>512</v>
      </c>
      <c r="G286" s="7">
        <v>408.42</v>
      </c>
      <c r="H286" s="7">
        <v>0</v>
      </c>
      <c r="I286" s="7">
        <v>0</v>
      </c>
      <c r="J286" s="7"/>
      <c r="K286" s="1" t="s">
        <v>97</v>
      </c>
      <c r="L286" s="1" t="s">
        <v>459</v>
      </c>
    </row>
    <row r="287" spans="1:12" ht="21" customHeight="1">
      <c r="A287" s="5">
        <v>46268</v>
      </c>
      <c r="B287" s="7">
        <v>446.85</v>
      </c>
      <c r="C287" s="7">
        <v>559743360</v>
      </c>
      <c r="D287" s="7">
        <v>542</v>
      </c>
      <c r="E287" s="7">
        <v>417</v>
      </c>
      <c r="F287" s="7">
        <v>640</v>
      </c>
      <c r="G287" s="7">
        <v>425</v>
      </c>
      <c r="H287" s="7">
        <v>0</v>
      </c>
      <c r="I287" s="7">
        <v>0</v>
      </c>
      <c r="J287" s="7"/>
      <c r="K287" s="1" t="s">
        <v>97</v>
      </c>
      <c r="L287" s="1" t="s">
        <v>460</v>
      </c>
    </row>
    <row r="288" spans="1:12" ht="21" customHeight="1">
      <c r="A288" s="5">
        <v>46269</v>
      </c>
      <c r="B288" s="7">
        <v>399.74</v>
      </c>
      <c r="C288" s="7">
        <v>189516416</v>
      </c>
      <c r="D288" s="7">
        <v>417</v>
      </c>
      <c r="E288" s="7">
        <v>398</v>
      </c>
      <c r="F288" s="7">
        <v>440</v>
      </c>
      <c r="G288" s="7">
        <v>381</v>
      </c>
      <c r="H288" s="7">
        <v>0</v>
      </c>
      <c r="I288" s="7">
        <v>0</v>
      </c>
      <c r="J288" s="7"/>
      <c r="K288" s="1" t="s">
        <v>97</v>
      </c>
      <c r="L288" s="1" t="s">
        <v>461</v>
      </c>
    </row>
    <row r="289" spans="1:12" ht="21" customHeight="1">
      <c r="A289" s="5">
        <v>46272</v>
      </c>
      <c r="B289" s="7">
        <v>366.28</v>
      </c>
      <c r="C289" s="7">
        <v>32911494</v>
      </c>
      <c r="D289" s="7">
        <v>398</v>
      </c>
      <c r="E289" s="7">
        <v>390</v>
      </c>
      <c r="F289" s="7">
        <v>398</v>
      </c>
      <c r="G289" s="7">
        <v>365.4</v>
      </c>
      <c r="H289" s="7">
        <v>0</v>
      </c>
      <c r="I289" s="7">
        <v>0</v>
      </c>
      <c r="J289" s="7"/>
      <c r="K289" s="1" t="s">
        <v>97</v>
      </c>
      <c r="L289" s="1" t="s">
        <v>462</v>
      </c>
    </row>
    <row r="290" spans="1:12" ht="21" customHeight="1">
      <c r="A290" s="5">
        <v>46273</v>
      </c>
      <c r="B290" s="7">
        <v>385.82</v>
      </c>
      <c r="C290" s="7">
        <v>219621456</v>
      </c>
      <c r="D290" s="7">
        <v>390</v>
      </c>
      <c r="E290" s="7">
        <v>352</v>
      </c>
      <c r="F290" s="7">
        <v>409</v>
      </c>
      <c r="G290" s="7">
        <v>316.22000000000003</v>
      </c>
      <c r="H290" s="7">
        <v>0</v>
      </c>
      <c r="I290" s="7">
        <v>0</v>
      </c>
      <c r="J290" s="7"/>
      <c r="K290" s="1" t="s">
        <v>97</v>
      </c>
      <c r="L290" s="1" t="s">
        <v>463</v>
      </c>
    </row>
    <row r="291" spans="1:12" ht="21" customHeight="1">
      <c r="A291" s="5">
        <v>46274</v>
      </c>
      <c r="B291" s="7">
        <v>418.29</v>
      </c>
      <c r="C291" s="7">
        <v>233066080</v>
      </c>
      <c r="D291" s="7">
        <v>352</v>
      </c>
      <c r="E291" s="7">
        <v>380</v>
      </c>
      <c r="F291" s="7">
        <v>444</v>
      </c>
      <c r="G291" s="7">
        <v>320</v>
      </c>
      <c r="H291" s="7">
        <v>0</v>
      </c>
      <c r="I291" s="7">
        <v>0</v>
      </c>
      <c r="J291" s="7"/>
      <c r="K291" s="1" t="s">
        <v>97</v>
      </c>
      <c r="L291" s="1" t="s">
        <v>464</v>
      </c>
    </row>
    <row r="292" spans="1:12" ht="21" customHeight="1">
      <c r="A292" s="5">
        <v>46275</v>
      </c>
      <c r="B292" s="7">
        <v>423.4</v>
      </c>
      <c r="C292" s="7">
        <v>441164896</v>
      </c>
      <c r="D292" s="7">
        <v>380</v>
      </c>
      <c r="E292" s="7">
        <v>450</v>
      </c>
      <c r="F292" s="7">
        <v>520</v>
      </c>
      <c r="G292" s="7">
        <v>376</v>
      </c>
      <c r="H292" s="7">
        <v>0</v>
      </c>
      <c r="I292" s="7">
        <v>0</v>
      </c>
      <c r="J292" s="7"/>
      <c r="K292" s="1" t="s">
        <v>97</v>
      </c>
      <c r="L292" s="1" t="s">
        <v>465</v>
      </c>
    </row>
    <row r="293" spans="1:12" ht="21" customHeight="1">
      <c r="A293" s="5">
        <v>46276</v>
      </c>
      <c r="B293" s="7">
        <v>345.7</v>
      </c>
      <c r="C293" s="7">
        <v>276915808</v>
      </c>
      <c r="D293" s="7">
        <v>450</v>
      </c>
      <c r="E293" s="7">
        <v>295</v>
      </c>
      <c r="F293" s="7">
        <v>450</v>
      </c>
      <c r="G293" s="7">
        <v>313</v>
      </c>
      <c r="H293" s="7">
        <v>0</v>
      </c>
      <c r="I293" s="7">
        <v>0</v>
      </c>
      <c r="J293" s="7"/>
      <c r="K293" s="1" t="s">
        <v>97</v>
      </c>
      <c r="L293" s="1" t="s">
        <v>466</v>
      </c>
    </row>
    <row r="294" spans="1:12" ht="21" customHeight="1">
      <c r="A294" s="5">
        <v>46279</v>
      </c>
      <c r="B294" s="7">
        <v>261.93</v>
      </c>
      <c r="C294" s="7">
        <v>225884640</v>
      </c>
      <c r="D294" s="7">
        <v>295</v>
      </c>
      <c r="E294" s="7">
        <v>260</v>
      </c>
      <c r="F294" s="7">
        <v>324</v>
      </c>
      <c r="G294" s="7">
        <v>255</v>
      </c>
      <c r="H294" s="7">
        <v>0</v>
      </c>
      <c r="I294" s="7">
        <v>0</v>
      </c>
      <c r="J294" s="7"/>
      <c r="K294" s="1" t="s">
        <v>97</v>
      </c>
      <c r="L294" s="1" t="s">
        <v>467</v>
      </c>
    </row>
    <row r="295" spans="1:12" ht="21" customHeight="1">
      <c r="A295" s="5">
        <v>46280</v>
      </c>
      <c r="B295" s="7">
        <v>205.53</v>
      </c>
      <c r="C295" s="7">
        <v>191148784</v>
      </c>
      <c r="D295" s="7">
        <v>260</v>
      </c>
      <c r="E295" s="7">
        <v>181</v>
      </c>
      <c r="F295" s="7">
        <v>260</v>
      </c>
      <c r="G295" s="7">
        <v>187.08</v>
      </c>
      <c r="H295" s="7">
        <v>0</v>
      </c>
      <c r="I295" s="7">
        <v>0</v>
      </c>
      <c r="J295" s="7"/>
      <c r="K295" s="1" t="s">
        <v>97</v>
      </c>
      <c r="L295" s="1" t="s">
        <v>468</v>
      </c>
    </row>
    <row r="296" spans="1:12" ht="21" customHeight="1">
      <c r="A296" s="5">
        <v>46281</v>
      </c>
      <c r="B296" s="7">
        <v>213.18</v>
      </c>
      <c r="C296" s="7">
        <v>147861040</v>
      </c>
      <c r="D296" s="7">
        <v>181</v>
      </c>
      <c r="E296" s="7">
        <v>280</v>
      </c>
      <c r="F296" s="7">
        <v>245</v>
      </c>
      <c r="G296" s="7">
        <v>181</v>
      </c>
      <c r="H296" s="7">
        <v>0</v>
      </c>
      <c r="I296" s="7">
        <v>0</v>
      </c>
      <c r="J296" s="7"/>
      <c r="K296" s="1" t="s">
        <v>97</v>
      </c>
      <c r="L296" s="1" t="s">
        <v>469</v>
      </c>
    </row>
    <row r="297" spans="1:12" ht="21" customHeight="1">
      <c r="A297" s="5">
        <v>46255</v>
      </c>
      <c r="B297" s="7">
        <v>271.72000000000003</v>
      </c>
      <c r="C297" s="7">
        <v>68027704</v>
      </c>
      <c r="D297" s="7">
        <v>280</v>
      </c>
      <c r="E297" s="7">
        <v>280</v>
      </c>
      <c r="F297" s="7">
        <v>335</v>
      </c>
      <c r="G297" s="7">
        <v>268.01</v>
      </c>
      <c r="H297" s="7">
        <v>0</v>
      </c>
      <c r="I297" s="7">
        <v>0</v>
      </c>
      <c r="J297" s="7"/>
      <c r="K297" s="1" t="s">
        <v>102</v>
      </c>
      <c r="L297" s="1" t="s">
        <v>470</v>
      </c>
    </row>
    <row r="298" spans="1:12" ht="21" customHeight="1">
      <c r="A298" s="5">
        <v>46258</v>
      </c>
      <c r="B298" s="7">
        <v>396.15</v>
      </c>
      <c r="C298" s="7">
        <v>237999520</v>
      </c>
      <c r="D298" s="7">
        <v>280</v>
      </c>
      <c r="E298" s="7">
        <v>395</v>
      </c>
      <c r="F298" s="7">
        <v>421</v>
      </c>
      <c r="G298" s="7">
        <v>260</v>
      </c>
      <c r="H298" s="7">
        <v>0</v>
      </c>
      <c r="I298" s="7">
        <v>0</v>
      </c>
      <c r="J298" s="7"/>
      <c r="K298" s="1" t="s">
        <v>102</v>
      </c>
      <c r="L298" s="1" t="s">
        <v>471</v>
      </c>
    </row>
    <row r="299" spans="1:12" ht="21" customHeight="1">
      <c r="A299" s="5">
        <v>46259</v>
      </c>
      <c r="B299" s="7">
        <v>414.81</v>
      </c>
      <c r="C299" s="7">
        <v>250697120</v>
      </c>
      <c r="D299" s="7">
        <v>395</v>
      </c>
      <c r="E299" s="7">
        <v>450</v>
      </c>
      <c r="F299" s="7">
        <v>425</v>
      </c>
      <c r="G299" s="7">
        <v>358</v>
      </c>
      <c r="H299" s="7">
        <v>0</v>
      </c>
      <c r="I299" s="7">
        <v>0</v>
      </c>
      <c r="J299" s="7"/>
      <c r="K299" s="1" t="s">
        <v>102</v>
      </c>
      <c r="L299" s="1" t="s">
        <v>472</v>
      </c>
    </row>
    <row r="300" spans="1:12" ht="21" customHeight="1">
      <c r="A300" s="5">
        <v>46260</v>
      </c>
      <c r="B300" s="7">
        <v>391.75</v>
      </c>
      <c r="C300" s="7">
        <v>243192128</v>
      </c>
      <c r="D300" s="7">
        <v>450</v>
      </c>
      <c r="E300" s="7">
        <v>385</v>
      </c>
      <c r="F300" s="7">
        <v>520</v>
      </c>
      <c r="G300" s="7">
        <v>370</v>
      </c>
      <c r="H300" s="7">
        <v>0</v>
      </c>
      <c r="I300" s="7">
        <v>0</v>
      </c>
      <c r="J300" s="7"/>
      <c r="K300" s="1" t="s">
        <v>102</v>
      </c>
      <c r="L300" s="1" t="s">
        <v>473</v>
      </c>
    </row>
    <row r="301" spans="1:12" ht="21" customHeight="1">
      <c r="A301" s="5">
        <v>46261</v>
      </c>
      <c r="B301" s="7">
        <v>310.39</v>
      </c>
      <c r="C301" s="7">
        <v>243252768</v>
      </c>
      <c r="D301" s="7">
        <v>385</v>
      </c>
      <c r="E301" s="7">
        <v>320</v>
      </c>
      <c r="F301" s="7">
        <v>416.99</v>
      </c>
      <c r="G301" s="7">
        <v>305</v>
      </c>
      <c r="H301" s="7">
        <v>0</v>
      </c>
      <c r="I301" s="7">
        <v>0</v>
      </c>
      <c r="J301" s="7"/>
      <c r="K301" s="1" t="s">
        <v>102</v>
      </c>
      <c r="L301" s="1" t="s">
        <v>474</v>
      </c>
    </row>
    <row r="302" spans="1:12" ht="21" customHeight="1">
      <c r="A302" s="5">
        <v>46262</v>
      </c>
      <c r="B302" s="7">
        <v>280.61</v>
      </c>
      <c r="C302" s="7">
        <v>309063168</v>
      </c>
      <c r="D302" s="7">
        <v>320</v>
      </c>
      <c r="E302" s="7">
        <v>274.32</v>
      </c>
      <c r="F302" s="7">
        <v>330</v>
      </c>
      <c r="G302" s="7">
        <v>220.65</v>
      </c>
      <c r="H302" s="7">
        <v>0</v>
      </c>
      <c r="I302" s="7">
        <v>0</v>
      </c>
      <c r="J302" s="7"/>
      <c r="K302" s="1" t="s">
        <v>102</v>
      </c>
      <c r="L302" s="1" t="s">
        <v>475</v>
      </c>
    </row>
    <row r="303" spans="1:12" ht="21" customHeight="1">
      <c r="A303" s="5">
        <v>46265</v>
      </c>
      <c r="B303" s="7">
        <v>370.64</v>
      </c>
      <c r="C303" s="7">
        <v>459135296</v>
      </c>
      <c r="D303" s="7">
        <v>274.32</v>
      </c>
      <c r="E303" s="7">
        <v>365</v>
      </c>
      <c r="F303" s="7">
        <v>410</v>
      </c>
      <c r="G303" s="7">
        <v>270</v>
      </c>
      <c r="H303" s="7">
        <v>0</v>
      </c>
      <c r="I303" s="7">
        <v>0</v>
      </c>
      <c r="J303" s="7"/>
      <c r="K303" s="1" t="s">
        <v>102</v>
      </c>
      <c r="L303" s="1" t="s">
        <v>476</v>
      </c>
    </row>
    <row r="304" spans="1:12" ht="21" customHeight="1">
      <c r="A304" s="5">
        <v>46266</v>
      </c>
      <c r="B304" s="7">
        <v>372.77</v>
      </c>
      <c r="C304" s="7">
        <v>632641600</v>
      </c>
      <c r="D304" s="7">
        <v>365</v>
      </c>
      <c r="E304" s="7">
        <v>422</v>
      </c>
      <c r="F304" s="7">
        <v>430</v>
      </c>
      <c r="G304" s="7">
        <v>331.01</v>
      </c>
      <c r="H304" s="7">
        <v>0</v>
      </c>
      <c r="I304" s="7">
        <v>0</v>
      </c>
      <c r="J304" s="7"/>
      <c r="K304" s="1" t="s">
        <v>102</v>
      </c>
      <c r="L304" s="1" t="s">
        <v>477</v>
      </c>
    </row>
    <row r="305" spans="1:12" ht="21" customHeight="1">
      <c r="A305" s="5">
        <v>46267</v>
      </c>
      <c r="B305" s="7">
        <v>410.55</v>
      </c>
      <c r="C305" s="7">
        <v>522480896</v>
      </c>
      <c r="D305" s="7">
        <v>422</v>
      </c>
      <c r="E305" s="7">
        <v>475</v>
      </c>
      <c r="F305" s="7">
        <v>455</v>
      </c>
      <c r="G305" s="7">
        <v>350</v>
      </c>
      <c r="H305" s="7">
        <v>0</v>
      </c>
      <c r="I305" s="7">
        <v>0</v>
      </c>
      <c r="J305" s="7"/>
      <c r="K305" s="1" t="s">
        <v>102</v>
      </c>
      <c r="L305" s="1" t="s">
        <v>478</v>
      </c>
    </row>
    <row r="306" spans="1:12" ht="21" customHeight="1">
      <c r="A306" s="5">
        <v>46268</v>
      </c>
      <c r="B306" s="7">
        <v>355.55</v>
      </c>
      <c r="C306" s="7">
        <v>549382400</v>
      </c>
      <c r="D306" s="7">
        <v>475</v>
      </c>
      <c r="E306" s="7">
        <v>335</v>
      </c>
      <c r="F306" s="7">
        <v>490</v>
      </c>
      <c r="G306" s="7">
        <v>331.24</v>
      </c>
      <c r="H306" s="7">
        <v>0</v>
      </c>
      <c r="I306" s="7">
        <v>0</v>
      </c>
      <c r="J306" s="7"/>
      <c r="K306" s="1" t="s">
        <v>102</v>
      </c>
      <c r="L306" s="1" t="s">
        <v>479</v>
      </c>
    </row>
    <row r="307" spans="1:12" ht="21" customHeight="1">
      <c r="A307" s="5">
        <v>46269</v>
      </c>
      <c r="B307" s="7">
        <v>315.27</v>
      </c>
      <c r="C307" s="7">
        <v>148316400</v>
      </c>
      <c r="D307" s="7">
        <v>335</v>
      </c>
      <c r="E307" s="7">
        <v>301</v>
      </c>
      <c r="F307" s="7">
        <v>352</v>
      </c>
      <c r="G307" s="7">
        <v>300</v>
      </c>
      <c r="H307" s="7">
        <v>0</v>
      </c>
      <c r="I307" s="7">
        <v>0</v>
      </c>
      <c r="J307" s="7"/>
      <c r="K307" s="1" t="s">
        <v>102</v>
      </c>
      <c r="L307" s="1" t="s">
        <v>480</v>
      </c>
    </row>
    <row r="308" spans="1:12" ht="21" customHeight="1">
      <c r="A308" s="5">
        <v>46272</v>
      </c>
      <c r="B308" s="7">
        <v>286.38</v>
      </c>
      <c r="C308" s="7">
        <v>25585736</v>
      </c>
      <c r="D308" s="7">
        <v>301</v>
      </c>
      <c r="E308" s="7">
        <v>310</v>
      </c>
      <c r="F308" s="7">
        <v>303.38</v>
      </c>
      <c r="G308" s="7">
        <v>276.01</v>
      </c>
      <c r="H308" s="7">
        <v>0</v>
      </c>
      <c r="I308" s="7">
        <v>0</v>
      </c>
      <c r="J308" s="7"/>
      <c r="K308" s="1" t="s">
        <v>102</v>
      </c>
      <c r="L308" s="1" t="s">
        <v>481</v>
      </c>
    </row>
    <row r="309" spans="1:12" ht="21" customHeight="1">
      <c r="A309" s="5">
        <v>46273</v>
      </c>
      <c r="B309" s="7">
        <v>298.68</v>
      </c>
      <c r="C309" s="7">
        <v>233745536</v>
      </c>
      <c r="D309" s="7">
        <v>310</v>
      </c>
      <c r="E309" s="7">
        <v>271</v>
      </c>
      <c r="F309" s="7">
        <v>319</v>
      </c>
      <c r="G309" s="7">
        <v>250.5</v>
      </c>
      <c r="H309" s="7">
        <v>0</v>
      </c>
      <c r="I309" s="7">
        <v>0</v>
      </c>
      <c r="J309" s="7"/>
      <c r="K309" s="1" t="s">
        <v>102</v>
      </c>
      <c r="L309" s="1" t="s">
        <v>482</v>
      </c>
    </row>
    <row r="310" spans="1:12" ht="21" customHeight="1">
      <c r="A310" s="5">
        <v>46274</v>
      </c>
      <c r="B310" s="7">
        <v>324.41000000000003</v>
      </c>
      <c r="C310" s="7">
        <v>186321136</v>
      </c>
      <c r="D310" s="7">
        <v>271</v>
      </c>
      <c r="E310" s="7">
        <v>290.83999999999997</v>
      </c>
      <c r="F310" s="7">
        <v>350</v>
      </c>
      <c r="G310" s="7">
        <v>248</v>
      </c>
      <c r="H310" s="7">
        <v>0</v>
      </c>
      <c r="I310" s="7">
        <v>0</v>
      </c>
      <c r="J310" s="7"/>
      <c r="K310" s="1" t="s">
        <v>102</v>
      </c>
      <c r="L310" s="1" t="s">
        <v>483</v>
      </c>
    </row>
    <row r="311" spans="1:12" ht="21" customHeight="1">
      <c r="A311" s="5">
        <v>46275</v>
      </c>
      <c r="B311" s="7">
        <v>328.35</v>
      </c>
      <c r="C311" s="7">
        <v>352982912</v>
      </c>
      <c r="D311" s="7">
        <v>290.83999999999997</v>
      </c>
      <c r="E311" s="7">
        <v>350</v>
      </c>
      <c r="F311" s="7">
        <v>410</v>
      </c>
      <c r="G311" s="7">
        <v>290</v>
      </c>
      <c r="H311" s="7">
        <v>0</v>
      </c>
      <c r="I311" s="7">
        <v>0</v>
      </c>
      <c r="J311" s="7"/>
      <c r="K311" s="1" t="s">
        <v>102</v>
      </c>
      <c r="L311" s="1" t="s">
        <v>484</v>
      </c>
    </row>
    <row r="312" spans="1:12" ht="21" customHeight="1">
      <c r="A312" s="5">
        <v>46276</v>
      </c>
      <c r="B312" s="7">
        <v>262.49</v>
      </c>
      <c r="C312" s="7">
        <v>238090352</v>
      </c>
      <c r="D312" s="7">
        <v>350</v>
      </c>
      <c r="E312" s="7">
        <v>254.99</v>
      </c>
      <c r="F312" s="7">
        <v>380</v>
      </c>
      <c r="G312" s="7">
        <v>241</v>
      </c>
      <c r="H312" s="7">
        <v>0</v>
      </c>
      <c r="I312" s="7">
        <v>0</v>
      </c>
      <c r="J312" s="7"/>
      <c r="K312" s="1" t="s">
        <v>102</v>
      </c>
      <c r="L312" s="1" t="s">
        <v>485</v>
      </c>
    </row>
    <row r="313" spans="1:12" ht="21" customHeight="1">
      <c r="A313" s="5">
        <v>46279</v>
      </c>
      <c r="B313" s="7">
        <v>198.36</v>
      </c>
      <c r="C313" s="7">
        <v>139453056</v>
      </c>
      <c r="D313" s="7">
        <v>254.99</v>
      </c>
      <c r="E313" s="7">
        <v>180</v>
      </c>
      <c r="F313" s="7">
        <v>254.99</v>
      </c>
      <c r="G313" s="7">
        <v>180</v>
      </c>
      <c r="H313" s="7">
        <v>0</v>
      </c>
      <c r="I313" s="7">
        <v>0</v>
      </c>
      <c r="J313" s="7"/>
      <c r="K313" s="1" t="s">
        <v>102</v>
      </c>
      <c r="L313" s="1" t="s">
        <v>486</v>
      </c>
    </row>
    <row r="314" spans="1:12" ht="21" customHeight="1">
      <c r="A314" s="5">
        <v>46280</v>
      </c>
      <c r="B314" s="7">
        <v>148.96</v>
      </c>
      <c r="C314" s="7">
        <v>138135056</v>
      </c>
      <c r="D314" s="7">
        <v>180</v>
      </c>
      <c r="E314" s="7">
        <v>111</v>
      </c>
      <c r="F314" s="7">
        <v>180</v>
      </c>
      <c r="G314" s="7">
        <v>134.4</v>
      </c>
      <c r="H314" s="7">
        <v>0</v>
      </c>
      <c r="I314" s="7">
        <v>0</v>
      </c>
      <c r="J314" s="7"/>
      <c r="K314" s="1" t="s">
        <v>102</v>
      </c>
      <c r="L314" s="1" t="s">
        <v>487</v>
      </c>
    </row>
    <row r="315" spans="1:12" ht="21" customHeight="1">
      <c r="A315" s="5">
        <v>46281</v>
      </c>
      <c r="B315" s="7">
        <v>157.13999999999999</v>
      </c>
      <c r="C315" s="7">
        <v>192882096</v>
      </c>
      <c r="D315" s="7">
        <v>111</v>
      </c>
      <c r="E315" s="7">
        <v>230</v>
      </c>
      <c r="F315" s="7">
        <v>177.99</v>
      </c>
      <c r="G315" s="7">
        <v>111</v>
      </c>
      <c r="H315" s="7">
        <v>0</v>
      </c>
      <c r="I315" s="7">
        <v>0</v>
      </c>
      <c r="J315" s="7"/>
      <c r="K315" s="1" t="s">
        <v>102</v>
      </c>
      <c r="L315" s="1" t="s">
        <v>488</v>
      </c>
    </row>
    <row r="316" spans="1:12" ht="21" customHeight="1">
      <c r="A316" s="5">
        <v>46255</v>
      </c>
      <c r="B316" s="7">
        <v>215.5</v>
      </c>
      <c r="C316" s="7">
        <v>132477656</v>
      </c>
      <c r="D316" s="7">
        <v>230</v>
      </c>
      <c r="E316" s="7">
        <v>195</v>
      </c>
      <c r="F316" s="7">
        <v>266</v>
      </c>
      <c r="G316" s="7">
        <v>205.01</v>
      </c>
      <c r="H316" s="7">
        <v>0</v>
      </c>
      <c r="I316" s="7">
        <v>0</v>
      </c>
      <c r="J316" s="7"/>
      <c r="K316" s="1" t="s">
        <v>106</v>
      </c>
      <c r="L316" s="1" t="s">
        <v>489</v>
      </c>
    </row>
    <row r="317" spans="1:12" ht="21" customHeight="1">
      <c r="A317" s="5">
        <v>46258</v>
      </c>
      <c r="B317" s="7">
        <v>327.63</v>
      </c>
      <c r="C317" s="7">
        <v>451646272</v>
      </c>
      <c r="D317" s="7">
        <v>195</v>
      </c>
      <c r="E317" s="7">
        <v>330</v>
      </c>
      <c r="F317" s="7">
        <v>345</v>
      </c>
      <c r="G317" s="7">
        <v>195</v>
      </c>
      <c r="H317" s="7">
        <v>0</v>
      </c>
      <c r="I317" s="7">
        <v>0</v>
      </c>
      <c r="J317" s="7"/>
      <c r="K317" s="1" t="s">
        <v>106</v>
      </c>
      <c r="L317" s="1" t="s">
        <v>490</v>
      </c>
    </row>
    <row r="318" spans="1:12" ht="21" customHeight="1">
      <c r="A318" s="5">
        <v>46259</v>
      </c>
      <c r="B318" s="7">
        <v>334.73</v>
      </c>
      <c r="C318" s="7">
        <v>250671824</v>
      </c>
      <c r="D318" s="7">
        <v>330</v>
      </c>
      <c r="E318" s="7">
        <v>392.1</v>
      </c>
      <c r="F318" s="7">
        <v>344</v>
      </c>
      <c r="G318" s="7">
        <v>285</v>
      </c>
      <c r="H318" s="7">
        <v>0</v>
      </c>
      <c r="I318" s="7">
        <v>0</v>
      </c>
      <c r="J318" s="7"/>
      <c r="K318" s="1" t="s">
        <v>106</v>
      </c>
      <c r="L318" s="1" t="s">
        <v>491</v>
      </c>
    </row>
    <row r="319" spans="1:12" ht="21" customHeight="1">
      <c r="A319" s="5">
        <v>46260</v>
      </c>
      <c r="B319" s="7">
        <v>316.14999999999998</v>
      </c>
      <c r="C319" s="7">
        <v>341615136</v>
      </c>
      <c r="D319" s="7">
        <v>392.1</v>
      </c>
      <c r="E319" s="7">
        <v>379</v>
      </c>
      <c r="F319" s="7">
        <v>392.1</v>
      </c>
      <c r="G319" s="7">
        <v>300</v>
      </c>
      <c r="H319" s="7">
        <v>0</v>
      </c>
      <c r="I319" s="7">
        <v>0</v>
      </c>
      <c r="J319" s="7"/>
      <c r="K319" s="1" t="s">
        <v>106</v>
      </c>
      <c r="L319" s="1" t="s">
        <v>492</v>
      </c>
    </row>
    <row r="320" spans="1:12" ht="21" customHeight="1">
      <c r="A320" s="5">
        <v>46261</v>
      </c>
      <c r="B320" s="7">
        <v>247.62</v>
      </c>
      <c r="C320" s="7">
        <v>235826448</v>
      </c>
      <c r="D320" s="7">
        <v>379</v>
      </c>
      <c r="E320" s="7">
        <v>245.89</v>
      </c>
      <c r="F320" s="7">
        <v>379</v>
      </c>
      <c r="G320" s="7">
        <v>247.02</v>
      </c>
      <c r="H320" s="7">
        <v>0</v>
      </c>
      <c r="I320" s="7">
        <v>0</v>
      </c>
      <c r="J320" s="7"/>
      <c r="K320" s="1" t="s">
        <v>106</v>
      </c>
      <c r="L320" s="1" t="s">
        <v>493</v>
      </c>
    </row>
    <row r="321" spans="1:12" ht="21" customHeight="1">
      <c r="A321" s="5">
        <v>46262</v>
      </c>
      <c r="B321" s="7">
        <v>220.2</v>
      </c>
      <c r="C321" s="7">
        <v>148961920</v>
      </c>
      <c r="D321" s="7">
        <v>245.89</v>
      </c>
      <c r="E321" s="7">
        <v>229</v>
      </c>
      <c r="F321" s="7">
        <v>245.9</v>
      </c>
      <c r="G321" s="7">
        <v>180.9</v>
      </c>
      <c r="H321" s="7">
        <v>0</v>
      </c>
      <c r="I321" s="7">
        <v>0</v>
      </c>
      <c r="J321" s="7"/>
      <c r="K321" s="1" t="s">
        <v>106</v>
      </c>
      <c r="L321" s="1" t="s">
        <v>494</v>
      </c>
    </row>
    <row r="322" spans="1:12" ht="21" customHeight="1">
      <c r="A322" s="5">
        <v>46265</v>
      </c>
      <c r="B322" s="7">
        <v>290.89999999999998</v>
      </c>
      <c r="C322" s="7">
        <v>436639936</v>
      </c>
      <c r="D322" s="7">
        <v>229</v>
      </c>
      <c r="E322" s="7">
        <v>260</v>
      </c>
      <c r="F322" s="7">
        <v>329</v>
      </c>
      <c r="G322" s="7">
        <v>215.03</v>
      </c>
      <c r="H322" s="7">
        <v>0</v>
      </c>
      <c r="I322" s="7">
        <v>0</v>
      </c>
      <c r="J322" s="7"/>
      <c r="K322" s="1" t="s">
        <v>106</v>
      </c>
      <c r="L322" s="1" t="s">
        <v>495</v>
      </c>
    </row>
    <row r="323" spans="1:12" ht="21" customHeight="1">
      <c r="A323" s="5">
        <v>46266</v>
      </c>
      <c r="B323" s="7">
        <v>295.41000000000003</v>
      </c>
      <c r="C323" s="7">
        <v>604005568</v>
      </c>
      <c r="D323" s="7">
        <v>260</v>
      </c>
      <c r="E323" s="7">
        <v>315</v>
      </c>
      <c r="F323" s="7">
        <v>350</v>
      </c>
      <c r="G323" s="7">
        <v>250</v>
      </c>
      <c r="H323" s="7">
        <v>0</v>
      </c>
      <c r="I323" s="7">
        <v>0</v>
      </c>
      <c r="J323" s="7"/>
      <c r="K323" s="1" t="s">
        <v>106</v>
      </c>
      <c r="L323" s="1" t="s">
        <v>496</v>
      </c>
    </row>
    <row r="324" spans="1:12" ht="21" customHeight="1">
      <c r="A324" s="5">
        <v>46267</v>
      </c>
      <c r="B324" s="7">
        <v>324.11</v>
      </c>
      <c r="C324" s="7">
        <v>425418784</v>
      </c>
      <c r="D324" s="7">
        <v>315</v>
      </c>
      <c r="E324" s="7">
        <v>331</v>
      </c>
      <c r="F324" s="7">
        <v>329</v>
      </c>
      <c r="G324" s="7">
        <v>271.5</v>
      </c>
      <c r="H324" s="7">
        <v>0</v>
      </c>
      <c r="I324" s="7">
        <v>0</v>
      </c>
      <c r="J324" s="7"/>
      <c r="K324" s="1" t="s">
        <v>106</v>
      </c>
      <c r="L324" s="1" t="s">
        <v>497</v>
      </c>
    </row>
    <row r="325" spans="1:12" ht="21" customHeight="1">
      <c r="A325" s="5">
        <v>46268</v>
      </c>
      <c r="B325" s="7">
        <v>280.92</v>
      </c>
      <c r="C325" s="7">
        <v>732142336</v>
      </c>
      <c r="D325" s="7">
        <v>331</v>
      </c>
      <c r="E325" s="7">
        <v>280</v>
      </c>
      <c r="F325" s="7">
        <v>383</v>
      </c>
      <c r="G325" s="7">
        <v>273</v>
      </c>
      <c r="H325" s="7">
        <v>0</v>
      </c>
      <c r="I325" s="7">
        <v>0</v>
      </c>
      <c r="J325" s="7"/>
      <c r="K325" s="1" t="s">
        <v>106</v>
      </c>
      <c r="L325" s="1" t="s">
        <v>498</v>
      </c>
    </row>
    <row r="326" spans="1:12" ht="21" customHeight="1">
      <c r="A326" s="5">
        <v>46269</v>
      </c>
      <c r="B326" s="7">
        <v>246.84</v>
      </c>
      <c r="C326" s="7">
        <v>310533568</v>
      </c>
      <c r="D326" s="7">
        <v>280</v>
      </c>
      <c r="E326" s="7">
        <v>231</v>
      </c>
      <c r="F326" s="7">
        <v>282</v>
      </c>
      <c r="G326" s="7">
        <v>216</v>
      </c>
      <c r="H326" s="7">
        <v>0</v>
      </c>
      <c r="I326" s="7">
        <v>0</v>
      </c>
      <c r="J326" s="7"/>
      <c r="K326" s="1" t="s">
        <v>106</v>
      </c>
      <c r="L326" s="1" t="s">
        <v>499</v>
      </c>
    </row>
    <row r="327" spans="1:12" ht="21" customHeight="1">
      <c r="A327" s="5">
        <v>46272</v>
      </c>
      <c r="B327" s="7">
        <v>221.81</v>
      </c>
      <c r="C327" s="7">
        <v>49931008</v>
      </c>
      <c r="D327" s="7">
        <v>231</v>
      </c>
      <c r="E327" s="7">
        <v>240</v>
      </c>
      <c r="F327" s="7">
        <v>246</v>
      </c>
      <c r="G327" s="7">
        <v>220</v>
      </c>
      <c r="H327" s="7">
        <v>0</v>
      </c>
      <c r="I327" s="7">
        <v>0</v>
      </c>
      <c r="J327" s="7"/>
      <c r="K327" s="1" t="s">
        <v>106</v>
      </c>
      <c r="L327" s="1" t="s">
        <v>500</v>
      </c>
    </row>
    <row r="328" spans="1:12" ht="21" customHeight="1">
      <c r="A328" s="5">
        <v>46273</v>
      </c>
      <c r="B328" s="7">
        <v>227.39</v>
      </c>
      <c r="C328" s="7">
        <v>340755424</v>
      </c>
      <c r="D328" s="7">
        <v>240</v>
      </c>
      <c r="E328" s="7">
        <v>210</v>
      </c>
      <c r="F328" s="7">
        <v>247.9</v>
      </c>
      <c r="G328" s="7">
        <v>189.34</v>
      </c>
      <c r="H328" s="7">
        <v>0</v>
      </c>
      <c r="I328" s="7">
        <v>0</v>
      </c>
      <c r="J328" s="7"/>
      <c r="K328" s="1" t="s">
        <v>106</v>
      </c>
      <c r="L328" s="1" t="s">
        <v>501</v>
      </c>
    </row>
    <row r="329" spans="1:12" ht="21" customHeight="1">
      <c r="A329" s="5">
        <v>46274</v>
      </c>
      <c r="B329" s="7">
        <v>247.27</v>
      </c>
      <c r="C329" s="7">
        <v>318630720</v>
      </c>
      <c r="D329" s="7">
        <v>210</v>
      </c>
      <c r="E329" s="7">
        <v>210</v>
      </c>
      <c r="F329" s="7">
        <v>275</v>
      </c>
      <c r="G329" s="7">
        <v>187</v>
      </c>
      <c r="H329" s="7">
        <v>0</v>
      </c>
      <c r="I329" s="7">
        <v>0</v>
      </c>
      <c r="J329" s="7"/>
      <c r="K329" s="1" t="s">
        <v>106</v>
      </c>
      <c r="L329" s="1" t="s">
        <v>502</v>
      </c>
    </row>
    <row r="330" spans="1:12" ht="21" customHeight="1">
      <c r="A330" s="5">
        <v>46275</v>
      </c>
      <c r="B330" s="7">
        <v>254.8</v>
      </c>
      <c r="C330" s="7">
        <v>737521280</v>
      </c>
      <c r="D330" s="7">
        <v>210</v>
      </c>
      <c r="E330" s="7">
        <v>295</v>
      </c>
      <c r="F330" s="7">
        <v>325</v>
      </c>
      <c r="G330" s="7">
        <v>210</v>
      </c>
      <c r="H330" s="7">
        <v>0</v>
      </c>
      <c r="I330" s="7">
        <v>0</v>
      </c>
      <c r="J330" s="7"/>
      <c r="K330" s="1" t="s">
        <v>106</v>
      </c>
      <c r="L330" s="1" t="s">
        <v>503</v>
      </c>
    </row>
    <row r="331" spans="1:12" ht="21" customHeight="1">
      <c r="A331" s="5">
        <v>46276</v>
      </c>
      <c r="B331" s="7">
        <v>198.58</v>
      </c>
      <c r="C331" s="7">
        <v>419532128</v>
      </c>
      <c r="D331" s="7">
        <v>295</v>
      </c>
      <c r="E331" s="7">
        <v>170</v>
      </c>
      <c r="F331" s="7">
        <v>295</v>
      </c>
      <c r="G331" s="7">
        <v>180.11</v>
      </c>
      <c r="H331" s="7">
        <v>0</v>
      </c>
      <c r="I331" s="7">
        <v>0</v>
      </c>
      <c r="J331" s="7"/>
      <c r="K331" s="1" t="s">
        <v>106</v>
      </c>
      <c r="L331" s="1" t="s">
        <v>504</v>
      </c>
    </row>
    <row r="332" spans="1:12" ht="21" customHeight="1">
      <c r="A332" s="5">
        <v>46279</v>
      </c>
      <c r="B332" s="7">
        <v>145.5</v>
      </c>
      <c r="C332" s="7">
        <v>340783872</v>
      </c>
      <c r="D332" s="7">
        <v>170</v>
      </c>
      <c r="E332" s="7">
        <v>125</v>
      </c>
      <c r="F332" s="7">
        <v>183</v>
      </c>
      <c r="G332" s="7">
        <v>140</v>
      </c>
      <c r="H332" s="7">
        <v>0</v>
      </c>
      <c r="I332" s="7">
        <v>0</v>
      </c>
      <c r="J332" s="7"/>
      <c r="K332" s="1" t="s">
        <v>106</v>
      </c>
      <c r="L332" s="1" t="s">
        <v>505</v>
      </c>
    </row>
    <row r="333" spans="1:12" ht="21" customHeight="1">
      <c r="A333" s="5">
        <v>46280</v>
      </c>
      <c r="B333" s="7">
        <v>106.1</v>
      </c>
      <c r="C333" s="7">
        <v>340337472</v>
      </c>
      <c r="D333" s="7">
        <v>125</v>
      </c>
      <c r="E333" s="7">
        <v>97</v>
      </c>
      <c r="F333" s="7">
        <v>130</v>
      </c>
      <c r="G333" s="7">
        <v>95.1</v>
      </c>
      <c r="H333" s="7">
        <v>0</v>
      </c>
      <c r="I333" s="7">
        <v>0</v>
      </c>
      <c r="J333" s="7"/>
      <c r="K333" s="1" t="s">
        <v>106</v>
      </c>
      <c r="L333" s="1" t="s">
        <v>506</v>
      </c>
    </row>
    <row r="334" spans="1:12" ht="21" customHeight="1">
      <c r="A334" s="5">
        <v>46281</v>
      </c>
      <c r="B334" s="7">
        <v>107.66</v>
      </c>
      <c r="C334" s="7">
        <v>235477376</v>
      </c>
      <c r="D334" s="7">
        <v>97</v>
      </c>
      <c r="E334" s="7">
        <v>200</v>
      </c>
      <c r="F334" s="7">
        <v>127</v>
      </c>
      <c r="G334" s="7">
        <v>95</v>
      </c>
      <c r="H334" s="7">
        <v>0</v>
      </c>
      <c r="I334" s="7">
        <v>0</v>
      </c>
      <c r="J334" s="7"/>
      <c r="K334" s="1" t="s">
        <v>106</v>
      </c>
      <c r="L334" s="1" t="s">
        <v>507</v>
      </c>
    </row>
    <row r="335" spans="1:12" ht="21" customHeight="1">
      <c r="A335" s="5">
        <v>46255</v>
      </c>
      <c r="B335" s="7">
        <v>175.19</v>
      </c>
      <c r="C335" s="7">
        <v>75230696</v>
      </c>
      <c r="D335" s="7">
        <v>200</v>
      </c>
      <c r="E335" s="7">
        <v>180</v>
      </c>
      <c r="F335" s="7">
        <v>215</v>
      </c>
      <c r="G335" s="7">
        <v>172.01</v>
      </c>
      <c r="H335" s="7">
        <v>0</v>
      </c>
      <c r="I335" s="7">
        <v>0</v>
      </c>
      <c r="J335" s="7"/>
      <c r="K335" s="1" t="s">
        <v>111</v>
      </c>
      <c r="L335" s="1" t="s">
        <v>508</v>
      </c>
    </row>
    <row r="336" spans="1:12" ht="21" customHeight="1">
      <c r="A336" s="5">
        <v>46258</v>
      </c>
      <c r="B336" s="7">
        <v>260.44</v>
      </c>
      <c r="C336" s="7">
        <v>237724912</v>
      </c>
      <c r="D336" s="7">
        <v>180</v>
      </c>
      <c r="E336" s="7">
        <v>258</v>
      </c>
      <c r="F336" s="7">
        <v>280.89999999999998</v>
      </c>
      <c r="G336" s="7">
        <v>160</v>
      </c>
      <c r="H336" s="7">
        <v>0</v>
      </c>
      <c r="I336" s="7">
        <v>0</v>
      </c>
      <c r="J336" s="7"/>
      <c r="K336" s="1" t="s">
        <v>111</v>
      </c>
      <c r="L336" s="1" t="s">
        <v>509</v>
      </c>
    </row>
    <row r="337" spans="1:12" ht="21" customHeight="1">
      <c r="A337" s="5">
        <v>46259</v>
      </c>
      <c r="B337" s="7">
        <v>267.97000000000003</v>
      </c>
      <c r="C337" s="7">
        <v>166736800</v>
      </c>
      <c r="D337" s="7">
        <v>258</v>
      </c>
      <c r="E337" s="7">
        <v>290</v>
      </c>
      <c r="F337" s="7">
        <v>280</v>
      </c>
      <c r="G337" s="7">
        <v>180</v>
      </c>
      <c r="H337" s="7">
        <v>0</v>
      </c>
      <c r="I337" s="7">
        <v>0</v>
      </c>
      <c r="J337" s="7"/>
      <c r="K337" s="1" t="s">
        <v>111</v>
      </c>
      <c r="L337" s="1" t="s">
        <v>510</v>
      </c>
    </row>
    <row r="338" spans="1:12" ht="21" customHeight="1">
      <c r="A338" s="5">
        <v>46260</v>
      </c>
      <c r="B338" s="7">
        <v>250.53</v>
      </c>
      <c r="C338" s="7">
        <v>203807680</v>
      </c>
      <c r="D338" s="7">
        <v>290</v>
      </c>
      <c r="E338" s="7">
        <v>211</v>
      </c>
      <c r="F338" s="7">
        <v>315</v>
      </c>
      <c r="G338" s="7">
        <v>239</v>
      </c>
      <c r="H338" s="7">
        <v>0</v>
      </c>
      <c r="I338" s="7">
        <v>0</v>
      </c>
      <c r="J338" s="7"/>
      <c r="K338" s="1" t="s">
        <v>111</v>
      </c>
      <c r="L338" s="1" t="s">
        <v>511</v>
      </c>
    </row>
    <row r="339" spans="1:12" ht="21" customHeight="1">
      <c r="A339" s="5">
        <v>46261</v>
      </c>
      <c r="B339" s="7">
        <v>190.51</v>
      </c>
      <c r="C339" s="7">
        <v>184256096</v>
      </c>
      <c r="D339" s="7">
        <v>211</v>
      </c>
      <c r="E339" s="7">
        <v>196</v>
      </c>
      <c r="F339" s="7">
        <v>275</v>
      </c>
      <c r="G339" s="7">
        <v>188</v>
      </c>
      <c r="H339" s="7">
        <v>0</v>
      </c>
      <c r="I339" s="7">
        <v>0</v>
      </c>
      <c r="J339" s="7"/>
      <c r="K339" s="1" t="s">
        <v>111</v>
      </c>
      <c r="L339" s="1" t="s">
        <v>512</v>
      </c>
    </row>
    <row r="340" spans="1:12" ht="21" customHeight="1">
      <c r="A340" s="5">
        <v>46262</v>
      </c>
      <c r="B340" s="7">
        <v>169.15</v>
      </c>
      <c r="C340" s="7">
        <v>85362800</v>
      </c>
      <c r="D340" s="7">
        <v>196</v>
      </c>
      <c r="E340" s="7">
        <v>176.79</v>
      </c>
      <c r="F340" s="7">
        <v>196</v>
      </c>
      <c r="G340" s="7">
        <v>143</v>
      </c>
      <c r="H340" s="7">
        <v>0</v>
      </c>
      <c r="I340" s="7">
        <v>0</v>
      </c>
      <c r="J340" s="7"/>
      <c r="K340" s="1" t="s">
        <v>111</v>
      </c>
      <c r="L340" s="1" t="s">
        <v>513</v>
      </c>
    </row>
    <row r="341" spans="1:12" ht="21" customHeight="1">
      <c r="A341" s="5">
        <v>46265</v>
      </c>
      <c r="B341" s="7">
        <v>228.38</v>
      </c>
      <c r="C341" s="7">
        <v>221219120</v>
      </c>
      <c r="D341" s="7">
        <v>176.79</v>
      </c>
      <c r="E341" s="7">
        <v>200</v>
      </c>
      <c r="F341" s="7">
        <v>260</v>
      </c>
      <c r="G341" s="7">
        <v>166.34</v>
      </c>
      <c r="H341" s="7">
        <v>0</v>
      </c>
      <c r="I341" s="7">
        <v>0</v>
      </c>
      <c r="J341" s="7"/>
      <c r="K341" s="1" t="s">
        <v>111</v>
      </c>
      <c r="L341" s="1" t="s">
        <v>514</v>
      </c>
    </row>
    <row r="342" spans="1:12" ht="21" customHeight="1">
      <c r="A342" s="5">
        <v>46266</v>
      </c>
      <c r="B342" s="7">
        <v>232.85</v>
      </c>
      <c r="C342" s="7">
        <v>234654592</v>
      </c>
      <c r="D342" s="7">
        <v>200</v>
      </c>
      <c r="E342" s="7">
        <v>220.01</v>
      </c>
      <c r="F342" s="7">
        <v>280</v>
      </c>
      <c r="G342" s="7">
        <v>190</v>
      </c>
      <c r="H342" s="7">
        <v>0</v>
      </c>
      <c r="I342" s="7">
        <v>0</v>
      </c>
      <c r="J342" s="7"/>
      <c r="K342" s="1" t="s">
        <v>111</v>
      </c>
      <c r="L342" s="1" t="s">
        <v>515</v>
      </c>
    </row>
    <row r="343" spans="1:12" ht="21" customHeight="1">
      <c r="A343" s="5">
        <v>46267</v>
      </c>
      <c r="B343" s="7">
        <v>253.96</v>
      </c>
      <c r="C343" s="7">
        <v>211616976</v>
      </c>
      <c r="D343" s="7">
        <v>220.01</v>
      </c>
      <c r="E343" s="7">
        <v>246.71</v>
      </c>
      <c r="F343" s="7">
        <v>258</v>
      </c>
      <c r="G343" s="7">
        <v>210</v>
      </c>
      <c r="H343" s="7">
        <v>0</v>
      </c>
      <c r="I343" s="7">
        <v>0</v>
      </c>
      <c r="J343" s="7"/>
      <c r="K343" s="1" t="s">
        <v>111</v>
      </c>
      <c r="L343" s="1" t="s">
        <v>516</v>
      </c>
    </row>
    <row r="344" spans="1:12" ht="21" customHeight="1">
      <c r="A344" s="5">
        <v>46268</v>
      </c>
      <c r="B344" s="7">
        <v>216.52</v>
      </c>
      <c r="C344" s="7">
        <v>219590544</v>
      </c>
      <c r="D344" s="7">
        <v>246.71</v>
      </c>
      <c r="E344" s="7">
        <v>217</v>
      </c>
      <c r="F344" s="7">
        <v>309</v>
      </c>
      <c r="G344" s="7">
        <v>208.01</v>
      </c>
      <c r="H344" s="7">
        <v>0</v>
      </c>
      <c r="I344" s="7">
        <v>0</v>
      </c>
      <c r="J344" s="7"/>
      <c r="K344" s="1" t="s">
        <v>111</v>
      </c>
      <c r="L344" s="1" t="s">
        <v>517</v>
      </c>
    </row>
    <row r="345" spans="1:12" ht="21" customHeight="1">
      <c r="A345" s="5">
        <v>46269</v>
      </c>
      <c r="B345" s="7">
        <v>186.47</v>
      </c>
      <c r="C345" s="7">
        <v>154200416</v>
      </c>
      <c r="D345" s="7">
        <v>217</v>
      </c>
      <c r="E345" s="7">
        <v>188.98</v>
      </c>
      <c r="F345" s="7">
        <v>217</v>
      </c>
      <c r="G345" s="7">
        <v>180</v>
      </c>
      <c r="H345" s="7">
        <v>0</v>
      </c>
      <c r="I345" s="7">
        <v>0</v>
      </c>
      <c r="J345" s="7"/>
      <c r="K345" s="1" t="s">
        <v>111</v>
      </c>
      <c r="L345" s="1" t="s">
        <v>518</v>
      </c>
    </row>
    <row r="346" spans="1:12" ht="21" customHeight="1">
      <c r="A346" s="5">
        <v>46272</v>
      </c>
      <c r="B346" s="7">
        <v>170.27</v>
      </c>
      <c r="C346" s="7">
        <v>12452155</v>
      </c>
      <c r="D346" s="7">
        <v>188.98</v>
      </c>
      <c r="E346" s="7">
        <v>171</v>
      </c>
      <c r="F346" s="7">
        <v>188.98</v>
      </c>
      <c r="G346" s="7">
        <v>154</v>
      </c>
      <c r="H346" s="7">
        <v>0</v>
      </c>
      <c r="I346" s="7">
        <v>0</v>
      </c>
      <c r="J346" s="7"/>
      <c r="K346" s="1" t="s">
        <v>111</v>
      </c>
      <c r="L346" s="1" t="s">
        <v>519</v>
      </c>
    </row>
    <row r="347" spans="1:12" ht="21" customHeight="1">
      <c r="A347" s="5">
        <v>46273</v>
      </c>
      <c r="B347" s="7">
        <v>174.8</v>
      </c>
      <c r="C347" s="7">
        <v>101308856</v>
      </c>
      <c r="D347" s="7">
        <v>171</v>
      </c>
      <c r="E347" s="7">
        <v>155.01</v>
      </c>
      <c r="F347" s="7">
        <v>187.5</v>
      </c>
      <c r="G347" s="7">
        <v>140</v>
      </c>
      <c r="H347" s="7">
        <v>0</v>
      </c>
      <c r="I347" s="7">
        <v>0</v>
      </c>
      <c r="J347" s="7"/>
      <c r="K347" s="1" t="s">
        <v>111</v>
      </c>
      <c r="L347" s="1" t="s">
        <v>520</v>
      </c>
    </row>
    <row r="348" spans="1:12" ht="21" customHeight="1">
      <c r="A348" s="5">
        <v>46274</v>
      </c>
      <c r="B348" s="7">
        <v>187.56</v>
      </c>
      <c r="C348" s="7">
        <v>143086560</v>
      </c>
      <c r="D348" s="7">
        <v>155.01</v>
      </c>
      <c r="E348" s="7">
        <v>165.99</v>
      </c>
      <c r="F348" s="7">
        <v>215</v>
      </c>
      <c r="G348" s="7">
        <v>130</v>
      </c>
      <c r="H348" s="7">
        <v>0</v>
      </c>
      <c r="I348" s="7">
        <v>0</v>
      </c>
      <c r="J348" s="7"/>
      <c r="K348" s="1" t="s">
        <v>111</v>
      </c>
      <c r="L348" s="1" t="s">
        <v>521</v>
      </c>
    </row>
    <row r="349" spans="1:12" ht="21" customHeight="1">
      <c r="A349" s="5">
        <v>46275</v>
      </c>
      <c r="B349" s="7">
        <v>197.85</v>
      </c>
      <c r="C349" s="7">
        <v>189548272</v>
      </c>
      <c r="D349" s="7">
        <v>165.99</v>
      </c>
      <c r="E349" s="7">
        <v>240</v>
      </c>
      <c r="F349" s="7">
        <v>249.89</v>
      </c>
      <c r="G349" s="7">
        <v>164.99</v>
      </c>
      <c r="H349" s="7">
        <v>0</v>
      </c>
      <c r="I349" s="7">
        <v>0</v>
      </c>
      <c r="J349" s="7"/>
      <c r="K349" s="1" t="s">
        <v>111</v>
      </c>
      <c r="L349" s="1" t="s">
        <v>522</v>
      </c>
    </row>
    <row r="350" spans="1:12" ht="21" customHeight="1">
      <c r="A350" s="5">
        <v>46276</v>
      </c>
      <c r="B350" s="7">
        <v>147.07</v>
      </c>
      <c r="C350" s="7">
        <v>114438280</v>
      </c>
      <c r="D350" s="7">
        <v>240</v>
      </c>
      <c r="E350" s="7">
        <v>143.77000000000001</v>
      </c>
      <c r="F350" s="7">
        <v>240</v>
      </c>
      <c r="G350" s="7">
        <v>137.5</v>
      </c>
      <c r="H350" s="7">
        <v>0</v>
      </c>
      <c r="I350" s="7">
        <v>0</v>
      </c>
      <c r="J350" s="7"/>
      <c r="K350" s="1" t="s">
        <v>111</v>
      </c>
      <c r="L350" s="1" t="s">
        <v>523</v>
      </c>
    </row>
    <row r="351" spans="1:12" ht="21" customHeight="1">
      <c r="A351" s="5">
        <v>46279</v>
      </c>
      <c r="B351" s="7">
        <v>104.78</v>
      </c>
      <c r="C351" s="7">
        <v>100332312</v>
      </c>
      <c r="D351" s="7">
        <v>143.77000000000001</v>
      </c>
      <c r="E351" s="7">
        <v>95</v>
      </c>
      <c r="F351" s="7">
        <v>143.77000000000001</v>
      </c>
      <c r="G351" s="7">
        <v>102</v>
      </c>
      <c r="H351" s="7">
        <v>0</v>
      </c>
      <c r="I351" s="7">
        <v>0</v>
      </c>
      <c r="J351" s="7"/>
      <c r="K351" s="1" t="s">
        <v>111</v>
      </c>
      <c r="L351" s="1" t="s">
        <v>524</v>
      </c>
    </row>
    <row r="352" spans="1:12" ht="21" customHeight="1">
      <c r="A352" s="5">
        <v>46280</v>
      </c>
      <c r="B352" s="7">
        <v>74.959999999999994</v>
      </c>
      <c r="C352" s="7">
        <v>103323992</v>
      </c>
      <c r="D352" s="7">
        <v>95</v>
      </c>
      <c r="E352" s="7">
        <v>75</v>
      </c>
      <c r="F352" s="7">
        <v>95</v>
      </c>
      <c r="G352" s="7">
        <v>67.03</v>
      </c>
      <c r="H352" s="7">
        <v>0</v>
      </c>
      <c r="I352" s="7">
        <v>0</v>
      </c>
      <c r="J352" s="7"/>
      <c r="K352" s="1" t="s">
        <v>111</v>
      </c>
      <c r="L352" s="1" t="s">
        <v>525</v>
      </c>
    </row>
    <row r="353" spans="1:12" ht="21" customHeight="1">
      <c r="A353" s="5">
        <v>46281</v>
      </c>
      <c r="B353" s="7">
        <v>75.86</v>
      </c>
      <c r="C353" s="7">
        <v>97534584</v>
      </c>
      <c r="D353" s="7">
        <v>75</v>
      </c>
      <c r="E353" s="7">
        <v>190</v>
      </c>
      <c r="F353" s="7">
        <v>89.99</v>
      </c>
      <c r="G353" s="7">
        <v>67.010000000000005</v>
      </c>
      <c r="H353" s="7">
        <v>0</v>
      </c>
      <c r="I353" s="7">
        <v>0</v>
      </c>
      <c r="J353" s="7"/>
      <c r="K353" s="1" t="s">
        <v>111</v>
      </c>
      <c r="L353" s="1" t="s">
        <v>526</v>
      </c>
    </row>
    <row r="354" spans="1:12" ht="21" customHeight="1">
      <c r="A354" s="5">
        <v>46255</v>
      </c>
      <c r="B354" s="7">
        <v>145.19</v>
      </c>
      <c r="C354" s="7">
        <v>68540312</v>
      </c>
      <c r="D354" s="7">
        <v>190</v>
      </c>
      <c r="E354" s="7">
        <v>140</v>
      </c>
      <c r="F354" s="7">
        <v>190</v>
      </c>
      <c r="G354" s="7">
        <v>134.6</v>
      </c>
      <c r="H354" s="7">
        <v>0</v>
      </c>
      <c r="I354" s="7">
        <v>0</v>
      </c>
      <c r="J354" s="7"/>
      <c r="K354" s="1" t="s">
        <v>116</v>
      </c>
      <c r="L354" s="1" t="s">
        <v>527</v>
      </c>
    </row>
    <row r="355" spans="1:12" ht="21" customHeight="1">
      <c r="A355" s="5">
        <v>46258</v>
      </c>
      <c r="B355" s="7">
        <v>204.83</v>
      </c>
      <c r="C355" s="7">
        <v>348469600</v>
      </c>
      <c r="D355" s="7">
        <v>140</v>
      </c>
      <c r="E355" s="7">
        <v>210</v>
      </c>
      <c r="F355" s="7">
        <v>218</v>
      </c>
      <c r="G355" s="7">
        <v>127</v>
      </c>
      <c r="H355" s="7">
        <v>0</v>
      </c>
      <c r="I355" s="7">
        <v>0</v>
      </c>
      <c r="J355" s="7"/>
      <c r="K355" s="1" t="s">
        <v>116</v>
      </c>
      <c r="L355" s="1" t="s">
        <v>528</v>
      </c>
    </row>
    <row r="356" spans="1:12" ht="21" customHeight="1">
      <c r="A356" s="5">
        <v>46259</v>
      </c>
      <c r="B356" s="7">
        <v>217.29</v>
      </c>
      <c r="C356" s="7">
        <v>492926656</v>
      </c>
      <c r="D356" s="7">
        <v>210</v>
      </c>
      <c r="E356" s="7">
        <v>220</v>
      </c>
      <c r="F356" s="7">
        <v>223</v>
      </c>
      <c r="G356" s="7">
        <v>170.5</v>
      </c>
      <c r="H356" s="7">
        <v>0</v>
      </c>
      <c r="I356" s="7">
        <v>0</v>
      </c>
      <c r="J356" s="7"/>
      <c r="K356" s="1" t="s">
        <v>116</v>
      </c>
      <c r="L356" s="1" t="s">
        <v>529</v>
      </c>
    </row>
    <row r="357" spans="1:12" ht="21" customHeight="1">
      <c r="A357" s="5">
        <v>46260</v>
      </c>
      <c r="B357" s="7">
        <v>199.33</v>
      </c>
      <c r="C357" s="7">
        <v>375042784</v>
      </c>
      <c r="D357" s="7">
        <v>220</v>
      </c>
      <c r="E357" s="7">
        <v>210</v>
      </c>
      <c r="F357" s="7">
        <v>260</v>
      </c>
      <c r="G357" s="7">
        <v>186</v>
      </c>
      <c r="H357" s="7">
        <v>0</v>
      </c>
      <c r="I357" s="7">
        <v>0</v>
      </c>
      <c r="J357" s="7"/>
      <c r="K357" s="1" t="s">
        <v>116</v>
      </c>
      <c r="L357" s="1" t="s">
        <v>530</v>
      </c>
    </row>
    <row r="358" spans="1:12" ht="21" customHeight="1">
      <c r="A358" s="5">
        <v>46261</v>
      </c>
      <c r="B358" s="7">
        <v>151.28</v>
      </c>
      <c r="C358" s="7">
        <v>402520192</v>
      </c>
      <c r="D358" s="7">
        <v>210</v>
      </c>
      <c r="E358" s="7">
        <v>150</v>
      </c>
      <c r="F358" s="7">
        <v>220</v>
      </c>
      <c r="G358" s="7">
        <v>147.02000000000001</v>
      </c>
      <c r="H358" s="7">
        <v>0</v>
      </c>
      <c r="I358" s="7">
        <v>0</v>
      </c>
      <c r="J358" s="7"/>
      <c r="K358" s="1" t="s">
        <v>116</v>
      </c>
      <c r="L358" s="1" t="s">
        <v>531</v>
      </c>
    </row>
    <row r="359" spans="1:12" ht="21" customHeight="1">
      <c r="A359" s="5">
        <v>46262</v>
      </c>
      <c r="B359" s="7">
        <v>129.19</v>
      </c>
      <c r="C359" s="7">
        <v>306326336</v>
      </c>
      <c r="D359" s="7">
        <v>150</v>
      </c>
      <c r="E359" s="7">
        <v>130</v>
      </c>
      <c r="F359" s="7">
        <v>156</v>
      </c>
      <c r="G359" s="7">
        <v>110</v>
      </c>
      <c r="H359" s="7">
        <v>0</v>
      </c>
      <c r="I359" s="7">
        <v>0</v>
      </c>
      <c r="J359" s="7"/>
      <c r="K359" s="1" t="s">
        <v>116</v>
      </c>
      <c r="L359" s="1" t="s">
        <v>532</v>
      </c>
    </row>
    <row r="360" spans="1:12" ht="21" customHeight="1">
      <c r="A360" s="5">
        <v>46265</v>
      </c>
      <c r="B360" s="7">
        <v>178.25</v>
      </c>
      <c r="C360" s="7">
        <v>547044864</v>
      </c>
      <c r="D360" s="7">
        <v>130</v>
      </c>
      <c r="E360" s="7">
        <v>150</v>
      </c>
      <c r="F360" s="7">
        <v>200</v>
      </c>
      <c r="G360" s="7">
        <v>121</v>
      </c>
      <c r="H360" s="7">
        <v>0</v>
      </c>
      <c r="I360" s="7">
        <v>0</v>
      </c>
      <c r="J360" s="7"/>
      <c r="K360" s="1" t="s">
        <v>116</v>
      </c>
      <c r="L360" s="1" t="s">
        <v>533</v>
      </c>
    </row>
    <row r="361" spans="1:12" ht="21" customHeight="1">
      <c r="A361" s="5">
        <v>46266</v>
      </c>
      <c r="B361" s="7">
        <v>181.31</v>
      </c>
      <c r="C361" s="7">
        <v>510256160</v>
      </c>
      <c r="D361" s="7">
        <v>150</v>
      </c>
      <c r="E361" s="7">
        <v>198</v>
      </c>
      <c r="F361" s="7">
        <v>218</v>
      </c>
      <c r="G361" s="7">
        <v>150</v>
      </c>
      <c r="H361" s="7">
        <v>0</v>
      </c>
      <c r="I361" s="7">
        <v>0</v>
      </c>
      <c r="J361" s="7"/>
      <c r="K361" s="1" t="s">
        <v>116</v>
      </c>
      <c r="L361" s="1" t="s">
        <v>534</v>
      </c>
    </row>
    <row r="362" spans="1:12" ht="21" customHeight="1">
      <c r="A362" s="5">
        <v>46267</v>
      </c>
      <c r="B362" s="7">
        <v>195.8</v>
      </c>
      <c r="C362" s="7">
        <v>424807360</v>
      </c>
      <c r="D362" s="7">
        <v>198</v>
      </c>
      <c r="E362" s="7">
        <v>220</v>
      </c>
      <c r="F362" s="7">
        <v>199</v>
      </c>
      <c r="G362" s="7">
        <v>165</v>
      </c>
      <c r="H362" s="7">
        <v>0</v>
      </c>
      <c r="I362" s="7">
        <v>0</v>
      </c>
      <c r="J362" s="7"/>
      <c r="K362" s="1" t="s">
        <v>116</v>
      </c>
      <c r="L362" s="1" t="s">
        <v>535</v>
      </c>
    </row>
    <row r="363" spans="1:12" ht="21" customHeight="1">
      <c r="A363" s="5">
        <v>46268</v>
      </c>
      <c r="B363" s="7">
        <v>167.84</v>
      </c>
      <c r="C363" s="7">
        <v>622913472</v>
      </c>
      <c r="D363" s="7">
        <v>220</v>
      </c>
      <c r="E363" s="7">
        <v>175</v>
      </c>
      <c r="F363" s="7">
        <v>238</v>
      </c>
      <c r="G363" s="7">
        <v>160</v>
      </c>
      <c r="H363" s="7">
        <v>0</v>
      </c>
      <c r="I363" s="7">
        <v>0</v>
      </c>
      <c r="J363" s="7"/>
      <c r="K363" s="1" t="s">
        <v>116</v>
      </c>
      <c r="L363" s="1" t="s">
        <v>536</v>
      </c>
    </row>
    <row r="364" spans="1:12" ht="21" customHeight="1">
      <c r="A364" s="5">
        <v>46269</v>
      </c>
      <c r="B364" s="7">
        <v>143.25</v>
      </c>
      <c r="C364" s="7">
        <v>382642880</v>
      </c>
      <c r="D364" s="7">
        <v>175</v>
      </c>
      <c r="E364" s="7">
        <v>137</v>
      </c>
      <c r="F364" s="7">
        <v>195</v>
      </c>
      <c r="G364" s="7">
        <v>136</v>
      </c>
      <c r="H364" s="7">
        <v>0</v>
      </c>
      <c r="I364" s="7">
        <v>0</v>
      </c>
      <c r="J364" s="7"/>
      <c r="K364" s="1" t="s">
        <v>116</v>
      </c>
      <c r="L364" s="1" t="s">
        <v>537</v>
      </c>
    </row>
    <row r="365" spans="1:12" ht="21" customHeight="1">
      <c r="A365" s="5">
        <v>46272</v>
      </c>
      <c r="B365" s="7">
        <v>129.99</v>
      </c>
      <c r="C365" s="7">
        <v>39736336</v>
      </c>
      <c r="D365" s="7">
        <v>137</v>
      </c>
      <c r="E365" s="7">
        <v>140</v>
      </c>
      <c r="F365" s="7">
        <v>145</v>
      </c>
      <c r="G365" s="7">
        <v>126</v>
      </c>
      <c r="H365" s="7">
        <v>0</v>
      </c>
      <c r="I365" s="7">
        <v>0</v>
      </c>
      <c r="J365" s="7"/>
      <c r="K365" s="1" t="s">
        <v>116</v>
      </c>
      <c r="L365" s="1" t="s">
        <v>538</v>
      </c>
    </row>
    <row r="366" spans="1:12" ht="21" customHeight="1">
      <c r="A366" s="5">
        <v>46273</v>
      </c>
      <c r="B366" s="7">
        <v>128.68</v>
      </c>
      <c r="C366" s="7">
        <v>364902048</v>
      </c>
      <c r="D366" s="7">
        <v>140</v>
      </c>
      <c r="E366" s="7">
        <v>110</v>
      </c>
      <c r="F366" s="7">
        <v>145</v>
      </c>
      <c r="G366" s="7">
        <v>108</v>
      </c>
      <c r="H366" s="7">
        <v>0</v>
      </c>
      <c r="I366" s="7">
        <v>0</v>
      </c>
      <c r="J366" s="7"/>
      <c r="K366" s="1" t="s">
        <v>116</v>
      </c>
      <c r="L366" s="1" t="s">
        <v>539</v>
      </c>
    </row>
    <row r="367" spans="1:12" ht="21" customHeight="1">
      <c r="A367" s="5">
        <v>46274</v>
      </c>
      <c r="B367" s="7">
        <v>141.05000000000001</v>
      </c>
      <c r="C367" s="7">
        <v>270710112</v>
      </c>
      <c r="D367" s="7">
        <v>110</v>
      </c>
      <c r="E367" s="7">
        <v>125</v>
      </c>
      <c r="F367" s="7">
        <v>156</v>
      </c>
      <c r="G367" s="7">
        <v>100.1</v>
      </c>
      <c r="H367" s="7">
        <v>0</v>
      </c>
      <c r="I367" s="7">
        <v>0</v>
      </c>
      <c r="J367" s="7"/>
      <c r="K367" s="1" t="s">
        <v>116</v>
      </c>
      <c r="L367" s="1" t="s">
        <v>540</v>
      </c>
    </row>
    <row r="368" spans="1:12" ht="21" customHeight="1">
      <c r="A368" s="5">
        <v>46275</v>
      </c>
      <c r="B368" s="7">
        <v>146.4</v>
      </c>
      <c r="C368" s="7">
        <v>427703968</v>
      </c>
      <c r="D368" s="7">
        <v>125</v>
      </c>
      <c r="E368" s="7">
        <v>160.99</v>
      </c>
      <c r="F368" s="7">
        <v>185</v>
      </c>
      <c r="G368" s="7">
        <v>120</v>
      </c>
      <c r="H368" s="7">
        <v>0</v>
      </c>
      <c r="I368" s="7">
        <v>0</v>
      </c>
      <c r="J368" s="7"/>
      <c r="K368" s="1" t="s">
        <v>116</v>
      </c>
      <c r="L368" s="1" t="s">
        <v>541</v>
      </c>
    </row>
    <row r="369" spans="1:12" ht="21" customHeight="1">
      <c r="A369" s="5">
        <v>46276</v>
      </c>
      <c r="B369" s="7">
        <v>109.14</v>
      </c>
      <c r="C369" s="7">
        <v>350712736</v>
      </c>
      <c r="D369" s="7">
        <v>160.99</v>
      </c>
      <c r="E369" s="7">
        <v>98.5</v>
      </c>
      <c r="F369" s="7">
        <v>160.99</v>
      </c>
      <c r="G369" s="7">
        <v>98</v>
      </c>
      <c r="H369" s="7">
        <v>0</v>
      </c>
      <c r="I369" s="7">
        <v>0</v>
      </c>
      <c r="J369" s="7"/>
      <c r="K369" s="1" t="s">
        <v>116</v>
      </c>
      <c r="L369" s="1" t="s">
        <v>542</v>
      </c>
    </row>
    <row r="370" spans="1:12" ht="21" customHeight="1">
      <c r="A370" s="5">
        <v>46279</v>
      </c>
      <c r="B370" s="7">
        <v>76.83</v>
      </c>
      <c r="C370" s="7">
        <v>164742464</v>
      </c>
      <c r="D370" s="7">
        <v>98.5</v>
      </c>
      <c r="E370" s="7">
        <v>72.010000000000005</v>
      </c>
      <c r="F370" s="7">
        <v>103</v>
      </c>
      <c r="G370" s="7">
        <v>75</v>
      </c>
      <c r="H370" s="7">
        <v>0</v>
      </c>
      <c r="I370" s="7">
        <v>0</v>
      </c>
      <c r="J370" s="7"/>
      <c r="K370" s="1" t="s">
        <v>116</v>
      </c>
      <c r="L370" s="1" t="s">
        <v>543</v>
      </c>
    </row>
    <row r="371" spans="1:12" ht="21" customHeight="1">
      <c r="A371" s="5">
        <v>46280</v>
      </c>
      <c r="B371" s="7">
        <v>53.36</v>
      </c>
      <c r="C371" s="7">
        <v>111552832</v>
      </c>
      <c r="D371" s="7">
        <v>72.010000000000005</v>
      </c>
      <c r="E371" s="7">
        <v>51</v>
      </c>
      <c r="F371" s="7">
        <v>72.099999999999994</v>
      </c>
      <c r="G371" s="7">
        <v>48.9</v>
      </c>
      <c r="H371" s="7">
        <v>0</v>
      </c>
      <c r="I371" s="7">
        <v>0</v>
      </c>
      <c r="J371" s="7"/>
      <c r="K371" s="1" t="s">
        <v>116</v>
      </c>
      <c r="L371" s="1" t="s">
        <v>544</v>
      </c>
    </row>
    <row r="372" spans="1:12" ht="21" customHeight="1">
      <c r="A372" s="5">
        <v>46281</v>
      </c>
      <c r="B372" s="7">
        <v>54.71</v>
      </c>
      <c r="C372" s="7">
        <v>66091964</v>
      </c>
      <c r="D372" s="7">
        <v>51</v>
      </c>
      <c r="E372" s="7">
        <v>114</v>
      </c>
      <c r="F372" s="7">
        <v>62.99</v>
      </c>
      <c r="G372" s="7">
        <v>46.6</v>
      </c>
      <c r="H372" s="7">
        <v>0</v>
      </c>
      <c r="I372" s="7">
        <v>0</v>
      </c>
      <c r="J372" s="7"/>
      <c r="K372" s="1" t="s">
        <v>116</v>
      </c>
      <c r="L372" s="1" t="s">
        <v>545</v>
      </c>
    </row>
    <row r="373" spans="1:12" ht="21" customHeight="1">
      <c r="A373" s="5">
        <v>46255</v>
      </c>
      <c r="B373" s="7">
        <v>100.86</v>
      </c>
      <c r="C373" s="7">
        <v>30151970</v>
      </c>
      <c r="D373" s="7">
        <v>114</v>
      </c>
      <c r="E373" s="7">
        <v>90</v>
      </c>
      <c r="F373" s="7">
        <v>117.3</v>
      </c>
      <c r="G373" s="7">
        <v>70</v>
      </c>
      <c r="H373" s="7">
        <v>0</v>
      </c>
      <c r="I373" s="7">
        <v>0</v>
      </c>
      <c r="J373" s="7"/>
      <c r="K373" s="1" t="s">
        <v>121</v>
      </c>
      <c r="L373" s="1" t="s">
        <v>546</v>
      </c>
    </row>
    <row r="374" spans="1:12" ht="21" customHeight="1">
      <c r="A374" s="5">
        <v>46258</v>
      </c>
      <c r="B374" s="7">
        <v>139.29</v>
      </c>
      <c r="C374" s="7">
        <v>93147472</v>
      </c>
      <c r="D374" s="7">
        <v>90</v>
      </c>
      <c r="E374" s="7">
        <v>145</v>
      </c>
      <c r="F374" s="7">
        <v>149</v>
      </c>
      <c r="G374" s="7">
        <v>88</v>
      </c>
      <c r="H374" s="7">
        <v>0</v>
      </c>
      <c r="I374" s="7">
        <v>0</v>
      </c>
      <c r="J374" s="7"/>
      <c r="K374" s="1" t="s">
        <v>121</v>
      </c>
      <c r="L374" s="1" t="s">
        <v>547</v>
      </c>
    </row>
    <row r="375" spans="1:12" ht="21" customHeight="1">
      <c r="A375" s="5">
        <v>46259</v>
      </c>
      <c r="B375" s="7">
        <v>152.22999999999999</v>
      </c>
      <c r="C375" s="7">
        <v>95345512</v>
      </c>
      <c r="D375" s="7">
        <v>145</v>
      </c>
      <c r="E375" s="7">
        <v>173</v>
      </c>
      <c r="F375" s="7">
        <v>157</v>
      </c>
      <c r="G375" s="7">
        <v>120</v>
      </c>
      <c r="H375" s="7">
        <v>0</v>
      </c>
      <c r="I375" s="7">
        <v>0</v>
      </c>
      <c r="J375" s="7"/>
      <c r="K375" s="1" t="s">
        <v>121</v>
      </c>
      <c r="L375" s="1" t="s">
        <v>548</v>
      </c>
    </row>
    <row r="376" spans="1:12" ht="21" customHeight="1">
      <c r="A376" s="5">
        <v>46260</v>
      </c>
      <c r="B376" s="7">
        <v>139.65</v>
      </c>
      <c r="C376" s="7">
        <v>79788936</v>
      </c>
      <c r="D376" s="7">
        <v>173</v>
      </c>
      <c r="E376" s="7">
        <v>128</v>
      </c>
      <c r="F376" s="7">
        <v>180</v>
      </c>
      <c r="G376" s="7">
        <v>130</v>
      </c>
      <c r="H376" s="7">
        <v>0</v>
      </c>
      <c r="I376" s="7">
        <v>0</v>
      </c>
      <c r="J376" s="7"/>
      <c r="K376" s="1" t="s">
        <v>121</v>
      </c>
      <c r="L376" s="1" t="s">
        <v>549</v>
      </c>
    </row>
    <row r="377" spans="1:12" ht="21" customHeight="1">
      <c r="A377" s="5">
        <v>46261</v>
      </c>
      <c r="B377" s="7">
        <v>101.58</v>
      </c>
      <c r="C377" s="7">
        <v>69572024</v>
      </c>
      <c r="D377" s="7">
        <v>128</v>
      </c>
      <c r="E377" s="7">
        <v>102.01</v>
      </c>
      <c r="F377" s="7">
        <v>152</v>
      </c>
      <c r="G377" s="7">
        <v>101</v>
      </c>
      <c r="H377" s="7">
        <v>0</v>
      </c>
      <c r="I377" s="7">
        <v>0</v>
      </c>
      <c r="J377" s="7"/>
      <c r="K377" s="1" t="s">
        <v>121</v>
      </c>
      <c r="L377" s="1" t="s">
        <v>550</v>
      </c>
    </row>
    <row r="378" spans="1:12" ht="21" customHeight="1">
      <c r="A378" s="5">
        <v>46262</v>
      </c>
      <c r="B378" s="7">
        <v>86.22</v>
      </c>
      <c r="C378" s="7">
        <v>40344624</v>
      </c>
      <c r="D378" s="7">
        <v>102.01</v>
      </c>
      <c r="E378" s="7">
        <v>86</v>
      </c>
      <c r="F378" s="7">
        <v>102.01</v>
      </c>
      <c r="G378" s="7">
        <v>75</v>
      </c>
      <c r="H378" s="7">
        <v>0</v>
      </c>
      <c r="I378" s="7">
        <v>0</v>
      </c>
      <c r="J378" s="7"/>
      <c r="K378" s="1" t="s">
        <v>121</v>
      </c>
      <c r="L378" s="1" t="s">
        <v>551</v>
      </c>
    </row>
    <row r="379" spans="1:12" ht="21" customHeight="1">
      <c r="A379" s="5">
        <v>46265</v>
      </c>
      <c r="B379" s="7">
        <v>114.25</v>
      </c>
      <c r="C379" s="7">
        <v>86548000</v>
      </c>
      <c r="D379" s="7">
        <v>86</v>
      </c>
      <c r="E379" s="7">
        <v>101.01</v>
      </c>
      <c r="F379" s="7">
        <v>138.85</v>
      </c>
      <c r="G379" s="7">
        <v>83</v>
      </c>
      <c r="H379" s="7">
        <v>0</v>
      </c>
      <c r="I379" s="7">
        <v>0</v>
      </c>
      <c r="J379" s="7"/>
      <c r="K379" s="1" t="s">
        <v>121</v>
      </c>
      <c r="L379" s="1" t="s">
        <v>552</v>
      </c>
    </row>
    <row r="380" spans="1:12" ht="21" customHeight="1">
      <c r="A380" s="5">
        <v>46266</v>
      </c>
      <c r="B380" s="7">
        <v>117.76</v>
      </c>
      <c r="C380" s="7">
        <v>88963832</v>
      </c>
      <c r="D380" s="7">
        <v>101.01</v>
      </c>
      <c r="E380" s="7">
        <v>126</v>
      </c>
      <c r="F380" s="7">
        <v>147.41</v>
      </c>
      <c r="G380" s="7">
        <v>94</v>
      </c>
      <c r="H380" s="7">
        <v>0</v>
      </c>
      <c r="I380" s="7">
        <v>0</v>
      </c>
      <c r="J380" s="7"/>
      <c r="K380" s="1" t="s">
        <v>121</v>
      </c>
      <c r="L380" s="1" t="s">
        <v>553</v>
      </c>
    </row>
    <row r="381" spans="1:12" ht="21" customHeight="1">
      <c r="A381" s="5">
        <v>46267</v>
      </c>
      <c r="B381" s="7">
        <v>131.47999999999999</v>
      </c>
      <c r="C381" s="7">
        <v>131989768</v>
      </c>
      <c r="D381" s="7">
        <v>126</v>
      </c>
      <c r="E381" s="7">
        <v>140</v>
      </c>
      <c r="F381" s="7">
        <v>135</v>
      </c>
      <c r="G381" s="7">
        <v>108.1</v>
      </c>
      <c r="H381" s="7">
        <v>0</v>
      </c>
      <c r="I381" s="7">
        <v>0</v>
      </c>
      <c r="J381" s="7"/>
      <c r="K381" s="1" t="s">
        <v>121</v>
      </c>
      <c r="L381" s="1" t="s">
        <v>554</v>
      </c>
    </row>
    <row r="382" spans="1:12" ht="21" customHeight="1">
      <c r="A382" s="5">
        <v>46268</v>
      </c>
      <c r="B382" s="7">
        <v>112.69</v>
      </c>
      <c r="C382" s="7">
        <v>159556480</v>
      </c>
      <c r="D382" s="7">
        <v>140</v>
      </c>
      <c r="E382" s="7">
        <v>106</v>
      </c>
      <c r="F382" s="7">
        <v>168</v>
      </c>
      <c r="G382" s="7">
        <v>107</v>
      </c>
      <c r="H382" s="7">
        <v>0</v>
      </c>
      <c r="I382" s="7">
        <v>0</v>
      </c>
      <c r="J382" s="7"/>
      <c r="K382" s="1" t="s">
        <v>121</v>
      </c>
      <c r="L382" s="1" t="s">
        <v>555</v>
      </c>
    </row>
    <row r="383" spans="1:12" ht="21" customHeight="1">
      <c r="A383" s="5">
        <v>46269</v>
      </c>
      <c r="B383" s="7">
        <v>91.92</v>
      </c>
      <c r="C383" s="7">
        <v>122190664</v>
      </c>
      <c r="D383" s="7">
        <v>106</v>
      </c>
      <c r="E383" s="7">
        <v>94</v>
      </c>
      <c r="F383" s="7">
        <v>109.99</v>
      </c>
      <c r="G383" s="7">
        <v>87</v>
      </c>
      <c r="H383" s="7">
        <v>0</v>
      </c>
      <c r="I383" s="7">
        <v>0</v>
      </c>
      <c r="J383" s="7"/>
      <c r="K383" s="1" t="s">
        <v>121</v>
      </c>
      <c r="L383" s="1" t="s">
        <v>556</v>
      </c>
    </row>
    <row r="384" spans="1:12" ht="21" customHeight="1">
      <c r="A384" s="5">
        <v>46272</v>
      </c>
      <c r="B384" s="7">
        <v>83.25</v>
      </c>
      <c r="C384" s="7">
        <v>11874212</v>
      </c>
      <c r="D384" s="7">
        <v>94</v>
      </c>
      <c r="E384" s="7">
        <v>92</v>
      </c>
      <c r="F384" s="7">
        <v>94</v>
      </c>
      <c r="G384" s="7">
        <v>65</v>
      </c>
      <c r="H384" s="7">
        <v>0</v>
      </c>
      <c r="I384" s="7">
        <v>0</v>
      </c>
      <c r="J384" s="7"/>
      <c r="K384" s="1" t="s">
        <v>121</v>
      </c>
      <c r="L384" s="1" t="s">
        <v>557</v>
      </c>
    </row>
    <row r="385" spans="1:12" ht="21" customHeight="1">
      <c r="A385" s="5">
        <v>46273</v>
      </c>
      <c r="B385" s="7">
        <v>81.94</v>
      </c>
      <c r="C385" s="7">
        <v>47876372</v>
      </c>
      <c r="D385" s="7">
        <v>92</v>
      </c>
      <c r="E385" s="7">
        <v>70</v>
      </c>
      <c r="F385" s="7">
        <v>92</v>
      </c>
      <c r="G385" s="7">
        <v>67</v>
      </c>
      <c r="H385" s="7">
        <v>0</v>
      </c>
      <c r="I385" s="7">
        <v>0</v>
      </c>
      <c r="J385" s="7"/>
      <c r="K385" s="1" t="s">
        <v>121</v>
      </c>
      <c r="L385" s="1" t="s">
        <v>558</v>
      </c>
    </row>
    <row r="386" spans="1:12" ht="21" customHeight="1">
      <c r="A386" s="5">
        <v>46274</v>
      </c>
      <c r="B386" s="7">
        <v>88.96</v>
      </c>
      <c r="C386" s="7">
        <v>76354488</v>
      </c>
      <c r="D386" s="7">
        <v>70</v>
      </c>
      <c r="E386" s="7">
        <v>76</v>
      </c>
      <c r="F386" s="7">
        <v>93</v>
      </c>
      <c r="G386" s="7">
        <v>62.4</v>
      </c>
      <c r="H386" s="7">
        <v>0</v>
      </c>
      <c r="I386" s="7">
        <v>0</v>
      </c>
      <c r="J386" s="7"/>
      <c r="K386" s="1" t="s">
        <v>121</v>
      </c>
      <c r="L386" s="1" t="s">
        <v>559</v>
      </c>
    </row>
    <row r="387" spans="1:12" ht="21" customHeight="1">
      <c r="A387" s="5">
        <v>46275</v>
      </c>
      <c r="B387" s="7">
        <v>92.56</v>
      </c>
      <c r="C387" s="7">
        <v>119365384</v>
      </c>
      <c r="D387" s="7">
        <v>76</v>
      </c>
      <c r="E387" s="7">
        <v>104.99</v>
      </c>
      <c r="F387" s="7">
        <v>120</v>
      </c>
      <c r="G387" s="7">
        <v>76</v>
      </c>
      <c r="H387" s="7">
        <v>0</v>
      </c>
      <c r="I387" s="7">
        <v>0</v>
      </c>
      <c r="J387" s="7"/>
      <c r="K387" s="1" t="s">
        <v>121</v>
      </c>
      <c r="L387" s="1" t="s">
        <v>560</v>
      </c>
    </row>
    <row r="388" spans="1:12" ht="21" customHeight="1">
      <c r="A388" s="5">
        <v>46276</v>
      </c>
      <c r="B388" s="7">
        <v>66.81</v>
      </c>
      <c r="C388" s="7">
        <v>51353796</v>
      </c>
      <c r="D388" s="7">
        <v>104.99</v>
      </c>
      <c r="E388" s="7">
        <v>60</v>
      </c>
      <c r="F388" s="7">
        <v>104.99</v>
      </c>
      <c r="G388" s="7">
        <v>61</v>
      </c>
      <c r="H388" s="7">
        <v>0</v>
      </c>
      <c r="I388" s="7">
        <v>0</v>
      </c>
      <c r="J388" s="7"/>
      <c r="K388" s="1" t="s">
        <v>121</v>
      </c>
      <c r="L388" s="1" t="s">
        <v>561</v>
      </c>
    </row>
    <row r="389" spans="1:12" ht="21" customHeight="1">
      <c r="A389" s="5">
        <v>46279</v>
      </c>
      <c r="B389" s="7">
        <v>45.46</v>
      </c>
      <c r="C389" s="7">
        <v>33432668</v>
      </c>
      <c r="D389" s="7">
        <v>60</v>
      </c>
      <c r="E389" s="7">
        <v>47</v>
      </c>
      <c r="F389" s="7">
        <v>62</v>
      </c>
      <c r="G389" s="7">
        <v>45</v>
      </c>
      <c r="H389" s="7">
        <v>0</v>
      </c>
      <c r="I389" s="7">
        <v>0</v>
      </c>
      <c r="J389" s="7"/>
      <c r="K389" s="1" t="s">
        <v>121</v>
      </c>
      <c r="L389" s="1" t="s">
        <v>562</v>
      </c>
    </row>
    <row r="390" spans="1:12" ht="21" customHeight="1">
      <c r="A390" s="5">
        <v>46280</v>
      </c>
      <c r="B390" s="7">
        <v>31.45</v>
      </c>
      <c r="C390" s="7">
        <v>22569552</v>
      </c>
      <c r="D390" s="7">
        <v>47</v>
      </c>
      <c r="E390" s="7">
        <v>30</v>
      </c>
      <c r="F390" s="7">
        <v>47</v>
      </c>
      <c r="G390" s="7">
        <v>27.21</v>
      </c>
      <c r="H390" s="7">
        <v>0</v>
      </c>
      <c r="I390" s="7">
        <v>0</v>
      </c>
      <c r="J390" s="7"/>
      <c r="K390" s="1" t="s">
        <v>121</v>
      </c>
      <c r="L390" s="1" t="s">
        <v>563</v>
      </c>
    </row>
    <row r="391" spans="1:12" ht="21" customHeight="1">
      <c r="A391" s="5">
        <v>46281</v>
      </c>
      <c r="B391" s="7">
        <v>32.200000000000003</v>
      </c>
      <c r="C391" s="7">
        <v>26771796</v>
      </c>
      <c r="D391" s="7">
        <v>30</v>
      </c>
      <c r="E391" s="7">
        <v>76</v>
      </c>
      <c r="F391" s="7">
        <v>38</v>
      </c>
      <c r="G391" s="7">
        <v>27</v>
      </c>
      <c r="H391" s="7">
        <v>0</v>
      </c>
      <c r="I391" s="7">
        <v>0</v>
      </c>
      <c r="J391" s="7"/>
      <c r="K391" s="1" t="s">
        <v>121</v>
      </c>
      <c r="L391" s="1" t="s">
        <v>564</v>
      </c>
    </row>
    <row r="392" spans="1:12" ht="21" customHeight="1">
      <c r="A392" s="5">
        <v>46255</v>
      </c>
      <c r="B392" s="7">
        <v>72.05</v>
      </c>
      <c r="C392" s="7">
        <v>38997476</v>
      </c>
      <c r="D392" s="7">
        <v>76</v>
      </c>
      <c r="E392" s="7">
        <v>75</v>
      </c>
      <c r="F392" s="7">
        <v>87</v>
      </c>
      <c r="G392" s="7">
        <v>69</v>
      </c>
      <c r="H392" s="7">
        <v>0</v>
      </c>
      <c r="I392" s="7">
        <v>0</v>
      </c>
      <c r="J392" s="7"/>
      <c r="K392" s="1" t="s">
        <v>127</v>
      </c>
      <c r="L392" s="1" t="s">
        <v>565</v>
      </c>
    </row>
    <row r="393" spans="1:12" ht="21" customHeight="1">
      <c r="A393" s="5">
        <v>46258</v>
      </c>
      <c r="B393" s="7">
        <v>95.25</v>
      </c>
      <c r="C393" s="7">
        <v>143720016</v>
      </c>
      <c r="D393" s="7">
        <v>75</v>
      </c>
      <c r="E393" s="7">
        <v>95</v>
      </c>
      <c r="F393" s="7">
        <v>101</v>
      </c>
      <c r="G393" s="7">
        <v>65.5</v>
      </c>
      <c r="H393" s="7">
        <v>0</v>
      </c>
      <c r="I393" s="7">
        <v>0</v>
      </c>
      <c r="J393" s="7"/>
      <c r="K393" s="1" t="s">
        <v>127</v>
      </c>
      <c r="L393" s="1" t="s">
        <v>566</v>
      </c>
    </row>
    <row r="394" spans="1:12" ht="21" customHeight="1">
      <c r="A394" s="5">
        <v>46259</v>
      </c>
      <c r="B394" s="7">
        <v>104.86</v>
      </c>
      <c r="C394" s="7">
        <v>136113936</v>
      </c>
      <c r="D394" s="7">
        <v>95</v>
      </c>
      <c r="E394" s="7">
        <v>110</v>
      </c>
      <c r="F394" s="7">
        <v>108</v>
      </c>
      <c r="G394" s="7">
        <v>83</v>
      </c>
      <c r="H394" s="7">
        <v>0</v>
      </c>
      <c r="I394" s="7">
        <v>0</v>
      </c>
      <c r="J394" s="7"/>
      <c r="K394" s="1" t="s">
        <v>127</v>
      </c>
      <c r="L394" s="1" t="s">
        <v>567</v>
      </c>
    </row>
    <row r="395" spans="1:12" ht="21" customHeight="1">
      <c r="A395" s="5">
        <v>46260</v>
      </c>
      <c r="B395" s="7">
        <v>92.25</v>
      </c>
      <c r="C395" s="7">
        <v>116072392</v>
      </c>
      <c r="D395" s="7">
        <v>110</v>
      </c>
      <c r="E395" s="7">
        <v>72</v>
      </c>
      <c r="F395" s="7">
        <v>129</v>
      </c>
      <c r="G395" s="7">
        <v>87</v>
      </c>
      <c r="H395" s="7">
        <v>0</v>
      </c>
      <c r="I395" s="7">
        <v>0</v>
      </c>
      <c r="J395" s="7"/>
      <c r="K395" s="1" t="s">
        <v>127</v>
      </c>
      <c r="L395" s="1" t="s">
        <v>568</v>
      </c>
    </row>
    <row r="396" spans="1:12" ht="21" customHeight="1">
      <c r="A396" s="5">
        <v>46261</v>
      </c>
      <c r="B396" s="7">
        <v>68.22</v>
      </c>
      <c r="C396" s="7">
        <v>113202264</v>
      </c>
      <c r="D396" s="7">
        <v>72</v>
      </c>
      <c r="E396" s="7">
        <v>66</v>
      </c>
      <c r="F396" s="7">
        <v>110</v>
      </c>
      <c r="G396" s="7">
        <v>66.099999999999994</v>
      </c>
      <c r="H396" s="7">
        <v>0</v>
      </c>
      <c r="I396" s="7">
        <v>0</v>
      </c>
      <c r="J396" s="7"/>
      <c r="K396" s="1" t="s">
        <v>127</v>
      </c>
      <c r="L396" s="1" t="s">
        <v>569</v>
      </c>
    </row>
    <row r="397" spans="1:12" ht="21" customHeight="1">
      <c r="A397" s="5">
        <v>46262</v>
      </c>
      <c r="B397" s="7">
        <v>55.3</v>
      </c>
      <c r="C397" s="7">
        <v>48912104</v>
      </c>
      <c r="D397" s="7">
        <v>66</v>
      </c>
      <c r="E397" s="7">
        <v>56</v>
      </c>
      <c r="F397" s="7">
        <v>66</v>
      </c>
      <c r="G397" s="7">
        <v>50</v>
      </c>
      <c r="H397" s="7">
        <v>0</v>
      </c>
      <c r="I397" s="7">
        <v>0</v>
      </c>
      <c r="J397" s="7"/>
      <c r="K397" s="1" t="s">
        <v>127</v>
      </c>
      <c r="L397" s="1" t="s">
        <v>570</v>
      </c>
    </row>
    <row r="398" spans="1:12" ht="21" customHeight="1">
      <c r="A398" s="5">
        <v>46265</v>
      </c>
      <c r="B398" s="7">
        <v>73.69</v>
      </c>
      <c r="C398" s="7">
        <v>147705424</v>
      </c>
      <c r="D398" s="7">
        <v>56</v>
      </c>
      <c r="E398" s="7">
        <v>60</v>
      </c>
      <c r="F398" s="7">
        <v>90</v>
      </c>
      <c r="G398" s="7">
        <v>52</v>
      </c>
      <c r="H398" s="7">
        <v>0</v>
      </c>
      <c r="I398" s="7">
        <v>0</v>
      </c>
      <c r="J398" s="7"/>
      <c r="K398" s="1" t="s">
        <v>127</v>
      </c>
      <c r="L398" s="1" t="s">
        <v>571</v>
      </c>
    </row>
    <row r="399" spans="1:12" ht="21" customHeight="1">
      <c r="A399" s="5">
        <v>46266</v>
      </c>
      <c r="B399" s="7">
        <v>73.38</v>
      </c>
      <c r="C399" s="7">
        <v>73585792</v>
      </c>
      <c r="D399" s="7">
        <v>60</v>
      </c>
      <c r="E399" s="7">
        <v>77</v>
      </c>
      <c r="F399" s="7">
        <v>96</v>
      </c>
      <c r="G399" s="7">
        <v>60</v>
      </c>
      <c r="H399" s="7">
        <v>0</v>
      </c>
      <c r="I399" s="7">
        <v>0</v>
      </c>
      <c r="J399" s="7"/>
      <c r="K399" s="1" t="s">
        <v>127</v>
      </c>
      <c r="L399" s="1" t="s">
        <v>572</v>
      </c>
    </row>
    <row r="400" spans="1:12" ht="21" customHeight="1">
      <c r="A400" s="5">
        <v>46267</v>
      </c>
      <c r="B400" s="7">
        <v>84.77</v>
      </c>
      <c r="C400" s="7">
        <v>171411632</v>
      </c>
      <c r="D400" s="7">
        <v>77</v>
      </c>
      <c r="E400" s="7">
        <v>93</v>
      </c>
      <c r="F400" s="7">
        <v>87</v>
      </c>
      <c r="G400" s="7">
        <v>67</v>
      </c>
      <c r="H400" s="7">
        <v>0</v>
      </c>
      <c r="I400" s="7">
        <v>0</v>
      </c>
      <c r="J400" s="7"/>
      <c r="K400" s="1" t="s">
        <v>127</v>
      </c>
      <c r="L400" s="1" t="s">
        <v>573</v>
      </c>
    </row>
    <row r="401" spans="1:12" ht="21" customHeight="1">
      <c r="A401" s="5">
        <v>46268</v>
      </c>
      <c r="B401" s="7">
        <v>70.599999999999994</v>
      </c>
      <c r="C401" s="7">
        <v>141235936</v>
      </c>
      <c r="D401" s="7">
        <v>93</v>
      </c>
      <c r="E401" s="7">
        <v>69.489999999999995</v>
      </c>
      <c r="F401" s="7">
        <v>115</v>
      </c>
      <c r="G401" s="7">
        <v>66</v>
      </c>
      <c r="H401" s="7">
        <v>0</v>
      </c>
      <c r="I401" s="7">
        <v>0</v>
      </c>
      <c r="J401" s="7"/>
      <c r="K401" s="1" t="s">
        <v>127</v>
      </c>
      <c r="L401" s="1" t="s">
        <v>574</v>
      </c>
    </row>
    <row r="402" spans="1:12" ht="21" customHeight="1">
      <c r="A402" s="5">
        <v>46269</v>
      </c>
      <c r="B402" s="7">
        <v>56.19</v>
      </c>
      <c r="C402" s="7">
        <v>63448188</v>
      </c>
      <c r="D402" s="7">
        <v>69.489999999999995</v>
      </c>
      <c r="E402" s="7">
        <v>51</v>
      </c>
      <c r="F402" s="7">
        <v>69.489999999999995</v>
      </c>
      <c r="G402" s="7">
        <v>51</v>
      </c>
      <c r="H402" s="7">
        <v>0</v>
      </c>
      <c r="I402" s="7">
        <v>0</v>
      </c>
      <c r="J402" s="7"/>
      <c r="K402" s="1" t="s">
        <v>127</v>
      </c>
      <c r="L402" s="1" t="s">
        <v>575</v>
      </c>
    </row>
    <row r="403" spans="1:12" ht="21" customHeight="1">
      <c r="A403" s="5">
        <v>46272</v>
      </c>
      <c r="B403" s="7">
        <v>48.42</v>
      </c>
      <c r="C403" s="7">
        <v>13341109</v>
      </c>
      <c r="D403" s="7">
        <v>51</v>
      </c>
      <c r="E403" s="7">
        <v>50.99</v>
      </c>
      <c r="F403" s="7">
        <v>52</v>
      </c>
      <c r="G403" s="7">
        <v>47.01</v>
      </c>
      <c r="H403" s="7">
        <v>0</v>
      </c>
      <c r="I403" s="7">
        <v>0</v>
      </c>
      <c r="J403" s="7"/>
      <c r="K403" s="1" t="s">
        <v>127</v>
      </c>
      <c r="L403" s="1" t="s">
        <v>576</v>
      </c>
    </row>
    <row r="404" spans="1:12" ht="21" customHeight="1">
      <c r="A404" s="5">
        <v>46273</v>
      </c>
      <c r="B404" s="7">
        <v>51.36</v>
      </c>
      <c r="C404" s="7">
        <v>44179408</v>
      </c>
      <c r="D404" s="7">
        <v>50.99</v>
      </c>
      <c r="E404" s="7">
        <v>45.5</v>
      </c>
      <c r="F404" s="7">
        <v>55</v>
      </c>
      <c r="G404" s="7">
        <v>38.1</v>
      </c>
      <c r="H404" s="7">
        <v>0</v>
      </c>
      <c r="I404" s="7">
        <v>0</v>
      </c>
      <c r="J404" s="7"/>
      <c r="K404" s="1" t="s">
        <v>127</v>
      </c>
      <c r="L404" s="1" t="s">
        <v>577</v>
      </c>
    </row>
    <row r="405" spans="1:12" ht="21" customHeight="1">
      <c r="A405" s="5">
        <v>46274</v>
      </c>
      <c r="B405" s="7">
        <v>53.35</v>
      </c>
      <c r="C405" s="7">
        <v>56535192</v>
      </c>
      <c r="D405" s="7">
        <v>45.5</v>
      </c>
      <c r="E405" s="7">
        <v>45</v>
      </c>
      <c r="F405" s="7">
        <v>58</v>
      </c>
      <c r="G405" s="7">
        <v>38</v>
      </c>
      <c r="H405" s="7">
        <v>0</v>
      </c>
      <c r="I405" s="7">
        <v>0</v>
      </c>
      <c r="J405" s="7"/>
      <c r="K405" s="1" t="s">
        <v>127</v>
      </c>
      <c r="L405" s="1" t="s">
        <v>578</v>
      </c>
    </row>
    <row r="406" spans="1:12" ht="21" customHeight="1">
      <c r="A406" s="5">
        <v>46275</v>
      </c>
      <c r="B406" s="7">
        <v>53.67</v>
      </c>
      <c r="C406" s="7">
        <v>113294240</v>
      </c>
      <c r="D406" s="7">
        <v>45</v>
      </c>
      <c r="E406" s="7">
        <v>57.75</v>
      </c>
      <c r="F406" s="7">
        <v>72</v>
      </c>
      <c r="G406" s="7">
        <v>45</v>
      </c>
      <c r="H406" s="7">
        <v>0</v>
      </c>
      <c r="I406" s="7">
        <v>0</v>
      </c>
      <c r="J406" s="7"/>
      <c r="K406" s="1" t="s">
        <v>127</v>
      </c>
      <c r="L406" s="1" t="s">
        <v>579</v>
      </c>
    </row>
    <row r="407" spans="1:12" ht="21" customHeight="1">
      <c r="A407" s="5">
        <v>46276</v>
      </c>
      <c r="B407" s="7">
        <v>38.76</v>
      </c>
      <c r="C407" s="7">
        <v>81070872</v>
      </c>
      <c r="D407" s="7">
        <v>57.75</v>
      </c>
      <c r="E407" s="7">
        <v>35</v>
      </c>
      <c r="F407" s="7">
        <v>61</v>
      </c>
      <c r="G407" s="7">
        <v>32</v>
      </c>
      <c r="H407" s="7">
        <v>0</v>
      </c>
      <c r="I407" s="7">
        <v>0</v>
      </c>
      <c r="J407" s="7"/>
      <c r="K407" s="1" t="s">
        <v>127</v>
      </c>
      <c r="L407" s="1" t="s">
        <v>580</v>
      </c>
    </row>
    <row r="408" spans="1:12" ht="21" customHeight="1">
      <c r="A408" s="5">
        <v>46279</v>
      </c>
      <c r="B408" s="7">
        <v>27.59</v>
      </c>
      <c r="C408" s="7">
        <v>41967176</v>
      </c>
      <c r="D408" s="7">
        <v>35</v>
      </c>
      <c r="E408" s="7">
        <v>23</v>
      </c>
      <c r="F408" s="7">
        <v>35.5</v>
      </c>
      <c r="G408" s="7">
        <v>26.6</v>
      </c>
      <c r="H408" s="7">
        <v>0</v>
      </c>
      <c r="I408" s="7">
        <v>0</v>
      </c>
      <c r="J408" s="7"/>
      <c r="K408" s="1" t="s">
        <v>127</v>
      </c>
      <c r="L408" s="1" t="s">
        <v>581</v>
      </c>
    </row>
    <row r="409" spans="1:12" ht="21" customHeight="1">
      <c r="A409" s="5">
        <v>46280</v>
      </c>
      <c r="B409" s="7">
        <v>19.149999999999999</v>
      </c>
      <c r="C409" s="7">
        <v>16742308</v>
      </c>
      <c r="D409" s="7">
        <v>23</v>
      </c>
      <c r="E409" s="7">
        <v>20</v>
      </c>
      <c r="F409" s="7">
        <v>25</v>
      </c>
      <c r="G409" s="7">
        <v>17</v>
      </c>
      <c r="H409" s="7">
        <v>0</v>
      </c>
      <c r="I409" s="7">
        <v>0</v>
      </c>
      <c r="J409" s="7"/>
      <c r="K409" s="1" t="s">
        <v>127</v>
      </c>
      <c r="L409" s="1" t="s">
        <v>582</v>
      </c>
    </row>
    <row r="410" spans="1:12" ht="21" customHeight="1">
      <c r="A410" s="5">
        <v>46281</v>
      </c>
      <c r="B410" s="7">
        <v>17.940000000000001</v>
      </c>
      <c r="C410" s="7">
        <v>7674966</v>
      </c>
      <c r="D410" s="7">
        <v>20</v>
      </c>
      <c r="E410" s="7">
        <v>49</v>
      </c>
      <c r="F410" s="7">
        <v>24</v>
      </c>
      <c r="G410" s="7">
        <v>16</v>
      </c>
      <c r="H410" s="7">
        <v>0</v>
      </c>
      <c r="I410" s="7">
        <v>0</v>
      </c>
      <c r="J410" s="7"/>
      <c r="K410" s="1" t="s">
        <v>127</v>
      </c>
      <c r="L410" s="1" t="s">
        <v>583</v>
      </c>
    </row>
    <row r="411" spans="1:12" ht="21" customHeight="1">
      <c r="A411" s="5">
        <v>46255</v>
      </c>
      <c r="B411" s="7">
        <v>49.98</v>
      </c>
      <c r="C411" s="7">
        <v>5966664</v>
      </c>
      <c r="D411" s="7">
        <v>49</v>
      </c>
      <c r="E411" s="7">
        <v>48.5</v>
      </c>
      <c r="F411" s="7">
        <v>54</v>
      </c>
      <c r="G411" s="7">
        <v>46</v>
      </c>
      <c r="H411" s="7">
        <v>0</v>
      </c>
      <c r="I411" s="7">
        <v>0</v>
      </c>
      <c r="J411" s="7"/>
      <c r="K411" s="1" t="s">
        <v>132</v>
      </c>
      <c r="L411" s="1" t="s">
        <v>584</v>
      </c>
    </row>
    <row r="412" spans="1:12" ht="21" customHeight="1">
      <c r="A412" s="5">
        <v>46258</v>
      </c>
      <c r="B412" s="7">
        <v>63.96</v>
      </c>
      <c r="C412" s="7">
        <v>16858530</v>
      </c>
      <c r="D412" s="7">
        <v>48.5</v>
      </c>
      <c r="E412" s="7">
        <v>65</v>
      </c>
      <c r="F412" s="7">
        <v>70</v>
      </c>
      <c r="G412" s="7">
        <v>48.5</v>
      </c>
      <c r="H412" s="7">
        <v>0</v>
      </c>
      <c r="I412" s="7">
        <v>0</v>
      </c>
      <c r="J412" s="7"/>
      <c r="K412" s="1" t="s">
        <v>132</v>
      </c>
      <c r="L412" s="1" t="s">
        <v>585</v>
      </c>
    </row>
    <row r="413" spans="1:12" ht="21" customHeight="1">
      <c r="A413" s="5">
        <v>46259</v>
      </c>
      <c r="B413" s="7">
        <v>65.33</v>
      </c>
      <c r="C413" s="7">
        <v>19130654</v>
      </c>
      <c r="D413" s="7">
        <v>65</v>
      </c>
      <c r="E413" s="7">
        <v>70.989999999999995</v>
      </c>
      <c r="F413" s="7">
        <v>71</v>
      </c>
      <c r="G413" s="7">
        <v>51</v>
      </c>
      <c r="H413" s="7">
        <v>0</v>
      </c>
      <c r="I413" s="7">
        <v>0</v>
      </c>
      <c r="J413" s="7"/>
      <c r="K413" s="1" t="s">
        <v>132</v>
      </c>
      <c r="L413" s="1" t="s">
        <v>586</v>
      </c>
    </row>
    <row r="414" spans="1:12" ht="21" customHeight="1">
      <c r="A414" s="5">
        <v>46260</v>
      </c>
      <c r="B414" s="7">
        <v>66.03</v>
      </c>
      <c r="C414" s="7">
        <v>36417060</v>
      </c>
      <c r="D414" s="7">
        <v>70.989999999999995</v>
      </c>
      <c r="E414" s="7">
        <v>58</v>
      </c>
      <c r="F414" s="7">
        <v>86.49</v>
      </c>
      <c r="G414" s="7">
        <v>57.2</v>
      </c>
      <c r="H414" s="7">
        <v>0</v>
      </c>
      <c r="I414" s="7">
        <v>0</v>
      </c>
      <c r="J414" s="7"/>
      <c r="K414" s="1" t="s">
        <v>132</v>
      </c>
      <c r="L414" s="1" t="s">
        <v>587</v>
      </c>
    </row>
    <row r="415" spans="1:12" ht="21" customHeight="1">
      <c r="A415" s="5">
        <v>46261</v>
      </c>
      <c r="B415" s="7">
        <v>45.5</v>
      </c>
      <c r="C415" s="7">
        <v>19775222</v>
      </c>
      <c r="D415" s="7">
        <v>58</v>
      </c>
      <c r="E415" s="7">
        <v>38.9</v>
      </c>
      <c r="F415" s="7">
        <v>69</v>
      </c>
      <c r="G415" s="7">
        <v>44</v>
      </c>
      <c r="H415" s="7">
        <v>0</v>
      </c>
      <c r="I415" s="7">
        <v>0</v>
      </c>
      <c r="J415" s="7"/>
      <c r="K415" s="1" t="s">
        <v>132</v>
      </c>
      <c r="L415" s="1" t="s">
        <v>588</v>
      </c>
    </row>
    <row r="416" spans="1:12" ht="21" customHeight="1">
      <c r="A416" s="5">
        <v>46262</v>
      </c>
      <c r="B416" s="7">
        <v>36.229999999999997</v>
      </c>
      <c r="C416" s="7">
        <v>13255130</v>
      </c>
      <c r="D416" s="7">
        <v>38.9</v>
      </c>
      <c r="E416" s="7">
        <v>39.49</v>
      </c>
      <c r="F416" s="7">
        <v>41.06</v>
      </c>
      <c r="G416" s="7">
        <v>32.5</v>
      </c>
      <c r="H416" s="7">
        <v>0</v>
      </c>
      <c r="I416" s="7">
        <v>0</v>
      </c>
      <c r="J416" s="7"/>
      <c r="K416" s="1" t="s">
        <v>132</v>
      </c>
      <c r="L416" s="1" t="s">
        <v>589</v>
      </c>
    </row>
    <row r="417" spans="1:12" ht="21" customHeight="1">
      <c r="A417" s="5">
        <v>46265</v>
      </c>
      <c r="B417" s="7">
        <v>46.66</v>
      </c>
      <c r="C417" s="7">
        <v>18052144</v>
      </c>
      <c r="D417" s="7">
        <v>39.49</v>
      </c>
      <c r="E417" s="7">
        <v>47</v>
      </c>
      <c r="F417" s="7">
        <v>60</v>
      </c>
      <c r="G417" s="7">
        <v>37</v>
      </c>
      <c r="H417" s="7">
        <v>0</v>
      </c>
      <c r="I417" s="7">
        <v>0</v>
      </c>
      <c r="J417" s="7"/>
      <c r="K417" s="1" t="s">
        <v>132</v>
      </c>
      <c r="L417" s="1" t="s">
        <v>590</v>
      </c>
    </row>
    <row r="418" spans="1:12" ht="21" customHeight="1">
      <c r="A418" s="5">
        <v>46266</v>
      </c>
      <c r="B418" s="7">
        <v>45.91</v>
      </c>
      <c r="C418" s="7">
        <v>23777724</v>
      </c>
      <c r="D418" s="7">
        <v>47</v>
      </c>
      <c r="E418" s="7">
        <v>50.6</v>
      </c>
      <c r="F418" s="7">
        <v>62</v>
      </c>
      <c r="G418" s="7">
        <v>41.71</v>
      </c>
      <c r="H418" s="7">
        <v>0</v>
      </c>
      <c r="I418" s="7">
        <v>0</v>
      </c>
      <c r="J418" s="7"/>
      <c r="K418" s="1" t="s">
        <v>132</v>
      </c>
      <c r="L418" s="1" t="s">
        <v>591</v>
      </c>
    </row>
    <row r="419" spans="1:12" ht="21" customHeight="1">
      <c r="A419" s="5">
        <v>46267</v>
      </c>
      <c r="B419" s="7">
        <v>53.17</v>
      </c>
      <c r="C419" s="7">
        <v>22213796</v>
      </c>
      <c r="D419" s="7">
        <v>50.6</v>
      </c>
      <c r="E419" s="7">
        <v>58.3</v>
      </c>
      <c r="F419" s="7">
        <v>55.2</v>
      </c>
      <c r="G419" s="7">
        <v>42</v>
      </c>
      <c r="H419" s="7">
        <v>0</v>
      </c>
      <c r="I419" s="7">
        <v>0</v>
      </c>
      <c r="J419" s="7"/>
      <c r="K419" s="1" t="s">
        <v>132</v>
      </c>
      <c r="L419" s="1" t="s">
        <v>592</v>
      </c>
    </row>
    <row r="420" spans="1:12" ht="21" customHeight="1">
      <c r="A420" s="5">
        <v>46268</v>
      </c>
      <c r="B420" s="7">
        <v>41.9</v>
      </c>
      <c r="C420" s="7">
        <v>35978904</v>
      </c>
      <c r="D420" s="7">
        <v>58.3</v>
      </c>
      <c r="E420" s="7">
        <v>37.200000000000003</v>
      </c>
      <c r="F420" s="7">
        <v>74</v>
      </c>
      <c r="G420" s="7">
        <v>41</v>
      </c>
      <c r="H420" s="7">
        <v>0</v>
      </c>
      <c r="I420" s="7">
        <v>0</v>
      </c>
      <c r="J420" s="7"/>
      <c r="K420" s="1" t="s">
        <v>132</v>
      </c>
      <c r="L420" s="1" t="s">
        <v>593</v>
      </c>
    </row>
    <row r="421" spans="1:12" ht="21" customHeight="1">
      <c r="A421" s="5">
        <v>46269</v>
      </c>
      <c r="B421" s="7">
        <v>34.74</v>
      </c>
      <c r="C421" s="7">
        <v>10991296</v>
      </c>
      <c r="D421" s="7">
        <v>37.200000000000003</v>
      </c>
      <c r="E421" s="7">
        <v>31.34</v>
      </c>
      <c r="F421" s="7">
        <v>43</v>
      </c>
      <c r="G421" s="7">
        <v>30.1</v>
      </c>
      <c r="H421" s="7">
        <v>0</v>
      </c>
      <c r="I421" s="7">
        <v>0</v>
      </c>
      <c r="J421" s="7"/>
      <c r="K421" s="1" t="s">
        <v>132</v>
      </c>
      <c r="L421" s="1" t="s">
        <v>594</v>
      </c>
    </row>
    <row r="422" spans="1:12" ht="21" customHeight="1">
      <c r="A422" s="5">
        <v>46272</v>
      </c>
      <c r="B422" s="7">
        <v>28.82</v>
      </c>
      <c r="C422" s="7">
        <v>3681356</v>
      </c>
      <c r="D422" s="7">
        <v>31.34</v>
      </c>
      <c r="E422" s="7">
        <v>30.53</v>
      </c>
      <c r="F422" s="7">
        <v>31.35</v>
      </c>
      <c r="G422" s="7">
        <v>28.22</v>
      </c>
      <c r="H422" s="7">
        <v>0</v>
      </c>
      <c r="I422" s="7">
        <v>0</v>
      </c>
      <c r="J422" s="7"/>
      <c r="K422" s="1" t="s">
        <v>132</v>
      </c>
      <c r="L422" s="1" t="s">
        <v>595</v>
      </c>
    </row>
    <row r="423" spans="1:12" ht="21" customHeight="1">
      <c r="A423" s="5">
        <v>46273</v>
      </c>
      <c r="B423" s="7">
        <v>29.55</v>
      </c>
      <c r="C423" s="7">
        <v>16737050</v>
      </c>
      <c r="D423" s="7">
        <v>30.53</v>
      </c>
      <c r="E423" s="7">
        <v>26</v>
      </c>
      <c r="F423" s="7">
        <v>37.979999999999997</v>
      </c>
      <c r="G423" s="7">
        <v>24.1</v>
      </c>
      <c r="H423" s="7">
        <v>0</v>
      </c>
      <c r="I423" s="7">
        <v>0</v>
      </c>
      <c r="J423" s="7"/>
      <c r="K423" s="1" t="s">
        <v>132</v>
      </c>
      <c r="L423" s="1" t="s">
        <v>596</v>
      </c>
    </row>
    <row r="424" spans="1:12" ht="21" customHeight="1">
      <c r="A424" s="5">
        <v>46274</v>
      </c>
      <c r="B424" s="7">
        <v>30.7</v>
      </c>
      <c r="C424" s="7">
        <v>11324418</v>
      </c>
      <c r="D424" s="7">
        <v>26</v>
      </c>
      <c r="E424" s="7">
        <v>25.09</v>
      </c>
      <c r="F424" s="7">
        <v>33</v>
      </c>
      <c r="G424" s="7">
        <v>22.53</v>
      </c>
      <c r="H424" s="7">
        <v>0</v>
      </c>
      <c r="I424" s="7">
        <v>0</v>
      </c>
      <c r="J424" s="7"/>
      <c r="K424" s="1" t="s">
        <v>132</v>
      </c>
      <c r="L424" s="1" t="s">
        <v>597</v>
      </c>
    </row>
    <row r="425" spans="1:12" ht="21" customHeight="1">
      <c r="A425" s="5">
        <v>46275</v>
      </c>
      <c r="B425" s="7">
        <v>31.79</v>
      </c>
      <c r="C425" s="7">
        <v>48369652</v>
      </c>
      <c r="D425" s="7">
        <v>25.09</v>
      </c>
      <c r="E425" s="7">
        <v>33</v>
      </c>
      <c r="F425" s="7">
        <v>90.01</v>
      </c>
      <c r="G425" s="7">
        <v>25.09</v>
      </c>
      <c r="H425" s="7">
        <v>0</v>
      </c>
      <c r="I425" s="7">
        <v>0</v>
      </c>
      <c r="J425" s="7"/>
      <c r="K425" s="1" t="s">
        <v>132</v>
      </c>
      <c r="L425" s="1" t="s">
        <v>598</v>
      </c>
    </row>
    <row r="426" spans="1:12" ht="21" customHeight="1">
      <c r="A426" s="5">
        <v>46276</v>
      </c>
      <c r="B426" s="7">
        <v>22.19</v>
      </c>
      <c r="C426" s="7">
        <v>13448505</v>
      </c>
      <c r="D426" s="7">
        <v>33</v>
      </c>
      <c r="E426" s="7">
        <v>21.5</v>
      </c>
      <c r="F426" s="7">
        <v>33</v>
      </c>
      <c r="G426" s="7">
        <v>18.7</v>
      </c>
      <c r="H426" s="7">
        <v>0</v>
      </c>
      <c r="I426" s="7">
        <v>0</v>
      </c>
      <c r="J426" s="7"/>
      <c r="K426" s="1" t="s">
        <v>132</v>
      </c>
      <c r="L426" s="1" t="s">
        <v>599</v>
      </c>
    </row>
    <row r="427" spans="1:12" ht="21" customHeight="1">
      <c r="A427" s="5">
        <v>46279</v>
      </c>
      <c r="B427" s="7">
        <v>14.97</v>
      </c>
      <c r="C427" s="7">
        <v>6218210</v>
      </c>
      <c r="D427" s="7">
        <v>21.5</v>
      </c>
      <c r="E427" s="7">
        <v>11.5</v>
      </c>
      <c r="F427" s="7">
        <v>21.9</v>
      </c>
      <c r="G427" s="7">
        <v>14.2</v>
      </c>
      <c r="H427" s="7">
        <v>0</v>
      </c>
      <c r="I427" s="7">
        <v>0</v>
      </c>
      <c r="J427" s="7"/>
      <c r="K427" s="1" t="s">
        <v>132</v>
      </c>
      <c r="L427" s="1" t="s">
        <v>600</v>
      </c>
    </row>
    <row r="428" spans="1:12" ht="21" customHeight="1">
      <c r="A428" s="5">
        <v>46280</v>
      </c>
      <c r="B428" s="7">
        <v>9.81</v>
      </c>
      <c r="C428" s="7">
        <v>3391931.75</v>
      </c>
      <c r="D428" s="7">
        <v>11.5</v>
      </c>
      <c r="E428" s="7">
        <v>10.4</v>
      </c>
      <c r="F428" s="7">
        <v>13</v>
      </c>
      <c r="G428" s="7">
        <v>9</v>
      </c>
      <c r="H428" s="7">
        <v>0</v>
      </c>
      <c r="I428" s="7">
        <v>0</v>
      </c>
      <c r="J428" s="7"/>
      <c r="K428" s="1" t="s">
        <v>132</v>
      </c>
      <c r="L428" s="1" t="s">
        <v>601</v>
      </c>
    </row>
    <row r="429" spans="1:12" ht="21" customHeight="1">
      <c r="A429" s="5">
        <v>46281</v>
      </c>
      <c r="B429" s="7">
        <v>9.99</v>
      </c>
      <c r="C429" s="7">
        <v>1861800.12</v>
      </c>
      <c r="D429" s="7">
        <v>10.4</v>
      </c>
      <c r="E429" s="7">
        <v>40</v>
      </c>
      <c r="F429" s="7">
        <v>11</v>
      </c>
      <c r="G429" s="7">
        <v>8.01</v>
      </c>
      <c r="H429" s="7">
        <v>0</v>
      </c>
      <c r="I429" s="7">
        <v>0</v>
      </c>
      <c r="J429" s="7"/>
      <c r="K429" s="1" t="s">
        <v>132</v>
      </c>
      <c r="L429" s="1" t="s">
        <v>602</v>
      </c>
    </row>
    <row r="430" spans="1:12" ht="21" customHeight="1">
      <c r="A430" s="5">
        <v>46255</v>
      </c>
      <c r="B430" s="7">
        <v>33.56</v>
      </c>
      <c r="C430" s="7">
        <v>7705131</v>
      </c>
      <c r="D430" s="7">
        <v>40</v>
      </c>
      <c r="E430" s="7">
        <v>36</v>
      </c>
      <c r="F430" s="7">
        <v>47</v>
      </c>
      <c r="G430" s="7">
        <v>32.01</v>
      </c>
      <c r="H430" s="7">
        <v>0</v>
      </c>
      <c r="I430" s="7">
        <v>0</v>
      </c>
      <c r="J430" s="7"/>
      <c r="K430" s="1" t="s">
        <v>138</v>
      </c>
      <c r="L430" s="1" t="s">
        <v>603</v>
      </c>
    </row>
    <row r="431" spans="1:12" ht="21" customHeight="1">
      <c r="A431" s="5">
        <v>46258</v>
      </c>
      <c r="B431" s="7">
        <v>43.1</v>
      </c>
      <c r="C431" s="7">
        <v>19611924</v>
      </c>
      <c r="D431" s="7">
        <v>36</v>
      </c>
      <c r="E431" s="7">
        <v>38</v>
      </c>
      <c r="F431" s="7">
        <v>48</v>
      </c>
      <c r="G431" s="7">
        <v>32.01</v>
      </c>
      <c r="H431" s="7">
        <v>0</v>
      </c>
      <c r="I431" s="7">
        <v>0</v>
      </c>
      <c r="J431" s="7"/>
      <c r="K431" s="1" t="s">
        <v>138</v>
      </c>
      <c r="L431" s="1" t="s">
        <v>604</v>
      </c>
    </row>
    <row r="432" spans="1:12" ht="21" customHeight="1">
      <c r="A432" s="5">
        <v>46259</v>
      </c>
      <c r="B432" s="7">
        <v>45.53</v>
      </c>
      <c r="C432" s="7">
        <v>18251286</v>
      </c>
      <c r="D432" s="7">
        <v>38</v>
      </c>
      <c r="E432" s="7">
        <v>57.5</v>
      </c>
      <c r="F432" s="7">
        <v>48</v>
      </c>
      <c r="G432" s="7">
        <v>36</v>
      </c>
      <c r="H432" s="7">
        <v>0</v>
      </c>
      <c r="I432" s="7">
        <v>0</v>
      </c>
      <c r="J432" s="7"/>
      <c r="K432" s="1" t="s">
        <v>138</v>
      </c>
      <c r="L432" s="1" t="s">
        <v>605</v>
      </c>
    </row>
    <row r="433" spans="1:12" ht="21" customHeight="1">
      <c r="A433" s="5">
        <v>46260</v>
      </c>
      <c r="B433" s="7">
        <v>41.09</v>
      </c>
      <c r="C433" s="7">
        <v>9481437</v>
      </c>
      <c r="D433" s="7">
        <v>57.5</v>
      </c>
      <c r="E433" s="7">
        <v>49.5</v>
      </c>
      <c r="F433" s="7">
        <v>57.5</v>
      </c>
      <c r="G433" s="7">
        <v>38.5</v>
      </c>
      <c r="H433" s="7">
        <v>0</v>
      </c>
      <c r="I433" s="7">
        <v>0</v>
      </c>
      <c r="J433" s="7"/>
      <c r="K433" s="1" t="s">
        <v>138</v>
      </c>
      <c r="L433" s="1" t="s">
        <v>606</v>
      </c>
    </row>
    <row r="434" spans="1:12" ht="21" customHeight="1">
      <c r="A434" s="5">
        <v>46261</v>
      </c>
      <c r="B434" s="7">
        <v>30.1</v>
      </c>
      <c r="C434" s="7">
        <v>12357319</v>
      </c>
      <c r="D434" s="7">
        <v>49.5</v>
      </c>
      <c r="E434" s="7">
        <v>27</v>
      </c>
      <c r="F434" s="7">
        <v>49.5</v>
      </c>
      <c r="G434" s="7">
        <v>29.85</v>
      </c>
      <c r="H434" s="7">
        <v>0</v>
      </c>
      <c r="I434" s="7">
        <v>0</v>
      </c>
      <c r="J434" s="7"/>
      <c r="K434" s="1" t="s">
        <v>138</v>
      </c>
      <c r="L434" s="1" t="s">
        <v>607</v>
      </c>
    </row>
    <row r="435" spans="1:12" ht="21" customHeight="1">
      <c r="A435" s="5">
        <v>46262</v>
      </c>
      <c r="B435" s="7">
        <v>23.01</v>
      </c>
      <c r="C435" s="7">
        <v>6507588.5</v>
      </c>
      <c r="D435" s="7">
        <v>27</v>
      </c>
      <c r="E435" s="7">
        <v>24.99</v>
      </c>
      <c r="F435" s="7">
        <v>30.33</v>
      </c>
      <c r="G435" s="7">
        <v>21.16</v>
      </c>
      <c r="H435" s="7">
        <v>0</v>
      </c>
      <c r="I435" s="7">
        <v>0</v>
      </c>
      <c r="J435" s="7"/>
      <c r="K435" s="1" t="s">
        <v>138</v>
      </c>
      <c r="L435" s="1" t="s">
        <v>608</v>
      </c>
    </row>
    <row r="436" spans="1:12" ht="21" customHeight="1">
      <c r="A436" s="5">
        <v>46265</v>
      </c>
      <c r="B436" s="7">
        <v>29.82</v>
      </c>
      <c r="C436" s="7">
        <v>17902278</v>
      </c>
      <c r="D436" s="7">
        <v>24.99</v>
      </c>
      <c r="E436" s="7">
        <v>25.11</v>
      </c>
      <c r="F436" s="7">
        <v>35.44</v>
      </c>
      <c r="G436" s="7">
        <v>20.149999999999999</v>
      </c>
      <c r="H436" s="7">
        <v>0</v>
      </c>
      <c r="I436" s="7">
        <v>0</v>
      </c>
      <c r="J436" s="7"/>
      <c r="K436" s="1" t="s">
        <v>138</v>
      </c>
      <c r="L436" s="1" t="s">
        <v>609</v>
      </c>
    </row>
    <row r="437" spans="1:12" ht="21" customHeight="1">
      <c r="A437" s="5">
        <v>46266</v>
      </c>
      <c r="B437" s="7">
        <v>29.8</v>
      </c>
      <c r="C437" s="7">
        <v>10516781</v>
      </c>
      <c r="D437" s="7">
        <v>25.11</v>
      </c>
      <c r="E437" s="7">
        <v>30</v>
      </c>
      <c r="F437" s="7">
        <v>38</v>
      </c>
      <c r="G437" s="7">
        <v>25.11</v>
      </c>
      <c r="H437" s="7">
        <v>0</v>
      </c>
      <c r="I437" s="7">
        <v>0</v>
      </c>
      <c r="J437" s="7"/>
      <c r="K437" s="1" t="s">
        <v>138</v>
      </c>
      <c r="L437" s="1" t="s">
        <v>610</v>
      </c>
    </row>
    <row r="438" spans="1:12" ht="21" customHeight="1">
      <c r="A438" s="5">
        <v>46267</v>
      </c>
      <c r="B438" s="7">
        <v>32.75</v>
      </c>
      <c r="C438" s="7">
        <v>9520588</v>
      </c>
      <c r="D438" s="7">
        <v>30</v>
      </c>
      <c r="E438" s="7">
        <v>35</v>
      </c>
      <c r="F438" s="7">
        <v>33</v>
      </c>
      <c r="G438" s="7">
        <v>26.78</v>
      </c>
      <c r="H438" s="7">
        <v>0</v>
      </c>
      <c r="I438" s="7">
        <v>0</v>
      </c>
      <c r="J438" s="7"/>
      <c r="K438" s="1" t="s">
        <v>138</v>
      </c>
      <c r="L438" s="1" t="s">
        <v>611</v>
      </c>
    </row>
    <row r="439" spans="1:12" ht="21" customHeight="1">
      <c r="A439" s="5">
        <v>46268</v>
      </c>
      <c r="B439" s="7">
        <v>26.71</v>
      </c>
      <c r="C439" s="7">
        <v>14819366</v>
      </c>
      <c r="D439" s="7">
        <v>35</v>
      </c>
      <c r="E439" s="7">
        <v>25</v>
      </c>
      <c r="F439" s="7">
        <v>42.99</v>
      </c>
      <c r="G439" s="7">
        <v>26</v>
      </c>
      <c r="H439" s="7">
        <v>0</v>
      </c>
      <c r="I439" s="7">
        <v>0</v>
      </c>
      <c r="J439" s="7"/>
      <c r="K439" s="1" t="s">
        <v>138</v>
      </c>
      <c r="L439" s="1" t="s">
        <v>612</v>
      </c>
    </row>
    <row r="440" spans="1:12" ht="21" customHeight="1">
      <c r="A440" s="5">
        <v>46269</v>
      </c>
      <c r="B440" s="7">
        <v>21.04</v>
      </c>
      <c r="C440" s="7">
        <v>7668621</v>
      </c>
      <c r="D440" s="7">
        <v>25</v>
      </c>
      <c r="E440" s="7">
        <v>18.2</v>
      </c>
      <c r="F440" s="7">
        <v>27.99</v>
      </c>
      <c r="G440" s="7">
        <v>20.100000000000001</v>
      </c>
      <c r="H440" s="7">
        <v>0</v>
      </c>
      <c r="I440" s="7">
        <v>0</v>
      </c>
      <c r="J440" s="7"/>
      <c r="K440" s="1" t="s">
        <v>138</v>
      </c>
      <c r="L440" s="1" t="s">
        <v>613</v>
      </c>
    </row>
    <row r="441" spans="1:12" ht="21" customHeight="1">
      <c r="A441" s="5">
        <v>46272</v>
      </c>
      <c r="B441" s="7">
        <v>17.79</v>
      </c>
      <c r="C441" s="7">
        <v>1386355.25</v>
      </c>
      <c r="D441" s="7">
        <v>18.2</v>
      </c>
      <c r="E441" s="7">
        <v>19.899999999999999</v>
      </c>
      <c r="F441" s="7">
        <v>19</v>
      </c>
      <c r="G441" s="7">
        <v>16</v>
      </c>
      <c r="H441" s="7">
        <v>0</v>
      </c>
      <c r="I441" s="7">
        <v>0</v>
      </c>
      <c r="J441" s="7"/>
      <c r="K441" s="1" t="s">
        <v>138</v>
      </c>
      <c r="L441" s="1" t="s">
        <v>614</v>
      </c>
    </row>
    <row r="442" spans="1:12" ht="21" customHeight="1">
      <c r="A442" s="5">
        <v>46273</v>
      </c>
      <c r="B442" s="7">
        <v>17.97</v>
      </c>
      <c r="C442" s="7">
        <v>3717689.5</v>
      </c>
      <c r="D442" s="7">
        <v>19.899999999999999</v>
      </c>
      <c r="E442" s="7">
        <v>18</v>
      </c>
      <c r="F442" s="7">
        <v>20.99</v>
      </c>
      <c r="G442" s="7">
        <v>14.75</v>
      </c>
      <c r="H442" s="7">
        <v>0</v>
      </c>
      <c r="I442" s="7">
        <v>0</v>
      </c>
      <c r="J442" s="7"/>
      <c r="K442" s="1" t="s">
        <v>138</v>
      </c>
      <c r="L442" s="1" t="s">
        <v>615</v>
      </c>
    </row>
    <row r="443" spans="1:12" ht="21" customHeight="1">
      <c r="A443" s="5">
        <v>46274</v>
      </c>
      <c r="B443" s="7">
        <v>17.579999999999998</v>
      </c>
      <c r="C443" s="7">
        <v>2789457.25</v>
      </c>
      <c r="D443" s="7">
        <v>18</v>
      </c>
      <c r="E443" s="7">
        <v>18</v>
      </c>
      <c r="F443" s="7">
        <v>20</v>
      </c>
      <c r="G443" s="7">
        <v>13.5</v>
      </c>
      <c r="H443" s="7">
        <v>0</v>
      </c>
      <c r="I443" s="7">
        <v>0</v>
      </c>
      <c r="J443" s="7"/>
      <c r="K443" s="1" t="s">
        <v>138</v>
      </c>
      <c r="L443" s="1" t="s">
        <v>616</v>
      </c>
    </row>
    <row r="444" spans="1:12" ht="21" customHeight="1">
      <c r="A444" s="5">
        <v>46275</v>
      </c>
      <c r="B444" s="7">
        <v>18.48</v>
      </c>
      <c r="C444" s="7">
        <v>6900684.5</v>
      </c>
      <c r="D444" s="7">
        <v>18</v>
      </c>
      <c r="E444" s="7">
        <v>16.100000000000001</v>
      </c>
      <c r="F444" s="7">
        <v>28.79</v>
      </c>
      <c r="G444" s="7">
        <v>14.71</v>
      </c>
      <c r="H444" s="7">
        <v>0</v>
      </c>
      <c r="I444" s="7">
        <v>0</v>
      </c>
      <c r="J444" s="7"/>
      <c r="K444" s="1" t="s">
        <v>138</v>
      </c>
      <c r="L444" s="1" t="s">
        <v>617</v>
      </c>
    </row>
    <row r="445" spans="1:12" ht="21" customHeight="1">
      <c r="A445" s="5">
        <v>46276</v>
      </c>
      <c r="B445" s="7">
        <v>13.01</v>
      </c>
      <c r="C445" s="7">
        <v>3273355</v>
      </c>
      <c r="D445" s="7">
        <v>16.100000000000001</v>
      </c>
      <c r="E445" s="7">
        <v>12.5</v>
      </c>
      <c r="F445" s="7">
        <v>17</v>
      </c>
      <c r="G445" s="7">
        <v>11.67</v>
      </c>
      <c r="H445" s="7">
        <v>0</v>
      </c>
      <c r="I445" s="7">
        <v>0</v>
      </c>
      <c r="J445" s="7"/>
      <c r="K445" s="1" t="s">
        <v>138</v>
      </c>
      <c r="L445" s="1" t="s">
        <v>618</v>
      </c>
    </row>
    <row r="446" spans="1:12" ht="21" customHeight="1">
      <c r="A446" s="5">
        <v>46279</v>
      </c>
      <c r="B446" s="7">
        <v>9.07</v>
      </c>
      <c r="C446" s="7">
        <v>1123139</v>
      </c>
      <c r="D446" s="7">
        <v>12.5</v>
      </c>
      <c r="E446" s="7">
        <v>6.01</v>
      </c>
      <c r="F446" s="7">
        <v>13.8</v>
      </c>
      <c r="G446" s="7">
        <v>8.9</v>
      </c>
      <c r="H446" s="7">
        <v>0</v>
      </c>
      <c r="I446" s="7">
        <v>0</v>
      </c>
      <c r="J446" s="7"/>
      <c r="K446" s="1" t="s">
        <v>138</v>
      </c>
      <c r="L446" s="1" t="s">
        <v>619</v>
      </c>
    </row>
    <row r="447" spans="1:12" ht="21" customHeight="1">
      <c r="A447" s="5">
        <v>46280</v>
      </c>
      <c r="B447" s="7">
        <v>5.93</v>
      </c>
      <c r="C447" s="7">
        <v>1086758.3799999999</v>
      </c>
      <c r="D447" s="7">
        <v>6.01</v>
      </c>
      <c r="E447" s="7">
        <v>6.8</v>
      </c>
      <c r="F447" s="7">
        <v>7.9</v>
      </c>
      <c r="G447" s="7">
        <v>5.8</v>
      </c>
      <c r="H447" s="7">
        <v>0</v>
      </c>
      <c r="I447" s="7">
        <v>0</v>
      </c>
      <c r="J447" s="7"/>
      <c r="K447" s="1" t="s">
        <v>138</v>
      </c>
      <c r="L447" s="1" t="s">
        <v>620</v>
      </c>
    </row>
    <row r="448" spans="1:12" ht="21" customHeight="1">
      <c r="A448" s="5">
        <v>46281</v>
      </c>
      <c r="B448" s="7">
        <v>3.53</v>
      </c>
      <c r="C448" s="7">
        <v>825675.38</v>
      </c>
      <c r="D448" s="7">
        <v>6.8</v>
      </c>
      <c r="E448" s="7">
        <v>26</v>
      </c>
      <c r="F448" s="7">
        <v>6.99</v>
      </c>
      <c r="G448" s="7">
        <v>3</v>
      </c>
      <c r="H448" s="7">
        <v>0</v>
      </c>
      <c r="I448" s="7">
        <v>0</v>
      </c>
      <c r="J448" s="7"/>
      <c r="K448" s="1" t="s">
        <v>138</v>
      </c>
      <c r="L448" s="1" t="s">
        <v>621</v>
      </c>
    </row>
    <row r="449" spans="1:12" ht="21" customHeight="1">
      <c r="A449" s="5">
        <v>46255</v>
      </c>
      <c r="B449" s="7">
        <v>25.5</v>
      </c>
      <c r="C449" s="7">
        <v>2013076.5</v>
      </c>
      <c r="D449" s="7">
        <v>26</v>
      </c>
      <c r="E449" s="7">
        <v>32</v>
      </c>
      <c r="F449" s="7">
        <v>29.5</v>
      </c>
      <c r="G449" s="7">
        <v>15</v>
      </c>
      <c r="H449" s="7">
        <v>0</v>
      </c>
      <c r="I449" s="7">
        <v>0</v>
      </c>
      <c r="J449" s="7"/>
      <c r="K449" s="1" t="s">
        <v>142</v>
      </c>
      <c r="L449" s="1" t="s">
        <v>622</v>
      </c>
    </row>
    <row r="450" spans="1:12" ht="21" customHeight="1">
      <c r="A450" s="5">
        <v>46258</v>
      </c>
      <c r="B450" s="7">
        <v>28.72</v>
      </c>
      <c r="C450" s="7">
        <v>7221771</v>
      </c>
      <c r="D450" s="7">
        <v>32</v>
      </c>
      <c r="E450" s="7">
        <v>24</v>
      </c>
      <c r="F450" s="7">
        <v>32</v>
      </c>
      <c r="G450" s="7">
        <v>24</v>
      </c>
      <c r="H450" s="7">
        <v>0</v>
      </c>
      <c r="I450" s="7">
        <v>0</v>
      </c>
      <c r="J450" s="7"/>
      <c r="K450" s="1" t="s">
        <v>142</v>
      </c>
      <c r="L450" s="1" t="s">
        <v>623</v>
      </c>
    </row>
    <row r="451" spans="1:12" ht="21" customHeight="1">
      <c r="A451" s="5">
        <v>46259</v>
      </c>
      <c r="B451" s="7">
        <v>28.95</v>
      </c>
      <c r="C451" s="7">
        <v>5792175</v>
      </c>
      <c r="D451" s="7">
        <v>24</v>
      </c>
      <c r="E451" s="7">
        <v>35</v>
      </c>
      <c r="F451" s="7">
        <v>31.67</v>
      </c>
      <c r="G451" s="7">
        <v>24</v>
      </c>
      <c r="H451" s="7">
        <v>0</v>
      </c>
      <c r="I451" s="7">
        <v>0</v>
      </c>
      <c r="J451" s="7"/>
      <c r="K451" s="1" t="s">
        <v>142</v>
      </c>
      <c r="L451" s="1" t="s">
        <v>624</v>
      </c>
    </row>
    <row r="452" spans="1:12" ht="21" customHeight="1">
      <c r="A452" s="5">
        <v>46260</v>
      </c>
      <c r="B452" s="7">
        <v>27.58</v>
      </c>
      <c r="C452" s="7">
        <v>5708698.5</v>
      </c>
      <c r="D452" s="7">
        <v>35</v>
      </c>
      <c r="E452" s="7">
        <v>29</v>
      </c>
      <c r="F452" s="7">
        <v>35</v>
      </c>
      <c r="G452" s="7">
        <v>25.66</v>
      </c>
      <c r="H452" s="7">
        <v>0</v>
      </c>
      <c r="I452" s="7">
        <v>0</v>
      </c>
      <c r="J452" s="7"/>
      <c r="K452" s="1" t="s">
        <v>142</v>
      </c>
      <c r="L452" s="1" t="s">
        <v>625</v>
      </c>
    </row>
    <row r="453" spans="1:12" ht="21" customHeight="1">
      <c r="A453" s="5">
        <v>46261</v>
      </c>
      <c r="B453" s="7">
        <v>19.97</v>
      </c>
      <c r="C453" s="7">
        <v>6997222.5</v>
      </c>
      <c r="D453" s="7">
        <v>29</v>
      </c>
      <c r="E453" s="7">
        <v>18</v>
      </c>
      <c r="F453" s="7">
        <v>30</v>
      </c>
      <c r="G453" s="7">
        <v>19.04</v>
      </c>
      <c r="H453" s="7">
        <v>0</v>
      </c>
      <c r="I453" s="7">
        <v>0</v>
      </c>
      <c r="J453" s="7"/>
      <c r="K453" s="1" t="s">
        <v>142</v>
      </c>
      <c r="L453" s="1" t="s">
        <v>626</v>
      </c>
    </row>
    <row r="454" spans="1:12" ht="21" customHeight="1">
      <c r="A454" s="5">
        <v>46262</v>
      </c>
      <c r="B454" s="7">
        <v>15.03</v>
      </c>
      <c r="C454" s="7">
        <v>2013131.25</v>
      </c>
      <c r="D454" s="7">
        <v>18</v>
      </c>
      <c r="E454" s="7">
        <v>16.5</v>
      </c>
      <c r="F454" s="7">
        <v>18.25</v>
      </c>
      <c r="G454" s="7">
        <v>13</v>
      </c>
      <c r="H454" s="7">
        <v>0</v>
      </c>
      <c r="I454" s="7">
        <v>0</v>
      </c>
      <c r="J454" s="7"/>
      <c r="K454" s="1" t="s">
        <v>142</v>
      </c>
      <c r="L454" s="1" t="s">
        <v>627</v>
      </c>
    </row>
    <row r="455" spans="1:12" ht="21" customHeight="1">
      <c r="A455" s="5">
        <v>46265</v>
      </c>
      <c r="B455" s="7">
        <v>18.100000000000001</v>
      </c>
      <c r="C455" s="7">
        <v>7441443</v>
      </c>
      <c r="D455" s="7">
        <v>16.5</v>
      </c>
      <c r="E455" s="7">
        <v>18</v>
      </c>
      <c r="F455" s="7">
        <v>23</v>
      </c>
      <c r="G455" s="7">
        <v>16</v>
      </c>
      <c r="H455" s="7">
        <v>0</v>
      </c>
      <c r="I455" s="7">
        <v>0</v>
      </c>
      <c r="J455" s="7"/>
      <c r="K455" s="1" t="s">
        <v>142</v>
      </c>
      <c r="L455" s="1" t="s">
        <v>628</v>
      </c>
    </row>
    <row r="456" spans="1:12" ht="21" customHeight="1">
      <c r="A456" s="5">
        <v>46266</v>
      </c>
      <c r="B456" s="7">
        <v>19.03</v>
      </c>
      <c r="C456" s="7">
        <v>5774791</v>
      </c>
      <c r="D456" s="7">
        <v>18</v>
      </c>
      <c r="E456" s="7">
        <v>18</v>
      </c>
      <c r="F456" s="7">
        <v>25.45</v>
      </c>
      <c r="G456" s="7">
        <v>17.5</v>
      </c>
      <c r="H456" s="7">
        <v>0</v>
      </c>
      <c r="I456" s="7">
        <v>0</v>
      </c>
      <c r="J456" s="7"/>
      <c r="K456" s="1" t="s">
        <v>142</v>
      </c>
      <c r="L456" s="1" t="s">
        <v>629</v>
      </c>
    </row>
    <row r="457" spans="1:12" ht="21" customHeight="1">
      <c r="A457" s="5">
        <v>46267</v>
      </c>
      <c r="B457" s="7">
        <v>20.75</v>
      </c>
      <c r="C457" s="7">
        <v>7407056.5</v>
      </c>
      <c r="D457" s="7">
        <v>18</v>
      </c>
      <c r="E457" s="7">
        <v>27</v>
      </c>
      <c r="F457" s="7">
        <v>21</v>
      </c>
      <c r="G457" s="7">
        <v>17.5</v>
      </c>
      <c r="H457" s="7">
        <v>0</v>
      </c>
      <c r="I457" s="7">
        <v>0</v>
      </c>
      <c r="J457" s="7"/>
      <c r="K457" s="1" t="s">
        <v>142</v>
      </c>
      <c r="L457" s="1" t="s">
        <v>630</v>
      </c>
    </row>
    <row r="458" spans="1:12" ht="21" customHeight="1">
      <c r="A458" s="5">
        <v>46268</v>
      </c>
      <c r="B458" s="7">
        <v>16.43</v>
      </c>
      <c r="C458" s="7">
        <v>8589591</v>
      </c>
      <c r="D458" s="7">
        <v>27</v>
      </c>
      <c r="E458" s="7">
        <v>16.27</v>
      </c>
      <c r="F458" s="7">
        <v>28</v>
      </c>
      <c r="G458" s="7">
        <v>16.2</v>
      </c>
      <c r="H458" s="7">
        <v>0</v>
      </c>
      <c r="I458" s="7">
        <v>0</v>
      </c>
      <c r="J458" s="7"/>
      <c r="K458" s="1" t="s">
        <v>142</v>
      </c>
      <c r="L458" s="1" t="s">
        <v>631</v>
      </c>
    </row>
    <row r="459" spans="1:12" ht="21" customHeight="1">
      <c r="A459" s="5">
        <v>46269</v>
      </c>
      <c r="B459" s="7">
        <v>14.06</v>
      </c>
      <c r="C459" s="7">
        <v>4752001.5</v>
      </c>
      <c r="D459" s="7">
        <v>16.27</v>
      </c>
      <c r="E459" s="7">
        <v>12</v>
      </c>
      <c r="F459" s="7">
        <v>17.989999999999998</v>
      </c>
      <c r="G459" s="7">
        <v>13</v>
      </c>
      <c r="H459" s="7">
        <v>0</v>
      </c>
      <c r="I459" s="7">
        <v>0</v>
      </c>
      <c r="J459" s="7"/>
      <c r="K459" s="1" t="s">
        <v>142</v>
      </c>
      <c r="L459" s="1" t="s">
        <v>632</v>
      </c>
    </row>
    <row r="460" spans="1:12" ht="21" customHeight="1">
      <c r="A460" s="5">
        <v>46272</v>
      </c>
      <c r="B460" s="7">
        <v>11.6</v>
      </c>
      <c r="C460" s="7">
        <v>1831529.25</v>
      </c>
      <c r="D460" s="7">
        <v>12</v>
      </c>
      <c r="E460" s="7">
        <v>12.33</v>
      </c>
      <c r="F460" s="7">
        <v>12.99</v>
      </c>
      <c r="G460" s="7">
        <v>11</v>
      </c>
      <c r="H460" s="7">
        <v>0</v>
      </c>
      <c r="I460" s="7">
        <v>0</v>
      </c>
      <c r="J460" s="7"/>
      <c r="K460" s="1" t="s">
        <v>142</v>
      </c>
      <c r="L460" s="1" t="s">
        <v>633</v>
      </c>
    </row>
    <row r="461" spans="1:12" ht="21" customHeight="1">
      <c r="A461" s="5">
        <v>46273</v>
      </c>
      <c r="B461" s="7">
        <v>11.36</v>
      </c>
      <c r="C461" s="7">
        <v>2922035</v>
      </c>
      <c r="D461" s="7">
        <v>12.33</v>
      </c>
      <c r="E461" s="7">
        <v>11.5</v>
      </c>
      <c r="F461" s="7">
        <v>12.5</v>
      </c>
      <c r="G461" s="7">
        <v>9.5</v>
      </c>
      <c r="H461" s="7">
        <v>0</v>
      </c>
      <c r="I461" s="7">
        <v>0</v>
      </c>
      <c r="J461" s="7"/>
      <c r="K461" s="1" t="s">
        <v>142</v>
      </c>
      <c r="L461" s="1" t="s">
        <v>634</v>
      </c>
    </row>
    <row r="462" spans="1:12" ht="21" customHeight="1">
      <c r="A462" s="5">
        <v>46274</v>
      </c>
      <c r="B462" s="7">
        <v>10.59</v>
      </c>
      <c r="C462" s="7">
        <v>3283683.25</v>
      </c>
      <c r="D462" s="7">
        <v>11.5</v>
      </c>
      <c r="E462" s="7">
        <v>10.02</v>
      </c>
      <c r="F462" s="7">
        <v>11.9</v>
      </c>
      <c r="G462" s="7">
        <v>6.5</v>
      </c>
      <c r="H462" s="7">
        <v>0</v>
      </c>
      <c r="I462" s="7">
        <v>0</v>
      </c>
      <c r="J462" s="7"/>
      <c r="K462" s="1" t="s">
        <v>142</v>
      </c>
      <c r="L462" s="1" t="s">
        <v>635</v>
      </c>
    </row>
    <row r="463" spans="1:12" ht="21" customHeight="1">
      <c r="A463" s="5">
        <v>46275</v>
      </c>
      <c r="B463" s="7">
        <v>10.5</v>
      </c>
      <c r="C463" s="7">
        <v>4837963.5</v>
      </c>
      <c r="D463" s="7">
        <v>10.02</v>
      </c>
      <c r="E463" s="7">
        <v>10.18</v>
      </c>
      <c r="F463" s="7">
        <v>14.78</v>
      </c>
      <c r="G463" s="7">
        <v>9.1</v>
      </c>
      <c r="H463" s="7">
        <v>0</v>
      </c>
      <c r="I463" s="7">
        <v>0</v>
      </c>
      <c r="J463" s="7"/>
      <c r="K463" s="1" t="s">
        <v>142</v>
      </c>
      <c r="L463" s="1" t="s">
        <v>636</v>
      </c>
    </row>
    <row r="464" spans="1:12" ht="21" customHeight="1">
      <c r="A464" s="5">
        <v>46276</v>
      </c>
      <c r="B464" s="7">
        <v>7.92</v>
      </c>
      <c r="C464" s="7">
        <v>2699418.75</v>
      </c>
      <c r="D464" s="7">
        <v>10.18</v>
      </c>
      <c r="E464" s="7">
        <v>7.5</v>
      </c>
      <c r="F464" s="7">
        <v>10.55</v>
      </c>
      <c r="G464" s="7">
        <v>6.5</v>
      </c>
      <c r="H464" s="7">
        <v>0</v>
      </c>
      <c r="I464" s="7">
        <v>0</v>
      </c>
      <c r="J464" s="7"/>
      <c r="K464" s="1" t="s">
        <v>142</v>
      </c>
      <c r="L464" s="1" t="s">
        <v>637</v>
      </c>
    </row>
    <row r="465" spans="1:12" ht="21" customHeight="1">
      <c r="A465" s="5">
        <v>46279</v>
      </c>
      <c r="B465" s="7">
        <v>5.26</v>
      </c>
      <c r="C465" s="7">
        <v>878742.62</v>
      </c>
      <c r="D465" s="7">
        <v>7.5</v>
      </c>
      <c r="E465" s="7">
        <v>5</v>
      </c>
      <c r="F465" s="7">
        <v>7.5</v>
      </c>
      <c r="G465" s="7">
        <v>5.18</v>
      </c>
      <c r="H465" s="7">
        <v>0</v>
      </c>
      <c r="I465" s="7">
        <v>0</v>
      </c>
      <c r="J465" s="7"/>
      <c r="K465" s="1" t="s">
        <v>142</v>
      </c>
      <c r="L465" s="1" t="s">
        <v>638</v>
      </c>
    </row>
    <row r="466" spans="1:12" ht="21" customHeight="1">
      <c r="A466" s="5">
        <v>46280</v>
      </c>
      <c r="B466" s="7">
        <v>3.7</v>
      </c>
      <c r="C466" s="7">
        <v>174398.3</v>
      </c>
      <c r="D466" s="7">
        <v>5</v>
      </c>
      <c r="E466" s="7">
        <v>4.95</v>
      </c>
      <c r="F466" s="7">
        <v>5</v>
      </c>
      <c r="G466" s="7">
        <v>3.65</v>
      </c>
      <c r="H466" s="7">
        <v>0</v>
      </c>
      <c r="I466" s="7">
        <v>0</v>
      </c>
      <c r="J466" s="7"/>
      <c r="K466" s="1" t="s">
        <v>142</v>
      </c>
      <c r="L466" s="1" t="s">
        <v>639</v>
      </c>
    </row>
    <row r="467" spans="1:12" ht="21" customHeight="1">
      <c r="A467" s="5">
        <v>46281</v>
      </c>
      <c r="B467" s="7">
        <v>3.44</v>
      </c>
      <c r="C467" s="7">
        <v>1701123.5</v>
      </c>
      <c r="D467" s="7">
        <v>4.95</v>
      </c>
      <c r="E467" s="7">
        <v>14.1</v>
      </c>
      <c r="F467" s="7">
        <v>4.95</v>
      </c>
      <c r="G467" s="7">
        <v>3.05</v>
      </c>
      <c r="H467" s="7">
        <v>0</v>
      </c>
      <c r="I467" s="7">
        <v>0</v>
      </c>
      <c r="J467" s="7"/>
      <c r="K467" s="1" t="s">
        <v>142</v>
      </c>
      <c r="L467" s="1" t="s">
        <v>640</v>
      </c>
    </row>
    <row r="468" spans="1:12" ht="21" customHeight="1">
      <c r="A468" s="5">
        <v>46255</v>
      </c>
      <c r="B468" s="7">
        <v>16</v>
      </c>
      <c r="C468" s="7">
        <v>1167424.6200000001</v>
      </c>
      <c r="D468" s="7">
        <v>14.1</v>
      </c>
      <c r="E468" s="7">
        <v>21.5</v>
      </c>
      <c r="F468" s="7">
        <v>19.899999999999999</v>
      </c>
      <c r="G468" s="7">
        <v>14.1</v>
      </c>
      <c r="H468" s="7">
        <v>0</v>
      </c>
      <c r="I468" s="7">
        <v>0</v>
      </c>
      <c r="J468" s="7"/>
      <c r="K468" s="1" t="s">
        <v>143</v>
      </c>
      <c r="L468" s="1" t="s">
        <v>641</v>
      </c>
    </row>
    <row r="469" spans="1:12" ht="21" customHeight="1">
      <c r="A469" s="5">
        <v>46258</v>
      </c>
      <c r="B469" s="7">
        <v>17.04</v>
      </c>
      <c r="C469" s="7">
        <v>1945112.5</v>
      </c>
      <c r="D469" s="7">
        <v>21.5</v>
      </c>
      <c r="E469" s="7">
        <v>19</v>
      </c>
      <c r="F469" s="7">
        <v>22</v>
      </c>
      <c r="G469" s="7">
        <v>15.1</v>
      </c>
      <c r="H469" s="7">
        <v>0</v>
      </c>
      <c r="I469" s="7">
        <v>0</v>
      </c>
      <c r="J469" s="7"/>
      <c r="K469" s="1" t="s">
        <v>143</v>
      </c>
      <c r="L469" s="1" t="s">
        <v>642</v>
      </c>
    </row>
    <row r="470" spans="1:12" ht="21" customHeight="1">
      <c r="A470" s="5">
        <v>46259</v>
      </c>
      <c r="B470" s="7">
        <v>17.28</v>
      </c>
      <c r="C470" s="7">
        <v>1264340.3799999999</v>
      </c>
      <c r="D470" s="7">
        <v>19</v>
      </c>
      <c r="E470" s="7">
        <v>22</v>
      </c>
      <c r="F470" s="7">
        <v>19</v>
      </c>
      <c r="G470" s="7">
        <v>12.99</v>
      </c>
      <c r="H470" s="7">
        <v>0</v>
      </c>
      <c r="I470" s="7">
        <v>0</v>
      </c>
      <c r="J470" s="7"/>
      <c r="K470" s="1" t="s">
        <v>143</v>
      </c>
      <c r="L470" s="1" t="s">
        <v>643</v>
      </c>
    </row>
    <row r="471" spans="1:12" ht="21" customHeight="1">
      <c r="A471" s="5">
        <v>46260</v>
      </c>
      <c r="B471" s="7">
        <v>16.5</v>
      </c>
      <c r="C471" s="7">
        <v>1567710.62</v>
      </c>
      <c r="D471" s="7">
        <v>22</v>
      </c>
      <c r="E471" s="7">
        <v>15</v>
      </c>
      <c r="F471" s="7">
        <v>22</v>
      </c>
      <c r="G471" s="7">
        <v>15</v>
      </c>
      <c r="H471" s="7">
        <v>0</v>
      </c>
      <c r="I471" s="7">
        <v>0</v>
      </c>
      <c r="J471" s="7"/>
      <c r="K471" s="1" t="s">
        <v>143</v>
      </c>
      <c r="L471" s="1" t="s">
        <v>644</v>
      </c>
    </row>
    <row r="472" spans="1:12" ht="21" customHeight="1">
      <c r="A472" s="5">
        <v>46261</v>
      </c>
      <c r="B472" s="7">
        <v>12.25</v>
      </c>
      <c r="C472" s="7">
        <v>1504077.38</v>
      </c>
      <c r="D472" s="7">
        <v>15</v>
      </c>
      <c r="E472" s="7">
        <v>12</v>
      </c>
      <c r="F472" s="7">
        <v>18.670000000000002</v>
      </c>
      <c r="G472" s="7">
        <v>11.56</v>
      </c>
      <c r="H472" s="7">
        <v>0</v>
      </c>
      <c r="I472" s="7">
        <v>0</v>
      </c>
      <c r="J472" s="7"/>
      <c r="K472" s="1" t="s">
        <v>143</v>
      </c>
      <c r="L472" s="1" t="s">
        <v>645</v>
      </c>
    </row>
    <row r="473" spans="1:12" ht="21" customHeight="1">
      <c r="A473" s="5">
        <v>46262</v>
      </c>
      <c r="B473" s="7">
        <v>10</v>
      </c>
      <c r="C473" s="7">
        <v>2799061.75</v>
      </c>
      <c r="D473" s="7">
        <v>12</v>
      </c>
      <c r="E473" s="7">
        <v>6.07</v>
      </c>
      <c r="F473" s="7">
        <v>13</v>
      </c>
      <c r="G473" s="7">
        <v>8.31</v>
      </c>
      <c r="H473" s="7">
        <v>0</v>
      </c>
      <c r="I473" s="7">
        <v>0</v>
      </c>
      <c r="J473" s="7"/>
      <c r="K473" s="1" t="s">
        <v>143</v>
      </c>
      <c r="L473" s="1" t="s">
        <v>646</v>
      </c>
    </row>
    <row r="474" spans="1:12" ht="21" customHeight="1">
      <c r="A474" s="5">
        <v>46265</v>
      </c>
      <c r="B474" s="7">
        <v>12.79</v>
      </c>
      <c r="C474" s="7">
        <v>5916067</v>
      </c>
      <c r="D474" s="7">
        <v>6.07</v>
      </c>
      <c r="E474" s="7">
        <v>13</v>
      </c>
      <c r="F474" s="7">
        <v>13.8</v>
      </c>
      <c r="G474" s="7">
        <v>6.07</v>
      </c>
      <c r="H474" s="7">
        <v>0</v>
      </c>
      <c r="I474" s="7">
        <v>0</v>
      </c>
      <c r="J474" s="7"/>
      <c r="K474" s="1" t="s">
        <v>143</v>
      </c>
      <c r="L474" s="1" t="s">
        <v>647</v>
      </c>
    </row>
    <row r="475" spans="1:12" ht="21" customHeight="1">
      <c r="A475" s="5">
        <v>46266</v>
      </c>
      <c r="B475" s="7">
        <v>11.44</v>
      </c>
      <c r="C475" s="7">
        <v>2408503.25</v>
      </c>
      <c r="D475" s="7">
        <v>13</v>
      </c>
      <c r="E475" s="7">
        <v>11.02</v>
      </c>
      <c r="F475" s="7">
        <v>15.2</v>
      </c>
      <c r="G475" s="7">
        <v>10.84</v>
      </c>
      <c r="H475" s="7">
        <v>0</v>
      </c>
      <c r="I475" s="7">
        <v>0</v>
      </c>
      <c r="J475" s="7"/>
      <c r="K475" s="1" t="s">
        <v>143</v>
      </c>
      <c r="L475" s="1" t="s">
        <v>648</v>
      </c>
    </row>
    <row r="476" spans="1:12" ht="21" customHeight="1">
      <c r="A476" s="5">
        <v>46267</v>
      </c>
      <c r="B476" s="7">
        <v>12.28</v>
      </c>
      <c r="C476" s="7">
        <v>2429018.75</v>
      </c>
      <c r="D476" s="7">
        <v>11.02</v>
      </c>
      <c r="E476" s="7">
        <v>14</v>
      </c>
      <c r="F476" s="7">
        <v>13</v>
      </c>
      <c r="G476" s="7">
        <v>10.5</v>
      </c>
      <c r="H476" s="7">
        <v>0</v>
      </c>
      <c r="I476" s="7">
        <v>0</v>
      </c>
      <c r="J476" s="7"/>
      <c r="K476" s="1" t="s">
        <v>143</v>
      </c>
      <c r="L476" s="1" t="s">
        <v>649</v>
      </c>
    </row>
    <row r="477" spans="1:12" ht="21" customHeight="1">
      <c r="A477" s="5">
        <v>46268</v>
      </c>
      <c r="B477" s="7">
        <v>10.11</v>
      </c>
      <c r="C477" s="7">
        <v>5951273.5</v>
      </c>
      <c r="D477" s="7">
        <v>14</v>
      </c>
      <c r="E477" s="7">
        <v>8.01</v>
      </c>
      <c r="F477" s="7">
        <v>15.2</v>
      </c>
      <c r="G477" s="7">
        <v>9</v>
      </c>
      <c r="H477" s="7">
        <v>0</v>
      </c>
      <c r="I477" s="7">
        <v>0</v>
      </c>
      <c r="J477" s="7"/>
      <c r="K477" s="1" t="s">
        <v>143</v>
      </c>
      <c r="L477" s="1" t="s">
        <v>650</v>
      </c>
    </row>
    <row r="478" spans="1:12" ht="21" customHeight="1">
      <c r="A478" s="5">
        <v>46269</v>
      </c>
      <c r="B478" s="7">
        <v>8.02</v>
      </c>
      <c r="C478" s="7">
        <v>2696464.5</v>
      </c>
      <c r="D478" s="7">
        <v>8.01</v>
      </c>
      <c r="E478" s="7">
        <v>6.5</v>
      </c>
      <c r="F478" s="7">
        <v>10</v>
      </c>
      <c r="G478" s="7">
        <v>7.7</v>
      </c>
      <c r="H478" s="7">
        <v>0</v>
      </c>
      <c r="I478" s="7">
        <v>0</v>
      </c>
      <c r="J478" s="7"/>
      <c r="K478" s="1" t="s">
        <v>143</v>
      </c>
      <c r="L478" s="1" t="s">
        <v>651</v>
      </c>
    </row>
    <row r="479" spans="1:12" ht="21" customHeight="1">
      <c r="A479" s="5">
        <v>46272</v>
      </c>
      <c r="B479" s="7">
        <v>7</v>
      </c>
      <c r="C479" s="7">
        <v>1578948.25</v>
      </c>
      <c r="D479" s="7">
        <v>6.5</v>
      </c>
      <c r="E479" s="7">
        <v>7.5</v>
      </c>
      <c r="F479" s="7">
        <v>7.99</v>
      </c>
      <c r="G479" s="7">
        <v>6.48</v>
      </c>
      <c r="H479" s="7">
        <v>0</v>
      </c>
      <c r="I479" s="7">
        <v>0</v>
      </c>
      <c r="J479" s="7"/>
      <c r="K479" s="1" t="s">
        <v>143</v>
      </c>
      <c r="L479" s="1" t="s">
        <v>652</v>
      </c>
    </row>
    <row r="480" spans="1:12" ht="21" customHeight="1">
      <c r="A480" s="5">
        <v>46273</v>
      </c>
      <c r="B480" s="7">
        <v>6.97</v>
      </c>
      <c r="C480" s="7">
        <v>896252.19</v>
      </c>
      <c r="D480" s="7">
        <v>7.5</v>
      </c>
      <c r="E480" s="7">
        <v>6.16</v>
      </c>
      <c r="F480" s="7">
        <v>8.1999999999999993</v>
      </c>
      <c r="G480" s="7">
        <v>5.6</v>
      </c>
      <c r="H480" s="7">
        <v>0</v>
      </c>
      <c r="I480" s="7">
        <v>0</v>
      </c>
      <c r="J480" s="7"/>
      <c r="K480" s="1" t="s">
        <v>143</v>
      </c>
      <c r="L480" s="1" t="s">
        <v>653</v>
      </c>
    </row>
    <row r="481" spans="1:12" ht="21" customHeight="1">
      <c r="A481" s="5">
        <v>46274</v>
      </c>
      <c r="B481" s="7">
        <v>6.34</v>
      </c>
      <c r="C481" s="7">
        <v>1272586.5</v>
      </c>
      <c r="D481" s="7">
        <v>6.16</v>
      </c>
      <c r="E481" s="7">
        <v>5.5</v>
      </c>
      <c r="F481" s="7">
        <v>7.5</v>
      </c>
      <c r="G481" s="7">
        <v>5.3</v>
      </c>
      <c r="H481" s="7">
        <v>0</v>
      </c>
      <c r="I481" s="7">
        <v>0</v>
      </c>
      <c r="J481" s="7"/>
      <c r="K481" s="1" t="s">
        <v>143</v>
      </c>
      <c r="L481" s="1" t="s">
        <v>654</v>
      </c>
    </row>
    <row r="482" spans="1:12" ht="21" customHeight="1">
      <c r="A482" s="5">
        <v>46275</v>
      </c>
      <c r="B482" s="7">
        <v>6.25</v>
      </c>
      <c r="C482" s="7">
        <v>2608293</v>
      </c>
      <c r="D482" s="7">
        <v>5.5</v>
      </c>
      <c r="E482" s="7">
        <v>5.68</v>
      </c>
      <c r="F482" s="7">
        <v>8.99</v>
      </c>
      <c r="G482" s="7">
        <v>5.01</v>
      </c>
      <c r="H482" s="7">
        <v>0</v>
      </c>
      <c r="I482" s="7">
        <v>0</v>
      </c>
      <c r="J482" s="7"/>
      <c r="K482" s="1" t="s">
        <v>143</v>
      </c>
      <c r="L482" s="1" t="s">
        <v>655</v>
      </c>
    </row>
    <row r="483" spans="1:12" ht="21" customHeight="1">
      <c r="A483" s="5">
        <v>46276</v>
      </c>
      <c r="B483" s="7">
        <v>4.41</v>
      </c>
      <c r="C483" s="7">
        <v>2015890.88</v>
      </c>
      <c r="D483" s="7">
        <v>5.68</v>
      </c>
      <c r="E483" s="7">
        <v>5</v>
      </c>
      <c r="F483" s="7">
        <v>6</v>
      </c>
      <c r="G483" s="7">
        <v>3.37</v>
      </c>
      <c r="H483" s="7">
        <v>0</v>
      </c>
      <c r="I483" s="7">
        <v>0</v>
      </c>
      <c r="J483" s="7"/>
      <c r="K483" s="1" t="s">
        <v>143</v>
      </c>
      <c r="L483" s="1" t="s">
        <v>656</v>
      </c>
    </row>
    <row r="484" spans="1:12" ht="21" customHeight="1">
      <c r="A484" s="5">
        <v>46279</v>
      </c>
      <c r="B484" s="7">
        <v>3.27</v>
      </c>
      <c r="C484" s="7">
        <v>944135.88</v>
      </c>
      <c r="D484" s="7">
        <v>5</v>
      </c>
      <c r="E484" s="7">
        <v>3</v>
      </c>
      <c r="F484" s="7">
        <v>5</v>
      </c>
      <c r="G484" s="7">
        <v>3.2</v>
      </c>
      <c r="H484" s="7">
        <v>0</v>
      </c>
      <c r="I484" s="7">
        <v>0</v>
      </c>
      <c r="J484" s="7"/>
      <c r="K484" s="1" t="s">
        <v>143</v>
      </c>
      <c r="L484" s="1" t="s">
        <v>657</v>
      </c>
    </row>
    <row r="485" spans="1:12" ht="21" customHeight="1">
      <c r="A485" s="5">
        <v>46280</v>
      </c>
      <c r="B485" s="7">
        <v>2.44</v>
      </c>
      <c r="C485" s="7">
        <v>504513.91</v>
      </c>
      <c r="D485" s="7">
        <v>3</v>
      </c>
      <c r="E485" s="7">
        <v>2.2000000000000002</v>
      </c>
      <c r="F485" s="7">
        <v>3.5</v>
      </c>
      <c r="G485" s="7">
        <v>2.2000000000000002</v>
      </c>
      <c r="H485" s="7">
        <v>0</v>
      </c>
      <c r="I485" s="7">
        <v>0</v>
      </c>
      <c r="J485" s="7"/>
      <c r="K485" s="1" t="s">
        <v>143</v>
      </c>
      <c r="L485" s="1" t="s">
        <v>658</v>
      </c>
    </row>
    <row r="486" spans="1:12" ht="21" customHeight="1">
      <c r="A486" s="5">
        <v>46281</v>
      </c>
      <c r="B486" s="7">
        <v>2.06</v>
      </c>
      <c r="C486" s="7">
        <v>1364921.25</v>
      </c>
      <c r="D486" s="7">
        <v>2.2000000000000002</v>
      </c>
      <c r="E486" s="7">
        <v>5</v>
      </c>
      <c r="F486" s="7">
        <v>2.7</v>
      </c>
      <c r="G486" s="7">
        <v>1.82</v>
      </c>
      <c r="H486" s="7">
        <v>0</v>
      </c>
      <c r="I486" s="7">
        <v>0</v>
      </c>
      <c r="J486" s="7"/>
      <c r="K486" s="1" t="s">
        <v>143</v>
      </c>
      <c r="L486" s="1" t="s">
        <v>659</v>
      </c>
    </row>
    <row r="487" spans="1:12" ht="21" customHeight="1">
      <c r="A487" s="5">
        <v>46255</v>
      </c>
      <c r="B487" s="7">
        <v>10</v>
      </c>
      <c r="C487" s="7">
        <v>1300</v>
      </c>
      <c r="D487" s="7">
        <v>5</v>
      </c>
      <c r="E487" s="7">
        <v>7</v>
      </c>
      <c r="F487" s="7">
        <v>8</v>
      </c>
      <c r="G487" s="7">
        <v>5</v>
      </c>
      <c r="H487" s="7">
        <v>0</v>
      </c>
      <c r="I487" s="7">
        <v>0</v>
      </c>
      <c r="J487" s="7"/>
      <c r="K487" s="1" t="s">
        <v>141</v>
      </c>
      <c r="L487" s="1" t="s">
        <v>660</v>
      </c>
    </row>
    <row r="488" spans="1:12" ht="21" customHeight="1">
      <c r="A488" s="5">
        <v>46258</v>
      </c>
      <c r="B488" s="7">
        <v>2.44</v>
      </c>
      <c r="C488" s="7">
        <v>257370.8</v>
      </c>
      <c r="D488" s="7">
        <v>7</v>
      </c>
      <c r="E488" s="7">
        <v>2.44</v>
      </c>
      <c r="F488" s="7">
        <v>7</v>
      </c>
      <c r="G488" s="7">
        <v>1</v>
      </c>
      <c r="H488" s="7">
        <v>0</v>
      </c>
      <c r="I488" s="7">
        <v>0</v>
      </c>
      <c r="J488" s="7"/>
      <c r="K488" s="1" t="s">
        <v>141</v>
      </c>
      <c r="L488" s="1" t="s">
        <v>661</v>
      </c>
    </row>
    <row r="489" spans="1:12" ht="21" customHeight="1">
      <c r="A489" s="5">
        <v>46259</v>
      </c>
      <c r="B489" s="7">
        <v>2.46</v>
      </c>
      <c r="C489" s="7">
        <v>349267.91</v>
      </c>
      <c r="D489" s="7">
        <v>2.44</v>
      </c>
      <c r="E489" s="7">
        <v>2</v>
      </c>
      <c r="F489" s="7">
        <v>3.8</v>
      </c>
      <c r="G489" s="7">
        <v>2</v>
      </c>
      <c r="H489" s="7">
        <v>0</v>
      </c>
      <c r="I489" s="7">
        <v>0</v>
      </c>
      <c r="J489" s="7"/>
      <c r="K489" s="1" t="s">
        <v>141</v>
      </c>
      <c r="L489" s="1" t="s">
        <v>662</v>
      </c>
    </row>
    <row r="490" spans="1:12" ht="21" customHeight="1">
      <c r="A490" s="5">
        <v>46260</v>
      </c>
      <c r="B490" s="7">
        <v>2.59</v>
      </c>
      <c r="C490" s="7">
        <v>339267.31</v>
      </c>
      <c r="D490" s="7">
        <v>2</v>
      </c>
      <c r="E490" s="7">
        <v>1.7</v>
      </c>
      <c r="F490" s="7">
        <v>3.33</v>
      </c>
      <c r="G490" s="7">
        <v>1.71</v>
      </c>
      <c r="H490" s="7">
        <v>0</v>
      </c>
      <c r="I490" s="7">
        <v>0</v>
      </c>
      <c r="J490" s="7"/>
      <c r="K490" s="1" t="s">
        <v>141</v>
      </c>
      <c r="L490" s="1" t="s">
        <v>663</v>
      </c>
    </row>
    <row r="491" spans="1:12" ht="21" customHeight="1">
      <c r="A491" s="5">
        <v>46261</v>
      </c>
      <c r="B491" s="7">
        <v>2.86</v>
      </c>
      <c r="C491" s="7">
        <v>364776.19</v>
      </c>
      <c r="D491" s="7">
        <v>1.7</v>
      </c>
      <c r="E491" s="7">
        <v>4</v>
      </c>
      <c r="F491" s="7">
        <v>3.2</v>
      </c>
      <c r="G491" s="7">
        <v>1.7</v>
      </c>
      <c r="H491" s="7">
        <v>0</v>
      </c>
      <c r="I491" s="7">
        <v>0</v>
      </c>
      <c r="J491" s="7"/>
      <c r="K491" s="1" t="s">
        <v>141</v>
      </c>
      <c r="L491" s="1" t="s">
        <v>664</v>
      </c>
    </row>
    <row r="492" spans="1:12" ht="21" customHeight="1">
      <c r="A492" s="5">
        <v>46262</v>
      </c>
      <c r="B492" s="7">
        <v>1.74</v>
      </c>
      <c r="C492" s="7">
        <v>931454</v>
      </c>
      <c r="D492" s="7">
        <v>4</v>
      </c>
      <c r="E492" s="7">
        <v>2.5</v>
      </c>
      <c r="F492" s="7">
        <v>4</v>
      </c>
      <c r="G492" s="7">
        <v>1.3</v>
      </c>
      <c r="H492" s="7">
        <v>0</v>
      </c>
      <c r="I492" s="7">
        <v>0</v>
      </c>
      <c r="J492" s="7"/>
      <c r="K492" s="1" t="s">
        <v>141</v>
      </c>
      <c r="L492" s="1" t="s">
        <v>665</v>
      </c>
    </row>
    <row r="493" spans="1:12" ht="21" customHeight="1">
      <c r="A493" s="5">
        <v>46265</v>
      </c>
      <c r="B493" s="7">
        <v>0.9</v>
      </c>
      <c r="C493" s="7">
        <v>158150.41</v>
      </c>
      <c r="D493" s="7">
        <v>2.5</v>
      </c>
      <c r="E493" s="7">
        <v>0.91</v>
      </c>
      <c r="F493" s="7">
        <v>2.5</v>
      </c>
      <c r="G493" s="7">
        <v>0.7</v>
      </c>
      <c r="H493" s="7">
        <v>0</v>
      </c>
      <c r="I493" s="7">
        <v>0</v>
      </c>
      <c r="J493" s="7"/>
      <c r="K493" s="1" t="s">
        <v>141</v>
      </c>
      <c r="L493" s="1" t="s">
        <v>666</v>
      </c>
    </row>
    <row r="494" spans="1:12" ht="21" customHeight="1">
      <c r="A494" s="5">
        <v>46266</v>
      </c>
      <c r="B494" s="7">
        <v>0.97</v>
      </c>
      <c r="C494" s="7">
        <v>129405</v>
      </c>
      <c r="D494" s="7">
        <v>0.91</v>
      </c>
      <c r="E494" s="7">
        <v>1.3</v>
      </c>
      <c r="F494" s="7">
        <v>1.5</v>
      </c>
      <c r="G494" s="7">
        <v>0.81</v>
      </c>
      <c r="H494" s="7">
        <v>0</v>
      </c>
      <c r="I494" s="7">
        <v>0</v>
      </c>
      <c r="J494" s="7"/>
      <c r="K494" s="1" t="s">
        <v>141</v>
      </c>
      <c r="L494" s="1" t="s">
        <v>667</v>
      </c>
    </row>
    <row r="495" spans="1:12" ht="21" customHeight="1">
      <c r="A495" s="5">
        <v>46267</v>
      </c>
      <c r="B495" s="7">
        <v>0.9</v>
      </c>
      <c r="C495" s="7">
        <v>84805.8</v>
      </c>
      <c r="D495" s="7">
        <v>1.3</v>
      </c>
      <c r="E495" s="7">
        <v>1.1100000000000001</v>
      </c>
      <c r="F495" s="7">
        <v>1.3</v>
      </c>
      <c r="G495" s="7">
        <v>0.88</v>
      </c>
      <c r="H495" s="7">
        <v>0</v>
      </c>
      <c r="I495" s="7">
        <v>0</v>
      </c>
      <c r="J495" s="7"/>
      <c r="K495" s="1" t="s">
        <v>141</v>
      </c>
      <c r="L495" s="1" t="s">
        <v>668</v>
      </c>
    </row>
    <row r="496" spans="1:12" ht="21" customHeight="1">
      <c r="A496" s="5">
        <v>46268</v>
      </c>
      <c r="B496" s="7">
        <v>1.05</v>
      </c>
      <c r="C496" s="7">
        <v>161437.20000000001</v>
      </c>
      <c r="D496" s="7">
        <v>1.1100000000000001</v>
      </c>
      <c r="E496" s="7">
        <v>1.05</v>
      </c>
      <c r="F496" s="7">
        <v>1.4</v>
      </c>
      <c r="G496" s="7">
        <v>0.78</v>
      </c>
      <c r="H496" s="7">
        <v>0</v>
      </c>
      <c r="I496" s="7">
        <v>0</v>
      </c>
      <c r="J496" s="7"/>
      <c r="K496" s="1" t="s">
        <v>141</v>
      </c>
      <c r="L496" s="1" t="s">
        <v>669</v>
      </c>
    </row>
    <row r="497" spans="1:12" ht="21" customHeight="1">
      <c r="A497" s="5">
        <v>46269</v>
      </c>
      <c r="B497" s="7">
        <v>1.0900000000000001</v>
      </c>
      <c r="C497" s="7">
        <v>184877.2</v>
      </c>
      <c r="D497" s="7">
        <v>1.05</v>
      </c>
      <c r="E497" s="7">
        <v>1.0900000000000001</v>
      </c>
      <c r="F497" s="7">
        <v>1.5</v>
      </c>
      <c r="G497" s="7">
        <v>0.8</v>
      </c>
      <c r="H497" s="7">
        <v>0</v>
      </c>
      <c r="I497" s="7">
        <v>0</v>
      </c>
      <c r="J497" s="7"/>
      <c r="K497" s="1" t="s">
        <v>141</v>
      </c>
      <c r="L497" s="1" t="s">
        <v>670</v>
      </c>
    </row>
    <row r="498" spans="1:12" ht="21" customHeight="1">
      <c r="A498" s="5">
        <v>46272</v>
      </c>
      <c r="B498" s="7">
        <v>0.82</v>
      </c>
      <c r="C498" s="7">
        <v>71405</v>
      </c>
      <c r="D498" s="7">
        <v>1.0900000000000001</v>
      </c>
      <c r="E498" s="7">
        <v>1.3</v>
      </c>
      <c r="F498" s="7">
        <v>1.0900000000000001</v>
      </c>
      <c r="G498" s="7">
        <v>0.8</v>
      </c>
      <c r="H498" s="7">
        <v>0</v>
      </c>
      <c r="I498" s="7">
        <v>0</v>
      </c>
      <c r="J498" s="7"/>
      <c r="K498" s="1" t="s">
        <v>141</v>
      </c>
      <c r="L498" s="1" t="s">
        <v>671</v>
      </c>
    </row>
    <row r="499" spans="1:12" ht="21" customHeight="1">
      <c r="A499" s="5">
        <v>46273</v>
      </c>
      <c r="B499" s="7">
        <v>0.98</v>
      </c>
      <c r="C499" s="7">
        <v>90312.7</v>
      </c>
      <c r="D499" s="7">
        <v>1.3</v>
      </c>
      <c r="E499" s="7">
        <v>1.02</v>
      </c>
      <c r="F499" s="7">
        <v>1.45</v>
      </c>
      <c r="G499" s="7">
        <v>0.82</v>
      </c>
      <c r="H499" s="7">
        <v>0</v>
      </c>
      <c r="I499" s="7">
        <v>0</v>
      </c>
      <c r="J499" s="7"/>
      <c r="K499" s="1" t="s">
        <v>141</v>
      </c>
      <c r="L499" s="1" t="s">
        <v>672</v>
      </c>
    </row>
    <row r="500" spans="1:12" ht="21" customHeight="1">
      <c r="A500" s="5">
        <v>46274</v>
      </c>
      <c r="B500" s="7">
        <v>0.81</v>
      </c>
      <c r="C500" s="7">
        <v>37293.199999999997</v>
      </c>
      <c r="D500" s="7">
        <v>1.02</v>
      </c>
      <c r="E500" s="7">
        <v>1.1499999999999999</v>
      </c>
      <c r="F500" s="7">
        <v>1.25</v>
      </c>
      <c r="G500" s="7">
        <v>0.78</v>
      </c>
      <c r="H500" s="7">
        <v>0</v>
      </c>
      <c r="I500" s="7">
        <v>0</v>
      </c>
      <c r="J500" s="7"/>
      <c r="K500" s="1" t="s">
        <v>141</v>
      </c>
      <c r="L500" s="1" t="s">
        <v>673</v>
      </c>
    </row>
    <row r="501" spans="1:12" ht="21" customHeight="1">
      <c r="A501" s="5">
        <v>46275</v>
      </c>
      <c r="B501" s="7">
        <v>0.76</v>
      </c>
      <c r="C501" s="7">
        <v>34430.699999999997</v>
      </c>
      <c r="D501" s="7">
        <v>1.1499999999999999</v>
      </c>
      <c r="E501" s="7">
        <v>0.95</v>
      </c>
      <c r="F501" s="7">
        <v>1.1499999999999999</v>
      </c>
      <c r="G501" s="7">
        <v>0.5</v>
      </c>
      <c r="H501" s="7">
        <v>0</v>
      </c>
      <c r="I501" s="7">
        <v>0</v>
      </c>
      <c r="J501" s="7"/>
      <c r="K501" s="1" t="s">
        <v>141</v>
      </c>
      <c r="L501" s="1" t="s">
        <v>674</v>
      </c>
    </row>
    <row r="502" spans="1:12" ht="21" customHeight="1">
      <c r="A502" s="5">
        <v>46276</v>
      </c>
      <c r="B502" s="7">
        <v>0.59</v>
      </c>
      <c r="C502" s="7">
        <v>200943.59</v>
      </c>
      <c r="D502" s="7">
        <v>0.95</v>
      </c>
      <c r="E502" s="7">
        <v>0.75</v>
      </c>
      <c r="F502" s="7">
        <v>0.95</v>
      </c>
      <c r="G502" s="7">
        <v>0.4</v>
      </c>
      <c r="H502" s="7">
        <v>0</v>
      </c>
      <c r="I502" s="7">
        <v>0</v>
      </c>
      <c r="J502" s="7"/>
      <c r="K502" s="1" t="s">
        <v>141</v>
      </c>
      <c r="L502" s="1" t="s">
        <v>675</v>
      </c>
    </row>
    <row r="503" spans="1:12" ht="21" customHeight="1">
      <c r="A503" s="5">
        <v>46279</v>
      </c>
      <c r="B503" s="7">
        <v>0.76</v>
      </c>
      <c r="C503" s="7">
        <v>88567.6</v>
      </c>
      <c r="D503" s="7">
        <v>0.75</v>
      </c>
      <c r="E503" s="7">
        <v>0.75</v>
      </c>
      <c r="F503" s="7">
        <v>1</v>
      </c>
      <c r="G503" s="7">
        <v>0.5</v>
      </c>
      <c r="H503" s="7">
        <v>0</v>
      </c>
      <c r="I503" s="7">
        <v>0</v>
      </c>
      <c r="J503" s="7"/>
      <c r="K503" s="1" t="s">
        <v>141</v>
      </c>
      <c r="L503" s="1" t="s">
        <v>676</v>
      </c>
    </row>
    <row r="504" spans="1:12" ht="21" customHeight="1">
      <c r="A504" s="5">
        <v>46280</v>
      </c>
      <c r="B504" s="7">
        <v>1.19</v>
      </c>
      <c r="C504" s="7">
        <v>209747.8</v>
      </c>
      <c r="D504" s="7">
        <v>0.75</v>
      </c>
      <c r="E504" s="7">
        <v>1.59</v>
      </c>
      <c r="F504" s="7">
        <v>1.61</v>
      </c>
      <c r="G504" s="7">
        <v>0.65</v>
      </c>
      <c r="H504" s="7">
        <v>0</v>
      </c>
      <c r="I504" s="7">
        <v>0</v>
      </c>
      <c r="J504" s="7"/>
      <c r="K504" s="1" t="s">
        <v>141</v>
      </c>
      <c r="L504" s="1" t="s">
        <v>677</v>
      </c>
    </row>
    <row r="505" spans="1:12" ht="21" customHeight="1">
      <c r="A505" s="5">
        <v>46281</v>
      </c>
      <c r="B505" s="7">
        <v>1.21</v>
      </c>
      <c r="C505" s="7">
        <v>32093.200000000001</v>
      </c>
      <c r="D505" s="7">
        <v>1.59</v>
      </c>
      <c r="E505" s="7">
        <v>10</v>
      </c>
      <c r="F505" s="7">
        <v>1.59</v>
      </c>
      <c r="G505" s="7">
        <v>0.67</v>
      </c>
      <c r="H505" s="7">
        <v>0</v>
      </c>
      <c r="I505" s="7">
        <v>0</v>
      </c>
      <c r="J505" s="7"/>
      <c r="K505" s="1" t="s">
        <v>141</v>
      </c>
      <c r="L505" s="1" t="s">
        <v>678</v>
      </c>
    </row>
    <row r="506" spans="1:12" ht="21" customHeight="1">
      <c r="A506" s="5">
        <v>46255</v>
      </c>
      <c r="B506" s="7">
        <v>10</v>
      </c>
      <c r="C506" s="7">
        <v>1000</v>
      </c>
      <c r="D506" s="7">
        <v>10</v>
      </c>
      <c r="E506" s="7">
        <v>4</v>
      </c>
      <c r="F506" s="7">
        <v>10</v>
      </c>
      <c r="G506" s="7">
        <v>10</v>
      </c>
      <c r="H506" s="7">
        <v>0</v>
      </c>
      <c r="I506" s="7">
        <v>0</v>
      </c>
      <c r="J506" s="7"/>
      <c r="K506" s="1" t="s">
        <v>137</v>
      </c>
      <c r="L506" s="1" t="s">
        <v>679</v>
      </c>
    </row>
    <row r="507" spans="1:12" ht="21" customHeight="1">
      <c r="A507" s="5">
        <v>46258</v>
      </c>
      <c r="B507" s="7">
        <v>3.67</v>
      </c>
      <c r="C507" s="7">
        <v>688801.88</v>
      </c>
      <c r="D507" s="7">
        <v>4</v>
      </c>
      <c r="E507" s="7">
        <v>3.5</v>
      </c>
      <c r="F507" s="7">
        <v>4.8</v>
      </c>
      <c r="G507" s="7">
        <v>2</v>
      </c>
      <c r="H507" s="7">
        <v>0</v>
      </c>
      <c r="I507" s="7">
        <v>0</v>
      </c>
      <c r="J507" s="7"/>
      <c r="K507" s="1" t="s">
        <v>137</v>
      </c>
      <c r="L507" s="1" t="s">
        <v>680</v>
      </c>
    </row>
    <row r="508" spans="1:12" ht="21" customHeight="1">
      <c r="A508" s="5">
        <v>46259</v>
      </c>
      <c r="B508" s="7">
        <v>3.02</v>
      </c>
      <c r="C508" s="7">
        <v>351163.59</v>
      </c>
      <c r="D508" s="7">
        <v>3.5</v>
      </c>
      <c r="E508" s="7">
        <v>2.2000000000000002</v>
      </c>
      <c r="F508" s="7">
        <v>4.5999999999999996</v>
      </c>
      <c r="G508" s="7">
        <v>2.71</v>
      </c>
      <c r="H508" s="7">
        <v>0</v>
      </c>
      <c r="I508" s="7">
        <v>0</v>
      </c>
      <c r="J508" s="7"/>
      <c r="K508" s="1" t="s">
        <v>137</v>
      </c>
      <c r="L508" s="1" t="s">
        <v>681</v>
      </c>
    </row>
    <row r="509" spans="1:12" ht="21" customHeight="1">
      <c r="A509" s="5">
        <v>46260</v>
      </c>
      <c r="B509" s="7">
        <v>2.68</v>
      </c>
      <c r="C509" s="7">
        <v>357127.69</v>
      </c>
      <c r="D509" s="7">
        <v>2.2000000000000002</v>
      </c>
      <c r="E509" s="7">
        <v>3.15</v>
      </c>
      <c r="F509" s="7">
        <v>3.9</v>
      </c>
      <c r="G509" s="7">
        <v>2.2000000000000002</v>
      </c>
      <c r="H509" s="7">
        <v>0</v>
      </c>
      <c r="I509" s="7">
        <v>0</v>
      </c>
      <c r="J509" s="7"/>
      <c r="K509" s="1" t="s">
        <v>137</v>
      </c>
      <c r="L509" s="1" t="s">
        <v>682</v>
      </c>
    </row>
    <row r="510" spans="1:12" ht="21" customHeight="1">
      <c r="A510" s="5">
        <v>46261</v>
      </c>
      <c r="B510" s="7">
        <v>3.03</v>
      </c>
      <c r="C510" s="7">
        <v>736744.38</v>
      </c>
      <c r="D510" s="7">
        <v>3.15</v>
      </c>
      <c r="E510" s="7">
        <v>2.09</v>
      </c>
      <c r="F510" s="7">
        <v>3.8</v>
      </c>
      <c r="G510" s="7">
        <v>1.1000000000000001</v>
      </c>
      <c r="H510" s="7">
        <v>0</v>
      </c>
      <c r="I510" s="7">
        <v>0</v>
      </c>
      <c r="J510" s="7"/>
      <c r="K510" s="1" t="s">
        <v>137</v>
      </c>
      <c r="L510" s="1" t="s">
        <v>683</v>
      </c>
    </row>
    <row r="511" spans="1:12" ht="21" customHeight="1">
      <c r="A511" s="5">
        <v>46262</v>
      </c>
      <c r="B511" s="7">
        <v>1.96</v>
      </c>
      <c r="C511" s="7">
        <v>561700.81000000006</v>
      </c>
      <c r="D511" s="7">
        <v>2.09</v>
      </c>
      <c r="E511" s="7">
        <v>2.6</v>
      </c>
      <c r="F511" s="7">
        <v>5.2</v>
      </c>
      <c r="G511" s="7">
        <v>1.5</v>
      </c>
      <c r="H511" s="7">
        <v>0</v>
      </c>
      <c r="I511" s="7">
        <v>0</v>
      </c>
      <c r="J511" s="7"/>
      <c r="K511" s="1" t="s">
        <v>137</v>
      </c>
      <c r="L511" s="1" t="s">
        <v>684</v>
      </c>
    </row>
    <row r="512" spans="1:12" ht="21" customHeight="1">
      <c r="A512" s="5">
        <v>46265</v>
      </c>
      <c r="B512" s="7">
        <v>1.18</v>
      </c>
      <c r="C512" s="7">
        <v>142381.20000000001</v>
      </c>
      <c r="D512" s="7">
        <v>2.6</v>
      </c>
      <c r="E512" s="7">
        <v>1.1100000000000001</v>
      </c>
      <c r="F512" s="7">
        <v>2.6</v>
      </c>
      <c r="G512" s="7">
        <v>1</v>
      </c>
      <c r="H512" s="7">
        <v>0</v>
      </c>
      <c r="I512" s="7">
        <v>0</v>
      </c>
      <c r="J512" s="7"/>
      <c r="K512" s="1" t="s">
        <v>137</v>
      </c>
      <c r="L512" s="1" t="s">
        <v>685</v>
      </c>
    </row>
    <row r="513" spans="1:12" ht="21" customHeight="1">
      <c r="A513" s="5">
        <v>46266</v>
      </c>
      <c r="B513" s="7">
        <v>1.22</v>
      </c>
      <c r="C513" s="7">
        <v>289874.59000000003</v>
      </c>
      <c r="D513" s="7">
        <v>1.1100000000000001</v>
      </c>
      <c r="E513" s="7">
        <v>1.44</v>
      </c>
      <c r="F513" s="7">
        <v>1.7</v>
      </c>
      <c r="G513" s="7">
        <v>1.1000000000000001</v>
      </c>
      <c r="H513" s="7">
        <v>0</v>
      </c>
      <c r="I513" s="7">
        <v>0</v>
      </c>
      <c r="J513" s="7"/>
      <c r="K513" s="1" t="s">
        <v>137</v>
      </c>
      <c r="L513" s="1" t="s">
        <v>686</v>
      </c>
    </row>
    <row r="514" spans="1:12" ht="21" customHeight="1">
      <c r="A514" s="5">
        <v>46267</v>
      </c>
      <c r="B514" s="7">
        <v>1.28</v>
      </c>
      <c r="C514" s="7">
        <v>108466.7</v>
      </c>
      <c r="D514" s="7">
        <v>1.44</v>
      </c>
      <c r="E514" s="7">
        <v>1</v>
      </c>
      <c r="F514" s="7">
        <v>1.8</v>
      </c>
      <c r="G514" s="7">
        <v>1</v>
      </c>
      <c r="H514" s="7">
        <v>0</v>
      </c>
      <c r="I514" s="7">
        <v>0</v>
      </c>
      <c r="J514" s="7"/>
      <c r="K514" s="1" t="s">
        <v>137</v>
      </c>
      <c r="L514" s="1" t="s">
        <v>687</v>
      </c>
    </row>
    <row r="515" spans="1:12" ht="21" customHeight="1">
      <c r="A515" s="5">
        <v>46268</v>
      </c>
      <c r="B515" s="7">
        <v>1.55</v>
      </c>
      <c r="C515" s="7">
        <v>107132.6</v>
      </c>
      <c r="D515" s="7">
        <v>1</v>
      </c>
      <c r="E515" s="7">
        <v>2.2000000000000002</v>
      </c>
      <c r="F515" s="7">
        <v>1.6</v>
      </c>
      <c r="G515" s="7">
        <v>0.97</v>
      </c>
      <c r="H515" s="7">
        <v>0</v>
      </c>
      <c r="I515" s="7">
        <v>0</v>
      </c>
      <c r="J515" s="7"/>
      <c r="K515" s="1" t="s">
        <v>137</v>
      </c>
      <c r="L515" s="1" t="s">
        <v>688</v>
      </c>
    </row>
    <row r="516" spans="1:12" ht="21" customHeight="1">
      <c r="A516" s="5">
        <v>46269</v>
      </c>
      <c r="B516" s="7">
        <v>1.17</v>
      </c>
      <c r="C516" s="7">
        <v>108080.4</v>
      </c>
      <c r="D516" s="7">
        <v>2.2000000000000002</v>
      </c>
      <c r="E516" s="7">
        <v>0.9</v>
      </c>
      <c r="F516" s="7">
        <v>2.2000000000000002</v>
      </c>
      <c r="G516" s="7">
        <v>0.89</v>
      </c>
      <c r="H516" s="7">
        <v>0</v>
      </c>
      <c r="I516" s="7">
        <v>0</v>
      </c>
      <c r="J516" s="7"/>
      <c r="K516" s="1" t="s">
        <v>137</v>
      </c>
      <c r="L516" s="1" t="s">
        <v>689</v>
      </c>
    </row>
    <row r="517" spans="1:12" ht="21" customHeight="1">
      <c r="A517" s="5">
        <v>46272</v>
      </c>
      <c r="B517" s="7">
        <v>1.25</v>
      </c>
      <c r="C517" s="7">
        <v>14519.3</v>
      </c>
      <c r="D517" s="7">
        <v>0.9</v>
      </c>
      <c r="E517" s="7">
        <v>1.2</v>
      </c>
      <c r="F517" s="7">
        <v>1.6</v>
      </c>
      <c r="G517" s="7">
        <v>0.89</v>
      </c>
      <c r="H517" s="7">
        <v>0</v>
      </c>
      <c r="I517" s="7">
        <v>0</v>
      </c>
      <c r="J517" s="7"/>
      <c r="K517" s="1" t="s">
        <v>137</v>
      </c>
      <c r="L517" s="1" t="s">
        <v>690</v>
      </c>
    </row>
    <row r="518" spans="1:12" ht="21" customHeight="1">
      <c r="A518" s="5">
        <v>46273</v>
      </c>
      <c r="B518" s="7">
        <v>1.0900000000000001</v>
      </c>
      <c r="C518" s="7">
        <v>62530.7</v>
      </c>
      <c r="D518" s="7">
        <v>1.2</v>
      </c>
      <c r="E518" s="7">
        <v>1.5</v>
      </c>
      <c r="F518" s="7">
        <v>1.98</v>
      </c>
      <c r="G518" s="7">
        <v>0.8</v>
      </c>
      <c r="H518" s="7">
        <v>0</v>
      </c>
      <c r="I518" s="7">
        <v>0</v>
      </c>
      <c r="J518" s="7"/>
      <c r="K518" s="1" t="s">
        <v>137</v>
      </c>
      <c r="L518" s="1" t="s">
        <v>691</v>
      </c>
    </row>
    <row r="519" spans="1:12" ht="21" customHeight="1">
      <c r="A519" s="5">
        <v>46274</v>
      </c>
      <c r="B519" s="7">
        <v>1</v>
      </c>
      <c r="C519" s="7">
        <v>14229</v>
      </c>
      <c r="D519" s="7">
        <v>1.5</v>
      </c>
      <c r="E519" s="7">
        <v>0.8</v>
      </c>
      <c r="F519" s="7">
        <v>1.5</v>
      </c>
      <c r="G519" s="7">
        <v>1</v>
      </c>
      <c r="H519" s="7">
        <v>0</v>
      </c>
      <c r="I519" s="7">
        <v>0</v>
      </c>
      <c r="J519" s="7"/>
      <c r="K519" s="1" t="s">
        <v>137</v>
      </c>
      <c r="L519" s="1" t="s">
        <v>692</v>
      </c>
    </row>
    <row r="520" spans="1:12" ht="21" customHeight="1">
      <c r="A520" s="5">
        <v>46275</v>
      </c>
      <c r="B520" s="7">
        <v>1</v>
      </c>
      <c r="C520" s="7">
        <v>109712.9</v>
      </c>
      <c r="D520" s="7">
        <v>0.8</v>
      </c>
      <c r="E520" s="7">
        <v>0.63</v>
      </c>
      <c r="F520" s="7">
        <v>1.43</v>
      </c>
      <c r="G520" s="7">
        <v>0.5</v>
      </c>
      <c r="H520" s="7">
        <v>0</v>
      </c>
      <c r="I520" s="7">
        <v>0</v>
      </c>
      <c r="J520" s="7"/>
      <c r="K520" s="1" t="s">
        <v>137</v>
      </c>
      <c r="L520" s="1" t="s">
        <v>693</v>
      </c>
    </row>
    <row r="521" spans="1:12" ht="21" customHeight="1">
      <c r="A521" s="5">
        <v>46276</v>
      </c>
      <c r="B521" s="7">
        <v>0.89</v>
      </c>
      <c r="C521" s="7">
        <v>64655.6</v>
      </c>
      <c r="D521" s="7">
        <v>0.63</v>
      </c>
      <c r="E521" s="7">
        <v>1.2</v>
      </c>
      <c r="F521" s="7">
        <v>1.4</v>
      </c>
      <c r="G521" s="7">
        <v>0.63</v>
      </c>
      <c r="H521" s="7">
        <v>0</v>
      </c>
      <c r="I521" s="7">
        <v>0</v>
      </c>
      <c r="J521" s="7"/>
      <c r="K521" s="1" t="s">
        <v>137</v>
      </c>
      <c r="L521" s="1" t="s">
        <v>694</v>
      </c>
    </row>
    <row r="522" spans="1:12" ht="21" customHeight="1">
      <c r="A522" s="5">
        <v>46279</v>
      </c>
      <c r="B522" s="7">
        <v>1.17</v>
      </c>
      <c r="C522" s="7">
        <v>47118.7</v>
      </c>
      <c r="D522" s="7">
        <v>1.2</v>
      </c>
      <c r="E522" s="7">
        <v>1.7</v>
      </c>
      <c r="F522" s="7">
        <v>1.3</v>
      </c>
      <c r="G522" s="7">
        <v>0.7</v>
      </c>
      <c r="H522" s="7">
        <v>0</v>
      </c>
      <c r="I522" s="7">
        <v>0</v>
      </c>
      <c r="J522" s="7"/>
      <c r="K522" s="1" t="s">
        <v>137</v>
      </c>
      <c r="L522" s="1" t="s">
        <v>695</v>
      </c>
    </row>
    <row r="523" spans="1:12" ht="21" customHeight="1">
      <c r="A523" s="5">
        <v>46280</v>
      </c>
      <c r="B523" s="7">
        <v>1.71</v>
      </c>
      <c r="C523" s="7">
        <v>288556.09000000003</v>
      </c>
      <c r="D523" s="7">
        <v>1.7</v>
      </c>
      <c r="E523" s="7">
        <v>1.2</v>
      </c>
      <c r="F523" s="7">
        <v>1.7</v>
      </c>
      <c r="G523" s="7">
        <v>0.71</v>
      </c>
      <c r="H523" s="7">
        <v>0</v>
      </c>
      <c r="I523" s="7">
        <v>0</v>
      </c>
      <c r="J523" s="7"/>
      <c r="K523" s="1" t="s">
        <v>137</v>
      </c>
      <c r="L523" s="1" t="s">
        <v>696</v>
      </c>
    </row>
    <row r="524" spans="1:12" ht="21" customHeight="1">
      <c r="A524" s="5">
        <v>46281</v>
      </c>
      <c r="B524" s="7">
        <v>0.91</v>
      </c>
      <c r="C524" s="7">
        <v>174142.09</v>
      </c>
      <c r="D524" s="7">
        <v>1.2</v>
      </c>
      <c r="E524" s="7">
        <v>10</v>
      </c>
      <c r="F524" s="7">
        <v>2</v>
      </c>
      <c r="G524" s="7">
        <v>0.9</v>
      </c>
      <c r="H524" s="7">
        <v>0</v>
      </c>
      <c r="I524" s="7">
        <v>0</v>
      </c>
      <c r="J524" s="7"/>
      <c r="K524" s="1" t="s">
        <v>137</v>
      </c>
      <c r="L524" s="1" t="s">
        <v>697</v>
      </c>
    </row>
    <row r="525" spans="1:12" ht="21" customHeight="1">
      <c r="A525" s="5">
        <v>46255</v>
      </c>
      <c r="B525" s="7">
        <v>0</v>
      </c>
      <c r="C525" s="7">
        <v>5777.5</v>
      </c>
      <c r="D525" s="7">
        <v>10</v>
      </c>
      <c r="E525" s="7">
        <v>2</v>
      </c>
      <c r="F525" s="7">
        <v>16</v>
      </c>
      <c r="G525" s="7">
        <v>0</v>
      </c>
      <c r="H525" s="7">
        <v>0</v>
      </c>
      <c r="I525" s="7">
        <v>0</v>
      </c>
      <c r="J525" s="7"/>
      <c r="K525" s="1" t="s">
        <v>135</v>
      </c>
      <c r="L525" s="1" t="s">
        <v>698</v>
      </c>
    </row>
    <row r="526" spans="1:12" ht="21" customHeight="1">
      <c r="A526" s="5">
        <v>46258</v>
      </c>
      <c r="B526" s="7">
        <v>4.68</v>
      </c>
      <c r="C526" s="7">
        <v>136094.09</v>
      </c>
      <c r="D526" s="7">
        <v>2</v>
      </c>
      <c r="E526" s="7">
        <v>5.5</v>
      </c>
      <c r="F526" s="7">
        <v>5.5</v>
      </c>
      <c r="G526" s="7">
        <v>2</v>
      </c>
      <c r="H526" s="7">
        <v>0</v>
      </c>
      <c r="I526" s="7">
        <v>0</v>
      </c>
      <c r="J526" s="7"/>
      <c r="K526" s="1" t="s">
        <v>135</v>
      </c>
      <c r="L526" s="1" t="s">
        <v>699</v>
      </c>
    </row>
    <row r="527" spans="1:12" ht="21" customHeight="1">
      <c r="A527" s="5">
        <v>46259</v>
      </c>
      <c r="B527" s="7">
        <v>3.47</v>
      </c>
      <c r="C527" s="7">
        <v>132079.41</v>
      </c>
      <c r="D527" s="7">
        <v>5.5</v>
      </c>
      <c r="E527" s="7">
        <v>2.56</v>
      </c>
      <c r="F527" s="7">
        <v>6</v>
      </c>
      <c r="G527" s="7">
        <v>2.59</v>
      </c>
      <c r="H527" s="7">
        <v>0</v>
      </c>
      <c r="I527" s="7">
        <v>0</v>
      </c>
      <c r="J527" s="7"/>
      <c r="K527" s="1" t="s">
        <v>135</v>
      </c>
      <c r="L527" s="1" t="s">
        <v>700</v>
      </c>
    </row>
    <row r="528" spans="1:12" ht="21" customHeight="1">
      <c r="A528" s="5">
        <v>46260</v>
      </c>
      <c r="B528" s="7">
        <v>3.41</v>
      </c>
      <c r="C528" s="7">
        <v>175435</v>
      </c>
      <c r="D528" s="7">
        <v>2.56</v>
      </c>
      <c r="E528" s="7">
        <v>3.9</v>
      </c>
      <c r="F528" s="7">
        <v>4</v>
      </c>
      <c r="G528" s="7">
        <v>2.56</v>
      </c>
      <c r="H528" s="7">
        <v>0</v>
      </c>
      <c r="I528" s="7">
        <v>0</v>
      </c>
      <c r="J528" s="7"/>
      <c r="K528" s="1" t="s">
        <v>135</v>
      </c>
      <c r="L528" s="1" t="s">
        <v>701</v>
      </c>
    </row>
    <row r="529" spans="1:12" ht="21" customHeight="1">
      <c r="A529" s="5">
        <v>46261</v>
      </c>
      <c r="B529" s="7">
        <v>4.04</v>
      </c>
      <c r="C529" s="7">
        <v>791611.81</v>
      </c>
      <c r="D529" s="7">
        <v>3.9</v>
      </c>
      <c r="E529" s="7">
        <v>4.8</v>
      </c>
      <c r="F529" s="7">
        <v>4.9000000000000004</v>
      </c>
      <c r="G529" s="7">
        <v>2</v>
      </c>
      <c r="H529" s="7">
        <v>0</v>
      </c>
      <c r="I529" s="7">
        <v>0</v>
      </c>
      <c r="J529" s="7"/>
      <c r="K529" s="1" t="s">
        <v>135</v>
      </c>
      <c r="L529" s="1" t="s">
        <v>702</v>
      </c>
    </row>
    <row r="530" spans="1:12" ht="21" customHeight="1">
      <c r="A530" s="5">
        <v>46262</v>
      </c>
      <c r="B530" s="7">
        <v>3.3</v>
      </c>
      <c r="C530" s="7">
        <v>800047</v>
      </c>
      <c r="D530" s="7">
        <v>4.8</v>
      </c>
      <c r="E530" s="7">
        <v>1.6</v>
      </c>
      <c r="F530" s="7">
        <v>6.35</v>
      </c>
      <c r="G530" s="7">
        <v>2.5099999999999998</v>
      </c>
      <c r="H530" s="7">
        <v>0</v>
      </c>
      <c r="I530" s="7">
        <v>0</v>
      </c>
      <c r="J530" s="7"/>
      <c r="K530" s="1" t="s">
        <v>135</v>
      </c>
      <c r="L530" s="1" t="s">
        <v>703</v>
      </c>
    </row>
    <row r="531" spans="1:12" ht="21" customHeight="1">
      <c r="A531" s="5">
        <v>46265</v>
      </c>
      <c r="B531" s="7">
        <v>1.8</v>
      </c>
      <c r="C531" s="7">
        <v>410284.41</v>
      </c>
      <c r="D531" s="7">
        <v>1.6</v>
      </c>
      <c r="E531" s="7">
        <v>2.4500000000000002</v>
      </c>
      <c r="F531" s="7">
        <v>2.7</v>
      </c>
      <c r="G531" s="7">
        <v>1</v>
      </c>
      <c r="H531" s="7">
        <v>0</v>
      </c>
      <c r="I531" s="7">
        <v>0</v>
      </c>
      <c r="J531" s="7"/>
      <c r="K531" s="1" t="s">
        <v>135</v>
      </c>
      <c r="L531" s="1" t="s">
        <v>704</v>
      </c>
    </row>
    <row r="532" spans="1:12" ht="21" customHeight="1">
      <c r="A532" s="5">
        <v>46266</v>
      </c>
      <c r="B532" s="7">
        <v>1.53</v>
      </c>
      <c r="C532" s="7">
        <v>206873.5</v>
      </c>
      <c r="D532" s="7">
        <v>2.4500000000000002</v>
      </c>
      <c r="E532" s="7">
        <v>1.9</v>
      </c>
      <c r="F532" s="7">
        <v>2.4500000000000002</v>
      </c>
      <c r="G532" s="7">
        <v>1.33</v>
      </c>
      <c r="H532" s="7">
        <v>0</v>
      </c>
      <c r="I532" s="7">
        <v>0</v>
      </c>
      <c r="J532" s="7"/>
      <c r="K532" s="1" t="s">
        <v>135</v>
      </c>
      <c r="L532" s="1" t="s">
        <v>705</v>
      </c>
    </row>
    <row r="533" spans="1:12" ht="21" customHeight="1">
      <c r="A533" s="5">
        <v>46267</v>
      </c>
      <c r="B533" s="7">
        <v>1.38</v>
      </c>
      <c r="C533" s="7">
        <v>364480.59</v>
      </c>
      <c r="D533" s="7">
        <v>1.9</v>
      </c>
      <c r="E533" s="7">
        <v>1.75</v>
      </c>
      <c r="F533" s="7">
        <v>1.9</v>
      </c>
      <c r="G533" s="7">
        <v>1.3</v>
      </c>
      <c r="H533" s="7">
        <v>0</v>
      </c>
      <c r="I533" s="7">
        <v>0</v>
      </c>
      <c r="J533" s="7"/>
      <c r="K533" s="1" t="s">
        <v>135</v>
      </c>
      <c r="L533" s="1" t="s">
        <v>706</v>
      </c>
    </row>
    <row r="534" spans="1:12" ht="21" customHeight="1">
      <c r="A534" s="5">
        <v>46268</v>
      </c>
      <c r="B534" s="7">
        <v>1.48</v>
      </c>
      <c r="C534" s="7">
        <v>174172.79999999999</v>
      </c>
      <c r="D534" s="7">
        <v>1.75</v>
      </c>
      <c r="E534" s="7">
        <v>0.81</v>
      </c>
      <c r="F534" s="7">
        <v>1.75</v>
      </c>
      <c r="G534" s="7">
        <v>1</v>
      </c>
      <c r="H534" s="7">
        <v>0</v>
      </c>
      <c r="I534" s="7">
        <v>0</v>
      </c>
      <c r="J534" s="7"/>
      <c r="K534" s="1" t="s">
        <v>135</v>
      </c>
      <c r="L534" s="1" t="s">
        <v>707</v>
      </c>
    </row>
    <row r="535" spans="1:12" ht="21" customHeight="1">
      <c r="A535" s="5">
        <v>46269</v>
      </c>
      <c r="B535" s="7">
        <v>1.4</v>
      </c>
      <c r="C535" s="7">
        <v>83664.7</v>
      </c>
      <c r="D535" s="7">
        <v>0.81</v>
      </c>
      <c r="E535" s="7">
        <v>1.8</v>
      </c>
      <c r="F535" s="7">
        <v>2</v>
      </c>
      <c r="G535" s="7">
        <v>0.81</v>
      </c>
      <c r="H535" s="7">
        <v>0</v>
      </c>
      <c r="I535" s="7">
        <v>0</v>
      </c>
      <c r="J535" s="7"/>
      <c r="K535" s="1" t="s">
        <v>135</v>
      </c>
      <c r="L535" s="1" t="s">
        <v>708</v>
      </c>
    </row>
    <row r="536" spans="1:12" ht="21" customHeight="1">
      <c r="A536" s="5">
        <v>46272</v>
      </c>
      <c r="B536" s="7">
        <v>1.47</v>
      </c>
      <c r="C536" s="7">
        <v>27889.1</v>
      </c>
      <c r="D536" s="7">
        <v>1.8</v>
      </c>
      <c r="E536" s="7">
        <v>1.6</v>
      </c>
      <c r="F536" s="7">
        <v>1.8</v>
      </c>
      <c r="G536" s="7">
        <v>0.8</v>
      </c>
      <c r="H536" s="7">
        <v>0</v>
      </c>
      <c r="I536" s="7">
        <v>0</v>
      </c>
      <c r="J536" s="7"/>
      <c r="K536" s="1" t="s">
        <v>135</v>
      </c>
      <c r="L536" s="1" t="s">
        <v>709</v>
      </c>
    </row>
    <row r="537" spans="1:12" ht="21" customHeight="1">
      <c r="A537" s="5">
        <v>46273</v>
      </c>
      <c r="B537" s="7">
        <v>1.45</v>
      </c>
      <c r="C537" s="7">
        <v>200094.91</v>
      </c>
      <c r="D537" s="7">
        <v>1.6</v>
      </c>
      <c r="E537" s="7">
        <v>1.1100000000000001</v>
      </c>
      <c r="F537" s="7">
        <v>1.79</v>
      </c>
      <c r="G537" s="7">
        <v>1</v>
      </c>
      <c r="H537" s="7">
        <v>0</v>
      </c>
      <c r="I537" s="7">
        <v>0</v>
      </c>
      <c r="J537" s="7"/>
      <c r="K537" s="1" t="s">
        <v>135</v>
      </c>
      <c r="L537" s="1" t="s">
        <v>710</v>
      </c>
    </row>
    <row r="538" spans="1:12" ht="21" customHeight="1">
      <c r="A538" s="5">
        <v>46274</v>
      </c>
      <c r="B538" s="7">
        <v>1.22</v>
      </c>
      <c r="C538" s="7">
        <v>117621.1</v>
      </c>
      <c r="D538" s="7">
        <v>1.1100000000000001</v>
      </c>
      <c r="E538" s="7">
        <v>1</v>
      </c>
      <c r="F538" s="7">
        <v>1.8</v>
      </c>
      <c r="G538" s="7">
        <v>1</v>
      </c>
      <c r="H538" s="7">
        <v>0</v>
      </c>
      <c r="I538" s="7">
        <v>0</v>
      </c>
      <c r="J538" s="7"/>
      <c r="K538" s="1" t="s">
        <v>135</v>
      </c>
      <c r="L538" s="1" t="s">
        <v>711</v>
      </c>
    </row>
    <row r="539" spans="1:12" ht="21" customHeight="1">
      <c r="A539" s="5">
        <v>46275</v>
      </c>
      <c r="B539" s="7">
        <v>1.0900000000000001</v>
      </c>
      <c r="C539" s="7">
        <v>97706.8</v>
      </c>
      <c r="D539" s="7">
        <v>1</v>
      </c>
      <c r="E539" s="7">
        <v>1.1000000000000001</v>
      </c>
      <c r="F539" s="7">
        <v>1.3</v>
      </c>
      <c r="G539" s="7">
        <v>0.75</v>
      </c>
      <c r="H539" s="7">
        <v>0</v>
      </c>
      <c r="I539" s="7">
        <v>0</v>
      </c>
      <c r="J539" s="7"/>
      <c r="K539" s="1" t="s">
        <v>135</v>
      </c>
      <c r="L539" s="1" t="s">
        <v>712</v>
      </c>
    </row>
    <row r="540" spans="1:12" ht="21" customHeight="1">
      <c r="A540" s="5">
        <v>46276</v>
      </c>
      <c r="B540" s="7">
        <v>1.1299999999999999</v>
      </c>
      <c r="C540" s="7">
        <v>78715.199999999997</v>
      </c>
      <c r="D540" s="7">
        <v>1.1000000000000001</v>
      </c>
      <c r="E540" s="7">
        <v>1.5</v>
      </c>
      <c r="F540" s="7">
        <v>1.3</v>
      </c>
      <c r="G540" s="7">
        <v>0.68</v>
      </c>
      <c r="H540" s="7">
        <v>0</v>
      </c>
      <c r="I540" s="7">
        <v>0</v>
      </c>
      <c r="J540" s="7"/>
      <c r="K540" s="1" t="s">
        <v>135</v>
      </c>
      <c r="L540" s="1" t="s">
        <v>713</v>
      </c>
    </row>
    <row r="541" spans="1:12" ht="21" customHeight="1">
      <c r="A541" s="5">
        <v>46279</v>
      </c>
      <c r="B541" s="7">
        <v>1.3</v>
      </c>
      <c r="C541" s="7">
        <v>74022.3</v>
      </c>
      <c r="D541" s="7">
        <v>1.5</v>
      </c>
      <c r="E541" s="7">
        <v>1</v>
      </c>
      <c r="F541" s="7">
        <v>1.58</v>
      </c>
      <c r="G541" s="7">
        <v>0.69</v>
      </c>
      <c r="H541" s="7">
        <v>0</v>
      </c>
      <c r="I541" s="7">
        <v>0</v>
      </c>
      <c r="J541" s="7"/>
      <c r="K541" s="1" t="s">
        <v>135</v>
      </c>
      <c r="L541" s="1" t="s">
        <v>714</v>
      </c>
    </row>
    <row r="542" spans="1:12" ht="21" customHeight="1">
      <c r="A542" s="5">
        <v>46280</v>
      </c>
      <c r="B542" s="7">
        <v>1.8</v>
      </c>
      <c r="C542" s="7">
        <v>192004.59</v>
      </c>
      <c r="D542" s="7">
        <v>1</v>
      </c>
      <c r="E542" s="7">
        <v>2.6</v>
      </c>
      <c r="F542" s="7">
        <v>2</v>
      </c>
      <c r="G542" s="7">
        <v>1</v>
      </c>
      <c r="H542" s="7">
        <v>0</v>
      </c>
      <c r="I542" s="7">
        <v>0</v>
      </c>
      <c r="J542" s="7"/>
      <c r="K542" s="1" t="s">
        <v>135</v>
      </c>
      <c r="L542" s="1" t="s">
        <v>715</v>
      </c>
    </row>
    <row r="543" spans="1:12" ht="21" customHeight="1">
      <c r="A543" s="5">
        <v>46281</v>
      </c>
      <c r="B543" s="7">
        <v>1.62</v>
      </c>
      <c r="C543" s="7">
        <v>59280.800000000003</v>
      </c>
      <c r="D543" s="7">
        <v>2.6</v>
      </c>
      <c r="E543" s="7">
        <v>11.5</v>
      </c>
      <c r="F543" s="7">
        <v>2.6</v>
      </c>
      <c r="G543" s="7">
        <v>1.1100000000000001</v>
      </c>
      <c r="H543" s="7">
        <v>0</v>
      </c>
      <c r="I543" s="7">
        <v>0</v>
      </c>
      <c r="J543" s="7"/>
      <c r="K543" s="1" t="s">
        <v>135</v>
      </c>
      <c r="L543" s="1" t="s">
        <v>716</v>
      </c>
    </row>
    <row r="544" spans="1:12" ht="21" customHeight="1">
      <c r="A544" s="5">
        <v>46255</v>
      </c>
      <c r="B544" s="7">
        <v>7.23</v>
      </c>
      <c r="C544" s="7">
        <v>375929.09</v>
      </c>
      <c r="D544" s="7">
        <v>11.5</v>
      </c>
      <c r="E544" s="7">
        <v>5</v>
      </c>
      <c r="F544" s="7">
        <v>15</v>
      </c>
      <c r="G544" s="7">
        <v>6.3</v>
      </c>
      <c r="H544" s="7">
        <v>0</v>
      </c>
      <c r="I544" s="7">
        <v>0</v>
      </c>
      <c r="J544" s="7"/>
      <c r="K544" s="1" t="s">
        <v>131</v>
      </c>
      <c r="L544" s="1" t="s">
        <v>717</v>
      </c>
    </row>
    <row r="545" spans="1:12" ht="21" customHeight="1">
      <c r="A545" s="5">
        <v>46258</v>
      </c>
      <c r="B545" s="7">
        <v>6</v>
      </c>
      <c r="C545" s="7">
        <v>373208.19</v>
      </c>
      <c r="D545" s="7">
        <v>5</v>
      </c>
      <c r="E545" s="7">
        <v>8</v>
      </c>
      <c r="F545" s="7">
        <v>7</v>
      </c>
      <c r="G545" s="7">
        <v>5</v>
      </c>
      <c r="H545" s="7">
        <v>0</v>
      </c>
      <c r="I545" s="7">
        <v>0</v>
      </c>
      <c r="J545" s="7"/>
      <c r="K545" s="1" t="s">
        <v>131</v>
      </c>
      <c r="L545" s="1" t="s">
        <v>718</v>
      </c>
    </row>
    <row r="546" spans="1:12" ht="21" customHeight="1">
      <c r="A546" s="5">
        <v>46259</v>
      </c>
      <c r="B546" s="7">
        <v>4.7</v>
      </c>
      <c r="C546" s="7">
        <v>271898.59000000003</v>
      </c>
      <c r="D546" s="7">
        <v>8</v>
      </c>
      <c r="E546" s="7">
        <v>3.82</v>
      </c>
      <c r="F546" s="7">
        <v>8</v>
      </c>
      <c r="G546" s="7">
        <v>4.5</v>
      </c>
      <c r="H546" s="7">
        <v>0</v>
      </c>
      <c r="I546" s="7">
        <v>0</v>
      </c>
      <c r="J546" s="7"/>
      <c r="K546" s="1" t="s">
        <v>131</v>
      </c>
      <c r="L546" s="1" t="s">
        <v>719</v>
      </c>
    </row>
    <row r="547" spans="1:12" ht="21" customHeight="1">
      <c r="A547" s="5">
        <v>46260</v>
      </c>
      <c r="B547" s="7">
        <v>4.0999999999999996</v>
      </c>
      <c r="C547" s="7">
        <v>116677</v>
      </c>
      <c r="D547" s="7">
        <v>3.82</v>
      </c>
      <c r="E547" s="7">
        <v>3.81</v>
      </c>
      <c r="F547" s="7">
        <v>5</v>
      </c>
      <c r="G547" s="7">
        <v>3.8</v>
      </c>
      <c r="H547" s="7">
        <v>0</v>
      </c>
      <c r="I547" s="7">
        <v>0</v>
      </c>
      <c r="J547" s="7"/>
      <c r="K547" s="1" t="s">
        <v>131</v>
      </c>
      <c r="L547" s="1" t="s">
        <v>720</v>
      </c>
    </row>
    <row r="548" spans="1:12" ht="21" customHeight="1">
      <c r="A548" s="5">
        <v>46261</v>
      </c>
      <c r="B548" s="7">
        <v>5.67</v>
      </c>
      <c r="C548" s="7">
        <v>317883</v>
      </c>
      <c r="D548" s="7">
        <v>3.81</v>
      </c>
      <c r="E548" s="7">
        <v>5.2</v>
      </c>
      <c r="F548" s="7">
        <v>6.35</v>
      </c>
      <c r="G548" s="7">
        <v>3.81</v>
      </c>
      <c r="H548" s="7">
        <v>0</v>
      </c>
      <c r="I548" s="7">
        <v>0</v>
      </c>
      <c r="J548" s="7"/>
      <c r="K548" s="1" t="s">
        <v>131</v>
      </c>
      <c r="L548" s="1" t="s">
        <v>721</v>
      </c>
    </row>
    <row r="549" spans="1:12" ht="21" customHeight="1">
      <c r="A549" s="5">
        <v>46262</v>
      </c>
      <c r="B549" s="7">
        <v>4.38</v>
      </c>
      <c r="C549" s="7">
        <v>1045957.69</v>
      </c>
      <c r="D549" s="7">
        <v>5.2</v>
      </c>
      <c r="E549" s="7">
        <v>5</v>
      </c>
      <c r="F549" s="7">
        <v>8.9499999999999993</v>
      </c>
      <c r="G549" s="7">
        <v>3.19</v>
      </c>
      <c r="H549" s="7">
        <v>0</v>
      </c>
      <c r="I549" s="7">
        <v>0</v>
      </c>
      <c r="J549" s="7"/>
      <c r="K549" s="1" t="s">
        <v>131</v>
      </c>
      <c r="L549" s="1" t="s">
        <v>722</v>
      </c>
    </row>
    <row r="550" spans="1:12" ht="21" customHeight="1">
      <c r="A550" s="5">
        <v>46265</v>
      </c>
      <c r="B550" s="7">
        <v>2.54</v>
      </c>
      <c r="C550" s="7">
        <v>443499.31</v>
      </c>
      <c r="D550" s="7">
        <v>5</v>
      </c>
      <c r="E550" s="7">
        <v>3.2</v>
      </c>
      <c r="F550" s="7">
        <v>5</v>
      </c>
      <c r="G550" s="7">
        <v>1</v>
      </c>
      <c r="H550" s="7">
        <v>0</v>
      </c>
      <c r="I550" s="7">
        <v>0</v>
      </c>
      <c r="J550" s="7"/>
      <c r="K550" s="1" t="s">
        <v>131</v>
      </c>
      <c r="L550" s="1" t="s">
        <v>723</v>
      </c>
    </row>
    <row r="551" spans="1:12" ht="21" customHeight="1">
      <c r="A551" s="5">
        <v>46266</v>
      </c>
      <c r="B551" s="7">
        <v>2.89</v>
      </c>
      <c r="C551" s="7">
        <v>86461.4</v>
      </c>
      <c r="D551" s="7">
        <v>3.2</v>
      </c>
      <c r="E551" s="7">
        <v>3.2</v>
      </c>
      <c r="F551" s="7">
        <v>3.7</v>
      </c>
      <c r="G551" s="7">
        <v>1.91</v>
      </c>
      <c r="H551" s="7">
        <v>0</v>
      </c>
      <c r="I551" s="7">
        <v>0</v>
      </c>
      <c r="J551" s="7"/>
      <c r="K551" s="1" t="s">
        <v>131</v>
      </c>
      <c r="L551" s="1" t="s">
        <v>724</v>
      </c>
    </row>
    <row r="552" spans="1:12" ht="21" customHeight="1">
      <c r="A552" s="5">
        <v>46267</v>
      </c>
      <c r="B552" s="7">
        <v>1.74</v>
      </c>
      <c r="C552" s="7">
        <v>180760.3</v>
      </c>
      <c r="D552" s="7">
        <v>3.2</v>
      </c>
      <c r="E552" s="7">
        <v>0.87</v>
      </c>
      <c r="F552" s="7">
        <v>3.2</v>
      </c>
      <c r="G552" s="7">
        <v>1.7</v>
      </c>
      <c r="H552" s="7">
        <v>0</v>
      </c>
      <c r="I552" s="7">
        <v>0</v>
      </c>
      <c r="J552" s="7"/>
      <c r="K552" s="1" t="s">
        <v>131</v>
      </c>
      <c r="L552" s="1" t="s">
        <v>725</v>
      </c>
    </row>
    <row r="553" spans="1:12" ht="21" customHeight="1">
      <c r="A553" s="5">
        <v>46268</v>
      </c>
      <c r="B553" s="7">
        <v>2.2000000000000002</v>
      </c>
      <c r="C553" s="7">
        <v>134082.5</v>
      </c>
      <c r="D553" s="7">
        <v>0.87</v>
      </c>
      <c r="E553" s="7">
        <v>2.5</v>
      </c>
      <c r="F553" s="7">
        <v>2.8</v>
      </c>
      <c r="G553" s="7">
        <v>0.44</v>
      </c>
      <c r="H553" s="7">
        <v>0</v>
      </c>
      <c r="I553" s="7">
        <v>0</v>
      </c>
      <c r="J553" s="7"/>
      <c r="K553" s="1" t="s">
        <v>131</v>
      </c>
      <c r="L553" s="1" t="s">
        <v>726</v>
      </c>
    </row>
    <row r="554" spans="1:12" ht="21" customHeight="1">
      <c r="A554" s="5">
        <v>46269</v>
      </c>
      <c r="B554" s="7">
        <v>1.8</v>
      </c>
      <c r="C554" s="7">
        <v>87745.5</v>
      </c>
      <c r="D554" s="7">
        <v>2.5</v>
      </c>
      <c r="E554" s="7">
        <v>2.8</v>
      </c>
      <c r="F554" s="7">
        <v>2.9</v>
      </c>
      <c r="G554" s="7">
        <v>1.55</v>
      </c>
      <c r="H554" s="7">
        <v>0</v>
      </c>
      <c r="I554" s="7">
        <v>0</v>
      </c>
      <c r="J554" s="7"/>
      <c r="K554" s="1" t="s">
        <v>131</v>
      </c>
      <c r="L554" s="1" t="s">
        <v>727</v>
      </c>
    </row>
    <row r="555" spans="1:12" ht="21" customHeight="1">
      <c r="A555" s="5">
        <v>46272</v>
      </c>
      <c r="B555" s="7">
        <v>1.85</v>
      </c>
      <c r="C555" s="7">
        <v>40848.1</v>
      </c>
      <c r="D555" s="7">
        <v>2.8</v>
      </c>
      <c r="E555" s="7">
        <v>1</v>
      </c>
      <c r="F555" s="7">
        <v>2.8</v>
      </c>
      <c r="G555" s="7">
        <v>1.51</v>
      </c>
      <c r="H555" s="7">
        <v>0</v>
      </c>
      <c r="I555" s="7">
        <v>0</v>
      </c>
      <c r="J555" s="7"/>
      <c r="K555" s="1" t="s">
        <v>131</v>
      </c>
      <c r="L555" s="1" t="s">
        <v>728</v>
      </c>
    </row>
    <row r="556" spans="1:12" ht="21" customHeight="1">
      <c r="A556" s="5">
        <v>46273</v>
      </c>
      <c r="B556" s="7">
        <v>1.68</v>
      </c>
      <c r="C556" s="7">
        <v>117623.5</v>
      </c>
      <c r="D556" s="7">
        <v>1</v>
      </c>
      <c r="E556" s="7">
        <v>2.0099999999999998</v>
      </c>
      <c r="F556" s="7">
        <v>2.5</v>
      </c>
      <c r="G556" s="7">
        <v>1</v>
      </c>
      <c r="H556" s="7">
        <v>0</v>
      </c>
      <c r="I556" s="7">
        <v>0</v>
      </c>
      <c r="J556" s="7"/>
      <c r="K556" s="1" t="s">
        <v>131</v>
      </c>
      <c r="L556" s="1" t="s">
        <v>729</v>
      </c>
    </row>
    <row r="557" spans="1:12" ht="21" customHeight="1">
      <c r="A557" s="5">
        <v>46274</v>
      </c>
      <c r="B557" s="7">
        <v>1.39</v>
      </c>
      <c r="C557" s="7">
        <v>165984.70000000001</v>
      </c>
      <c r="D557" s="7">
        <v>2.0099999999999998</v>
      </c>
      <c r="E557" s="7">
        <v>1.7</v>
      </c>
      <c r="F557" s="7">
        <v>2.06</v>
      </c>
      <c r="G557" s="7">
        <v>1.2</v>
      </c>
      <c r="H557" s="7">
        <v>0</v>
      </c>
      <c r="I557" s="7">
        <v>0</v>
      </c>
      <c r="J557" s="7"/>
      <c r="K557" s="1" t="s">
        <v>131</v>
      </c>
      <c r="L557" s="1" t="s">
        <v>730</v>
      </c>
    </row>
    <row r="558" spans="1:12" ht="21" customHeight="1">
      <c r="A558" s="5">
        <v>46275</v>
      </c>
      <c r="B558" s="7">
        <v>1.29</v>
      </c>
      <c r="C558" s="7">
        <v>152137.59</v>
      </c>
      <c r="D558" s="7">
        <v>1.7</v>
      </c>
      <c r="E558" s="7">
        <v>1.89</v>
      </c>
      <c r="F558" s="7">
        <v>1.7</v>
      </c>
      <c r="G558" s="7">
        <v>1</v>
      </c>
      <c r="H558" s="7">
        <v>0</v>
      </c>
      <c r="I558" s="7">
        <v>0</v>
      </c>
      <c r="J558" s="7"/>
      <c r="K558" s="1" t="s">
        <v>131</v>
      </c>
      <c r="L558" s="1" t="s">
        <v>731</v>
      </c>
    </row>
    <row r="559" spans="1:12" ht="21" customHeight="1">
      <c r="A559" s="5">
        <v>46276</v>
      </c>
      <c r="B559" s="7">
        <v>1.24</v>
      </c>
      <c r="C559" s="7">
        <v>116816.3</v>
      </c>
      <c r="D559" s="7">
        <v>1.89</v>
      </c>
      <c r="E559" s="7">
        <v>1.69</v>
      </c>
      <c r="F559" s="7">
        <v>1.89</v>
      </c>
      <c r="G559" s="7">
        <v>1.01</v>
      </c>
      <c r="H559" s="7">
        <v>0</v>
      </c>
      <c r="I559" s="7">
        <v>0</v>
      </c>
      <c r="J559" s="7"/>
      <c r="K559" s="1" t="s">
        <v>131</v>
      </c>
      <c r="L559" s="1" t="s">
        <v>732</v>
      </c>
    </row>
    <row r="560" spans="1:12" ht="21" customHeight="1">
      <c r="A560" s="5">
        <v>46279</v>
      </c>
      <c r="B560" s="7">
        <v>1.61</v>
      </c>
      <c r="C560" s="7">
        <v>97580.9</v>
      </c>
      <c r="D560" s="7">
        <v>1.69</v>
      </c>
      <c r="E560" s="7">
        <v>1.5</v>
      </c>
      <c r="F560" s="7">
        <v>1.8</v>
      </c>
      <c r="G560" s="7">
        <v>1.03</v>
      </c>
      <c r="H560" s="7">
        <v>0</v>
      </c>
      <c r="I560" s="7">
        <v>0</v>
      </c>
      <c r="J560" s="7"/>
      <c r="K560" s="1" t="s">
        <v>131</v>
      </c>
      <c r="L560" s="1" t="s">
        <v>733</v>
      </c>
    </row>
    <row r="561" spans="1:12" ht="21" customHeight="1">
      <c r="A561" s="5">
        <v>46280</v>
      </c>
      <c r="B561" s="7">
        <v>2.64</v>
      </c>
      <c r="C561" s="7">
        <v>235711.3</v>
      </c>
      <c r="D561" s="7">
        <v>1.5</v>
      </c>
      <c r="E561" s="7">
        <v>2.9</v>
      </c>
      <c r="F561" s="7">
        <v>3.7</v>
      </c>
      <c r="G561" s="7">
        <v>1.5</v>
      </c>
      <c r="H561" s="7">
        <v>0</v>
      </c>
      <c r="I561" s="7">
        <v>0</v>
      </c>
      <c r="J561" s="7"/>
      <c r="K561" s="1" t="s">
        <v>131</v>
      </c>
      <c r="L561" s="1" t="s">
        <v>734</v>
      </c>
    </row>
    <row r="562" spans="1:12" ht="21" customHeight="1">
      <c r="A562" s="5">
        <v>46281</v>
      </c>
      <c r="B562" s="7">
        <v>1.93</v>
      </c>
      <c r="C562" s="7">
        <v>271169.31</v>
      </c>
      <c r="D562" s="7">
        <v>2.9</v>
      </c>
      <c r="E562" s="7">
        <v>19</v>
      </c>
      <c r="F562" s="7">
        <v>2.9</v>
      </c>
      <c r="G562" s="7">
        <v>1.75</v>
      </c>
      <c r="H562" s="7">
        <v>0</v>
      </c>
      <c r="I562" s="7">
        <v>0</v>
      </c>
      <c r="J562" s="7"/>
      <c r="K562" s="1" t="s">
        <v>131</v>
      </c>
      <c r="L562" s="1" t="s">
        <v>735</v>
      </c>
    </row>
    <row r="563" spans="1:12" ht="21" customHeight="1">
      <c r="A563" s="5">
        <v>46255</v>
      </c>
      <c r="B563" s="7">
        <v>17.89</v>
      </c>
      <c r="C563" s="7">
        <v>680300</v>
      </c>
      <c r="D563" s="7">
        <v>19</v>
      </c>
      <c r="E563" s="7">
        <v>10</v>
      </c>
      <c r="F563" s="7">
        <v>19</v>
      </c>
      <c r="G563" s="7">
        <v>13</v>
      </c>
      <c r="H563" s="7">
        <v>0</v>
      </c>
      <c r="I563" s="7">
        <v>0</v>
      </c>
      <c r="J563" s="7"/>
      <c r="K563" s="1" t="s">
        <v>126</v>
      </c>
      <c r="L563" s="1" t="s">
        <v>736</v>
      </c>
    </row>
    <row r="564" spans="1:12" ht="21" customHeight="1">
      <c r="A564" s="5">
        <v>46258</v>
      </c>
      <c r="B564" s="7">
        <v>11.17</v>
      </c>
      <c r="C564" s="7">
        <v>983325.12</v>
      </c>
      <c r="D564" s="7">
        <v>10</v>
      </c>
      <c r="E564" s="7">
        <v>12.6</v>
      </c>
      <c r="F564" s="7">
        <v>12.9</v>
      </c>
      <c r="G564" s="7">
        <v>10</v>
      </c>
      <c r="H564" s="7">
        <v>0</v>
      </c>
      <c r="I564" s="7">
        <v>0</v>
      </c>
      <c r="J564" s="7"/>
      <c r="K564" s="1" t="s">
        <v>126</v>
      </c>
      <c r="L564" s="1" t="s">
        <v>737</v>
      </c>
    </row>
    <row r="565" spans="1:12" ht="21" customHeight="1">
      <c r="A565" s="5">
        <v>46259</v>
      </c>
      <c r="B565" s="7">
        <v>7.17</v>
      </c>
      <c r="C565" s="7">
        <v>1546788.5</v>
      </c>
      <c r="D565" s="7">
        <v>12.6</v>
      </c>
      <c r="E565" s="7">
        <v>10</v>
      </c>
      <c r="F565" s="7">
        <v>12.95</v>
      </c>
      <c r="G565" s="7">
        <v>7</v>
      </c>
      <c r="H565" s="7">
        <v>0</v>
      </c>
      <c r="I565" s="7">
        <v>0</v>
      </c>
      <c r="J565" s="7"/>
      <c r="K565" s="1" t="s">
        <v>126</v>
      </c>
      <c r="L565" s="1" t="s">
        <v>738</v>
      </c>
    </row>
    <row r="566" spans="1:12" ht="21" customHeight="1">
      <c r="A566" s="5">
        <v>46260</v>
      </c>
      <c r="B566" s="7">
        <v>6.06</v>
      </c>
      <c r="C566" s="7">
        <v>731671.81</v>
      </c>
      <c r="D566" s="7">
        <v>10</v>
      </c>
      <c r="E566" s="7">
        <v>7</v>
      </c>
      <c r="F566" s="7">
        <v>10</v>
      </c>
      <c r="G566" s="7">
        <v>5.2</v>
      </c>
      <c r="H566" s="7">
        <v>0</v>
      </c>
      <c r="I566" s="7">
        <v>0</v>
      </c>
      <c r="J566" s="7"/>
      <c r="K566" s="1" t="s">
        <v>126</v>
      </c>
      <c r="L566" s="1" t="s">
        <v>739</v>
      </c>
    </row>
    <row r="567" spans="1:12" ht="21" customHeight="1">
      <c r="A567" s="5">
        <v>46261</v>
      </c>
      <c r="B567" s="7">
        <v>7.94</v>
      </c>
      <c r="C567" s="7">
        <v>7357288.5</v>
      </c>
      <c r="D567" s="7">
        <v>7</v>
      </c>
      <c r="E567" s="7">
        <v>9.9</v>
      </c>
      <c r="F567" s="7">
        <v>10</v>
      </c>
      <c r="G567" s="7">
        <v>5</v>
      </c>
      <c r="H567" s="7">
        <v>0</v>
      </c>
      <c r="I567" s="7">
        <v>0</v>
      </c>
      <c r="J567" s="7"/>
      <c r="K567" s="1" t="s">
        <v>126</v>
      </c>
      <c r="L567" s="1" t="s">
        <v>740</v>
      </c>
    </row>
    <row r="568" spans="1:12" ht="21" customHeight="1">
      <c r="A568" s="5">
        <v>46262</v>
      </c>
      <c r="B568" s="7">
        <v>6.09</v>
      </c>
      <c r="C568" s="7">
        <v>9428242</v>
      </c>
      <c r="D568" s="7">
        <v>9.9</v>
      </c>
      <c r="E568" s="7">
        <v>6.98</v>
      </c>
      <c r="F568" s="7">
        <v>12.04</v>
      </c>
      <c r="G568" s="7">
        <v>5</v>
      </c>
      <c r="H568" s="7">
        <v>0</v>
      </c>
      <c r="I568" s="7">
        <v>0</v>
      </c>
      <c r="J568" s="7"/>
      <c r="K568" s="1" t="s">
        <v>126</v>
      </c>
      <c r="L568" s="1" t="s">
        <v>741</v>
      </c>
    </row>
    <row r="569" spans="1:12" ht="21" customHeight="1">
      <c r="A569" s="5">
        <v>46265</v>
      </c>
      <c r="B569" s="7">
        <v>4.26</v>
      </c>
      <c r="C569" s="7">
        <v>932553.5</v>
      </c>
      <c r="D569" s="7">
        <v>6.98</v>
      </c>
      <c r="E569" s="7">
        <v>5</v>
      </c>
      <c r="F569" s="7">
        <v>6.99</v>
      </c>
      <c r="G569" s="7">
        <v>3.5</v>
      </c>
      <c r="H569" s="7">
        <v>0</v>
      </c>
      <c r="I569" s="7">
        <v>0</v>
      </c>
      <c r="J569" s="7"/>
      <c r="K569" s="1" t="s">
        <v>126</v>
      </c>
      <c r="L569" s="1" t="s">
        <v>742</v>
      </c>
    </row>
    <row r="570" spans="1:12" ht="21" customHeight="1">
      <c r="A570" s="5">
        <v>46266</v>
      </c>
      <c r="B570" s="7">
        <v>3.51</v>
      </c>
      <c r="C570" s="7">
        <v>266406.90999999997</v>
      </c>
      <c r="D570" s="7">
        <v>5</v>
      </c>
      <c r="E570" s="7">
        <v>4.5</v>
      </c>
      <c r="F570" s="7">
        <v>5</v>
      </c>
      <c r="G570" s="7">
        <v>3.01</v>
      </c>
      <c r="H570" s="7">
        <v>0</v>
      </c>
      <c r="I570" s="7">
        <v>0</v>
      </c>
      <c r="J570" s="7"/>
      <c r="K570" s="1" t="s">
        <v>126</v>
      </c>
      <c r="L570" s="1" t="s">
        <v>743</v>
      </c>
    </row>
    <row r="571" spans="1:12" ht="21" customHeight="1">
      <c r="A571" s="5">
        <v>46267</v>
      </c>
      <c r="B571" s="7">
        <v>2.6</v>
      </c>
      <c r="C571" s="7">
        <v>522273</v>
      </c>
      <c r="D571" s="7">
        <v>4.5</v>
      </c>
      <c r="E571" s="7">
        <v>1.1000000000000001</v>
      </c>
      <c r="F571" s="7">
        <v>4.5</v>
      </c>
      <c r="G571" s="7">
        <v>2.5</v>
      </c>
      <c r="H571" s="7">
        <v>0</v>
      </c>
      <c r="I571" s="7">
        <v>0</v>
      </c>
      <c r="J571" s="7"/>
      <c r="K571" s="1" t="s">
        <v>126</v>
      </c>
      <c r="L571" s="1" t="s">
        <v>744</v>
      </c>
    </row>
    <row r="572" spans="1:12" ht="21" customHeight="1">
      <c r="A572" s="5">
        <v>46268</v>
      </c>
      <c r="B572" s="7">
        <v>2.37</v>
      </c>
      <c r="C572" s="7">
        <v>734486.12</v>
      </c>
      <c r="D572" s="7">
        <v>1.1000000000000001</v>
      </c>
      <c r="E572" s="7">
        <v>1.64</v>
      </c>
      <c r="F572" s="7">
        <v>4</v>
      </c>
      <c r="G572" s="7">
        <v>1.1000000000000001</v>
      </c>
      <c r="H572" s="7">
        <v>0</v>
      </c>
      <c r="I572" s="7">
        <v>0</v>
      </c>
      <c r="J572" s="7"/>
      <c r="K572" s="1" t="s">
        <v>126</v>
      </c>
      <c r="L572" s="1" t="s">
        <v>745</v>
      </c>
    </row>
    <row r="573" spans="1:12" ht="21" customHeight="1">
      <c r="A573" s="5">
        <v>46269</v>
      </c>
      <c r="B573" s="7">
        <v>3.15</v>
      </c>
      <c r="C573" s="7">
        <v>719942</v>
      </c>
      <c r="D573" s="7">
        <v>1.64</v>
      </c>
      <c r="E573" s="7">
        <v>3.75</v>
      </c>
      <c r="F573" s="7">
        <v>3.99</v>
      </c>
      <c r="G573" s="7">
        <v>1.64</v>
      </c>
      <c r="H573" s="7">
        <v>0</v>
      </c>
      <c r="I573" s="7">
        <v>0</v>
      </c>
      <c r="J573" s="7"/>
      <c r="K573" s="1" t="s">
        <v>126</v>
      </c>
      <c r="L573" s="1" t="s">
        <v>746</v>
      </c>
    </row>
    <row r="574" spans="1:12" ht="21" customHeight="1">
      <c r="A574" s="5">
        <v>46272</v>
      </c>
      <c r="B574" s="7">
        <v>2.79</v>
      </c>
      <c r="C574" s="7">
        <v>276486.31</v>
      </c>
      <c r="D574" s="7">
        <v>3.75</v>
      </c>
      <c r="E574" s="7">
        <v>3.5</v>
      </c>
      <c r="F574" s="7">
        <v>3.75</v>
      </c>
      <c r="G574" s="7">
        <v>1.68</v>
      </c>
      <c r="H574" s="7">
        <v>0</v>
      </c>
      <c r="I574" s="7">
        <v>0</v>
      </c>
      <c r="J574" s="7"/>
      <c r="K574" s="1" t="s">
        <v>126</v>
      </c>
      <c r="L574" s="1" t="s">
        <v>747</v>
      </c>
    </row>
    <row r="575" spans="1:12" ht="21" customHeight="1">
      <c r="A575" s="5">
        <v>46273</v>
      </c>
      <c r="B575" s="7">
        <v>2.3199999999999998</v>
      </c>
      <c r="C575" s="7">
        <v>532717.81000000006</v>
      </c>
      <c r="D575" s="7">
        <v>3.5</v>
      </c>
      <c r="E575" s="7">
        <v>2.99</v>
      </c>
      <c r="F575" s="7">
        <v>3.5</v>
      </c>
      <c r="G575" s="7">
        <v>2.13</v>
      </c>
      <c r="H575" s="7">
        <v>0</v>
      </c>
      <c r="I575" s="7">
        <v>0</v>
      </c>
      <c r="J575" s="7"/>
      <c r="K575" s="1" t="s">
        <v>126</v>
      </c>
      <c r="L575" s="1" t="s">
        <v>748</v>
      </c>
    </row>
    <row r="576" spans="1:12" ht="21" customHeight="1">
      <c r="A576" s="5">
        <v>46274</v>
      </c>
      <c r="B576" s="7">
        <v>1.66</v>
      </c>
      <c r="C576" s="7">
        <v>753124.12</v>
      </c>
      <c r="D576" s="7">
        <v>2.99</v>
      </c>
      <c r="E576" s="7">
        <v>1.5</v>
      </c>
      <c r="F576" s="7">
        <v>2.99</v>
      </c>
      <c r="G576" s="7">
        <v>1.55</v>
      </c>
      <c r="H576" s="7">
        <v>0</v>
      </c>
      <c r="I576" s="7">
        <v>0</v>
      </c>
      <c r="J576" s="7"/>
      <c r="K576" s="1" t="s">
        <v>126</v>
      </c>
      <c r="L576" s="1" t="s">
        <v>749</v>
      </c>
    </row>
    <row r="577" spans="1:12" ht="21" customHeight="1">
      <c r="A577" s="5">
        <v>46275</v>
      </c>
      <c r="B577" s="7">
        <v>1.75</v>
      </c>
      <c r="C577" s="7">
        <v>768593.62</v>
      </c>
      <c r="D577" s="7">
        <v>1.5</v>
      </c>
      <c r="E577" s="7">
        <v>1.4</v>
      </c>
      <c r="F577" s="7">
        <v>2.2799999999999998</v>
      </c>
      <c r="G577" s="7">
        <v>1.29</v>
      </c>
      <c r="H577" s="7">
        <v>0</v>
      </c>
      <c r="I577" s="7">
        <v>0</v>
      </c>
      <c r="J577" s="7"/>
      <c r="K577" s="1" t="s">
        <v>126</v>
      </c>
      <c r="L577" s="1" t="s">
        <v>750</v>
      </c>
    </row>
    <row r="578" spans="1:12" ht="21" customHeight="1">
      <c r="A578" s="5">
        <v>46276</v>
      </c>
      <c r="B578" s="7">
        <v>2.15</v>
      </c>
      <c r="C578" s="7">
        <v>765919.88</v>
      </c>
      <c r="D578" s="7">
        <v>1.4</v>
      </c>
      <c r="E578" s="7">
        <v>2.5</v>
      </c>
      <c r="F578" s="7">
        <v>2.5</v>
      </c>
      <c r="G578" s="7">
        <v>1.4</v>
      </c>
      <c r="H578" s="7">
        <v>0</v>
      </c>
      <c r="I578" s="7">
        <v>0</v>
      </c>
      <c r="J578" s="7"/>
      <c r="K578" s="1" t="s">
        <v>126</v>
      </c>
      <c r="L578" s="1" t="s">
        <v>751</v>
      </c>
    </row>
    <row r="579" spans="1:12" ht="21" customHeight="1">
      <c r="A579" s="5">
        <v>46279</v>
      </c>
      <c r="B579" s="7">
        <v>2.5</v>
      </c>
      <c r="C579" s="7">
        <v>627987.81000000006</v>
      </c>
      <c r="D579" s="7">
        <v>2.5</v>
      </c>
      <c r="E579" s="7">
        <v>3.4</v>
      </c>
      <c r="F579" s="7">
        <v>3.75</v>
      </c>
      <c r="G579" s="7">
        <v>2</v>
      </c>
      <c r="H579" s="7">
        <v>0</v>
      </c>
      <c r="I579" s="7">
        <v>0</v>
      </c>
      <c r="J579" s="7"/>
      <c r="K579" s="1" t="s">
        <v>126</v>
      </c>
      <c r="L579" s="1" t="s">
        <v>752</v>
      </c>
    </row>
    <row r="580" spans="1:12" ht="21" customHeight="1">
      <c r="A580" s="5">
        <v>46280</v>
      </c>
      <c r="B580" s="7">
        <v>3.46</v>
      </c>
      <c r="C580" s="7">
        <v>1247591.5</v>
      </c>
      <c r="D580" s="7">
        <v>3.4</v>
      </c>
      <c r="E580" s="7">
        <v>3.48</v>
      </c>
      <c r="F580" s="7">
        <v>4.3499999999999996</v>
      </c>
      <c r="G580" s="7">
        <v>2.42</v>
      </c>
      <c r="H580" s="7">
        <v>0</v>
      </c>
      <c r="I580" s="7">
        <v>0</v>
      </c>
      <c r="J580" s="7"/>
      <c r="K580" s="1" t="s">
        <v>126</v>
      </c>
      <c r="L580" s="1" t="s">
        <v>753</v>
      </c>
    </row>
    <row r="581" spans="1:12" ht="21" customHeight="1">
      <c r="A581" s="5">
        <v>46281</v>
      </c>
      <c r="B581" s="7">
        <v>3.18</v>
      </c>
      <c r="C581" s="7">
        <v>745490.69</v>
      </c>
      <c r="D581" s="7">
        <v>3.48</v>
      </c>
      <c r="E581" s="7">
        <v>21</v>
      </c>
      <c r="F581" s="7">
        <v>3.99</v>
      </c>
      <c r="G581" s="7">
        <v>2</v>
      </c>
      <c r="H581" s="7">
        <v>0</v>
      </c>
      <c r="I581" s="7">
        <v>0</v>
      </c>
      <c r="J581" s="7"/>
      <c r="K581" s="1" t="s">
        <v>126</v>
      </c>
      <c r="L581" s="1" t="s">
        <v>754</v>
      </c>
    </row>
    <row r="582" spans="1:12" ht="21" customHeight="1">
      <c r="A582" s="5">
        <v>46255</v>
      </c>
      <c r="B582" s="7">
        <v>27.41</v>
      </c>
      <c r="C582" s="7">
        <v>2175175.75</v>
      </c>
      <c r="D582" s="7">
        <v>21</v>
      </c>
      <c r="E582" s="7">
        <v>25</v>
      </c>
      <c r="F582" s="7">
        <v>30</v>
      </c>
      <c r="G582" s="7">
        <v>20</v>
      </c>
      <c r="H582" s="7">
        <v>0</v>
      </c>
      <c r="I582" s="7">
        <v>0</v>
      </c>
      <c r="J582" s="7"/>
      <c r="K582" s="1" t="s">
        <v>124</v>
      </c>
      <c r="L582" s="1" t="s">
        <v>755</v>
      </c>
    </row>
    <row r="583" spans="1:12" ht="21" customHeight="1">
      <c r="A583" s="5">
        <v>46258</v>
      </c>
      <c r="B583" s="7">
        <v>16.73</v>
      </c>
      <c r="C583" s="7">
        <v>1567938.62</v>
      </c>
      <c r="D583" s="7">
        <v>25</v>
      </c>
      <c r="E583" s="7">
        <v>15</v>
      </c>
      <c r="F583" s="7">
        <v>25</v>
      </c>
      <c r="G583" s="7">
        <v>16.5</v>
      </c>
      <c r="H583" s="7">
        <v>0</v>
      </c>
      <c r="I583" s="7">
        <v>0</v>
      </c>
      <c r="J583" s="7"/>
      <c r="K583" s="1" t="s">
        <v>124</v>
      </c>
      <c r="L583" s="1" t="s">
        <v>756</v>
      </c>
    </row>
    <row r="584" spans="1:12" ht="21" customHeight="1">
      <c r="A584" s="5">
        <v>46259</v>
      </c>
      <c r="B584" s="7">
        <v>10.52</v>
      </c>
      <c r="C584" s="7">
        <v>1278074.25</v>
      </c>
      <c r="D584" s="7">
        <v>15</v>
      </c>
      <c r="E584" s="7">
        <v>12</v>
      </c>
      <c r="F584" s="7">
        <v>19</v>
      </c>
      <c r="G584" s="7">
        <v>10.01</v>
      </c>
      <c r="H584" s="7">
        <v>0</v>
      </c>
      <c r="I584" s="7">
        <v>0</v>
      </c>
      <c r="J584" s="7"/>
      <c r="K584" s="1" t="s">
        <v>124</v>
      </c>
      <c r="L584" s="1" t="s">
        <v>757</v>
      </c>
    </row>
    <row r="585" spans="1:12" ht="21" customHeight="1">
      <c r="A585" s="5">
        <v>46260</v>
      </c>
      <c r="B585" s="7">
        <v>8.81</v>
      </c>
      <c r="C585" s="7">
        <v>637267.38</v>
      </c>
      <c r="D585" s="7">
        <v>12</v>
      </c>
      <c r="E585" s="7">
        <v>9</v>
      </c>
      <c r="F585" s="7">
        <v>12</v>
      </c>
      <c r="G585" s="7">
        <v>7.11</v>
      </c>
      <c r="H585" s="7">
        <v>0</v>
      </c>
      <c r="I585" s="7">
        <v>0</v>
      </c>
      <c r="J585" s="7"/>
      <c r="K585" s="1" t="s">
        <v>124</v>
      </c>
      <c r="L585" s="1" t="s">
        <v>758</v>
      </c>
    </row>
    <row r="586" spans="1:12" ht="21" customHeight="1">
      <c r="A586" s="5">
        <v>46261</v>
      </c>
      <c r="B586" s="7">
        <v>12.17</v>
      </c>
      <c r="C586" s="7">
        <v>1178529.1200000001</v>
      </c>
      <c r="D586" s="7">
        <v>9</v>
      </c>
      <c r="E586" s="7">
        <v>19</v>
      </c>
      <c r="F586" s="7">
        <v>13</v>
      </c>
      <c r="G586" s="7">
        <v>9</v>
      </c>
      <c r="H586" s="7">
        <v>0</v>
      </c>
      <c r="I586" s="7">
        <v>0</v>
      </c>
      <c r="J586" s="7"/>
      <c r="K586" s="1" t="s">
        <v>124</v>
      </c>
      <c r="L586" s="1" t="s">
        <v>759</v>
      </c>
    </row>
    <row r="587" spans="1:12" ht="21" customHeight="1">
      <c r="A587" s="5">
        <v>46262</v>
      </c>
      <c r="B587" s="7">
        <v>11.53</v>
      </c>
      <c r="C587" s="7">
        <v>2601694</v>
      </c>
      <c r="D587" s="7">
        <v>19</v>
      </c>
      <c r="E587" s="7">
        <v>8.51</v>
      </c>
      <c r="F587" s="7">
        <v>19</v>
      </c>
      <c r="G587" s="7">
        <v>8</v>
      </c>
      <c r="H587" s="7">
        <v>0</v>
      </c>
      <c r="I587" s="7">
        <v>0</v>
      </c>
      <c r="J587" s="7"/>
      <c r="K587" s="1" t="s">
        <v>124</v>
      </c>
      <c r="L587" s="1" t="s">
        <v>760</v>
      </c>
    </row>
    <row r="588" spans="1:12" ht="21" customHeight="1">
      <c r="A588" s="5">
        <v>46265</v>
      </c>
      <c r="B588" s="7">
        <v>7.67</v>
      </c>
      <c r="C588" s="7">
        <v>1655363.75</v>
      </c>
      <c r="D588" s="7">
        <v>8.51</v>
      </c>
      <c r="E588" s="7">
        <v>10.4</v>
      </c>
      <c r="F588" s="7">
        <v>9.98</v>
      </c>
      <c r="G588" s="7">
        <v>6.75</v>
      </c>
      <c r="H588" s="7">
        <v>0</v>
      </c>
      <c r="I588" s="7">
        <v>0</v>
      </c>
      <c r="J588" s="7"/>
      <c r="K588" s="1" t="s">
        <v>124</v>
      </c>
      <c r="L588" s="1" t="s">
        <v>761</v>
      </c>
    </row>
    <row r="589" spans="1:12" ht="21" customHeight="1">
      <c r="A589" s="5">
        <v>46266</v>
      </c>
      <c r="B589" s="7">
        <v>6.67</v>
      </c>
      <c r="C589" s="7">
        <v>1065283.3799999999</v>
      </c>
      <c r="D589" s="7">
        <v>10.4</v>
      </c>
      <c r="E589" s="7">
        <v>8.99</v>
      </c>
      <c r="F589" s="7">
        <v>10.4</v>
      </c>
      <c r="G589" s="7">
        <v>6</v>
      </c>
      <c r="H589" s="7">
        <v>0</v>
      </c>
      <c r="I589" s="7">
        <v>0</v>
      </c>
      <c r="J589" s="7"/>
      <c r="K589" s="1" t="s">
        <v>124</v>
      </c>
      <c r="L589" s="1" t="s">
        <v>762</v>
      </c>
    </row>
    <row r="590" spans="1:12" ht="21" customHeight="1">
      <c r="A590" s="5">
        <v>46267</v>
      </c>
      <c r="B590" s="7">
        <v>4.57</v>
      </c>
      <c r="C590" s="7">
        <v>808803.62</v>
      </c>
      <c r="D590" s="7">
        <v>8.99</v>
      </c>
      <c r="E590" s="7">
        <v>6.3</v>
      </c>
      <c r="F590" s="7">
        <v>8.99</v>
      </c>
      <c r="G590" s="7">
        <v>4.46</v>
      </c>
      <c r="H590" s="7">
        <v>0</v>
      </c>
      <c r="I590" s="7">
        <v>0</v>
      </c>
      <c r="J590" s="7"/>
      <c r="K590" s="1" t="s">
        <v>124</v>
      </c>
      <c r="L590" s="1" t="s">
        <v>763</v>
      </c>
    </row>
    <row r="591" spans="1:12" ht="21" customHeight="1">
      <c r="A591" s="5">
        <v>46268</v>
      </c>
      <c r="B591" s="7">
        <v>4.9800000000000004</v>
      </c>
      <c r="C591" s="7">
        <v>1265817.75</v>
      </c>
      <c r="D591" s="7">
        <v>6.3</v>
      </c>
      <c r="E591" s="7">
        <v>5.95</v>
      </c>
      <c r="F591" s="7">
        <v>7</v>
      </c>
      <c r="G591" s="7">
        <v>4</v>
      </c>
      <c r="H591" s="7">
        <v>0</v>
      </c>
      <c r="I591" s="7">
        <v>0</v>
      </c>
      <c r="J591" s="7"/>
      <c r="K591" s="1" t="s">
        <v>124</v>
      </c>
      <c r="L591" s="1" t="s">
        <v>764</v>
      </c>
    </row>
    <row r="592" spans="1:12" ht="21" customHeight="1">
      <c r="A592" s="5">
        <v>46269</v>
      </c>
      <c r="B592" s="7">
        <v>4.92</v>
      </c>
      <c r="C592" s="7">
        <v>1754041.5</v>
      </c>
      <c r="D592" s="7">
        <v>5.95</v>
      </c>
      <c r="E592" s="7">
        <v>5.62</v>
      </c>
      <c r="F592" s="7">
        <v>6.45</v>
      </c>
      <c r="G592" s="7">
        <v>4.43</v>
      </c>
      <c r="H592" s="7">
        <v>0</v>
      </c>
      <c r="I592" s="7">
        <v>0</v>
      </c>
      <c r="J592" s="7"/>
      <c r="K592" s="1" t="s">
        <v>124</v>
      </c>
      <c r="L592" s="1" t="s">
        <v>765</v>
      </c>
    </row>
    <row r="593" spans="1:12" ht="21" customHeight="1">
      <c r="A593" s="5">
        <v>46272</v>
      </c>
      <c r="B593" s="7">
        <v>4.8</v>
      </c>
      <c r="C593" s="7">
        <v>305952.81</v>
      </c>
      <c r="D593" s="7">
        <v>5.62</v>
      </c>
      <c r="E593" s="7">
        <v>4.2</v>
      </c>
      <c r="F593" s="7">
        <v>5.62</v>
      </c>
      <c r="G593" s="7">
        <v>4</v>
      </c>
      <c r="H593" s="7">
        <v>0</v>
      </c>
      <c r="I593" s="7">
        <v>0</v>
      </c>
      <c r="J593" s="7"/>
      <c r="K593" s="1" t="s">
        <v>124</v>
      </c>
      <c r="L593" s="1" t="s">
        <v>766</v>
      </c>
    </row>
    <row r="594" spans="1:12" ht="21" customHeight="1">
      <c r="A594" s="5">
        <v>46273</v>
      </c>
      <c r="B594" s="7">
        <v>4</v>
      </c>
      <c r="C594" s="7">
        <v>1499138.75</v>
      </c>
      <c r="D594" s="7">
        <v>4.2</v>
      </c>
      <c r="E594" s="7">
        <v>4.51</v>
      </c>
      <c r="F594" s="7">
        <v>5.6</v>
      </c>
      <c r="G594" s="7">
        <v>3.1</v>
      </c>
      <c r="H594" s="7">
        <v>0</v>
      </c>
      <c r="I594" s="7">
        <v>0</v>
      </c>
      <c r="J594" s="7"/>
      <c r="K594" s="1" t="s">
        <v>124</v>
      </c>
      <c r="L594" s="1" t="s">
        <v>767</v>
      </c>
    </row>
    <row r="595" spans="1:12" ht="21" customHeight="1">
      <c r="A595" s="5">
        <v>46274</v>
      </c>
      <c r="B595" s="7">
        <v>2.85</v>
      </c>
      <c r="C595" s="7">
        <v>820221.69</v>
      </c>
      <c r="D595" s="7">
        <v>4.51</v>
      </c>
      <c r="E595" s="7">
        <v>3</v>
      </c>
      <c r="F595" s="7">
        <v>5</v>
      </c>
      <c r="G595" s="7">
        <v>2</v>
      </c>
      <c r="H595" s="7">
        <v>0</v>
      </c>
      <c r="I595" s="7">
        <v>0</v>
      </c>
      <c r="J595" s="7"/>
      <c r="K595" s="1" t="s">
        <v>124</v>
      </c>
      <c r="L595" s="1" t="s">
        <v>768</v>
      </c>
    </row>
    <row r="596" spans="1:12" ht="21" customHeight="1">
      <c r="A596" s="5">
        <v>46275</v>
      </c>
      <c r="B596" s="7">
        <v>2.66</v>
      </c>
      <c r="C596" s="7">
        <v>521320.19</v>
      </c>
      <c r="D596" s="7">
        <v>3</v>
      </c>
      <c r="E596" s="7">
        <v>3.99</v>
      </c>
      <c r="F596" s="7">
        <v>4.32</v>
      </c>
      <c r="G596" s="7">
        <v>2.2000000000000002</v>
      </c>
      <c r="H596" s="7">
        <v>0</v>
      </c>
      <c r="I596" s="7">
        <v>0</v>
      </c>
      <c r="J596" s="7"/>
      <c r="K596" s="1" t="s">
        <v>124</v>
      </c>
      <c r="L596" s="1" t="s">
        <v>769</v>
      </c>
    </row>
    <row r="597" spans="1:12" ht="21" customHeight="1">
      <c r="A597" s="5">
        <v>46276</v>
      </c>
      <c r="B597" s="7">
        <v>3.1</v>
      </c>
      <c r="C597" s="7">
        <v>988455.12</v>
      </c>
      <c r="D597" s="7">
        <v>3.99</v>
      </c>
      <c r="E597" s="7">
        <v>3.7</v>
      </c>
      <c r="F597" s="7">
        <v>3.99</v>
      </c>
      <c r="G597" s="7">
        <v>2.0299999999999998</v>
      </c>
      <c r="H597" s="7">
        <v>0</v>
      </c>
      <c r="I597" s="7">
        <v>0</v>
      </c>
      <c r="J597" s="7"/>
      <c r="K597" s="1" t="s">
        <v>124</v>
      </c>
      <c r="L597" s="1" t="s">
        <v>770</v>
      </c>
    </row>
    <row r="598" spans="1:12" ht="21" customHeight="1">
      <c r="A598" s="5">
        <v>46279</v>
      </c>
      <c r="B598" s="7">
        <v>4.05</v>
      </c>
      <c r="C598" s="7">
        <v>1428637.25</v>
      </c>
      <c r="D598" s="7">
        <v>3.7</v>
      </c>
      <c r="E598" s="7">
        <v>4.55</v>
      </c>
      <c r="F598" s="7">
        <v>4.2</v>
      </c>
      <c r="G598" s="7">
        <v>3</v>
      </c>
      <c r="H598" s="7">
        <v>0</v>
      </c>
      <c r="I598" s="7">
        <v>0</v>
      </c>
      <c r="J598" s="7"/>
      <c r="K598" s="1" t="s">
        <v>124</v>
      </c>
      <c r="L598" s="1" t="s">
        <v>771</v>
      </c>
    </row>
    <row r="599" spans="1:12" ht="21" customHeight="1">
      <c r="A599" s="5">
        <v>46280</v>
      </c>
      <c r="B599" s="7">
        <v>5.46</v>
      </c>
      <c r="C599" s="7">
        <v>812441.62</v>
      </c>
      <c r="D599" s="7">
        <v>4.55</v>
      </c>
      <c r="E599" s="7">
        <v>5.7</v>
      </c>
      <c r="F599" s="7">
        <v>6.64</v>
      </c>
      <c r="G599" s="7">
        <v>3.7</v>
      </c>
      <c r="H599" s="7">
        <v>0</v>
      </c>
      <c r="I599" s="7">
        <v>0</v>
      </c>
      <c r="J599" s="7"/>
      <c r="K599" s="1" t="s">
        <v>124</v>
      </c>
      <c r="L599" s="1" t="s">
        <v>772</v>
      </c>
    </row>
    <row r="600" spans="1:12" ht="21" customHeight="1">
      <c r="A600" s="5">
        <v>46281</v>
      </c>
      <c r="B600" s="7">
        <v>6.01</v>
      </c>
      <c r="C600" s="7">
        <v>533764.68999999994</v>
      </c>
      <c r="D600" s="7">
        <v>5.7</v>
      </c>
      <c r="E600" s="7">
        <v>30</v>
      </c>
      <c r="F600" s="7">
        <v>7.7</v>
      </c>
      <c r="G600" s="7">
        <v>3.59</v>
      </c>
      <c r="H600" s="7">
        <v>0</v>
      </c>
      <c r="I600" s="7">
        <v>0</v>
      </c>
      <c r="J600" s="7"/>
      <c r="K600" s="1" t="s">
        <v>124</v>
      </c>
      <c r="L600" s="1" t="s">
        <v>773</v>
      </c>
    </row>
    <row r="601" spans="1:12" ht="21" customHeight="1">
      <c r="A601" s="5">
        <v>46255</v>
      </c>
      <c r="B601" s="7">
        <v>39.81</v>
      </c>
      <c r="C601" s="7">
        <v>1855666.25</v>
      </c>
      <c r="D601" s="7">
        <v>30</v>
      </c>
      <c r="E601" s="7">
        <v>37.01</v>
      </c>
      <c r="F601" s="7">
        <v>60</v>
      </c>
      <c r="G601" s="7">
        <v>28</v>
      </c>
      <c r="H601" s="7">
        <v>0</v>
      </c>
      <c r="I601" s="7">
        <v>0</v>
      </c>
      <c r="J601" s="7"/>
      <c r="K601" s="1" t="s">
        <v>120</v>
      </c>
      <c r="L601" s="1" t="s">
        <v>774</v>
      </c>
    </row>
    <row r="602" spans="1:12" ht="21" customHeight="1">
      <c r="A602" s="5">
        <v>46258</v>
      </c>
      <c r="B602" s="7">
        <v>26.64</v>
      </c>
      <c r="C602" s="7">
        <v>4312769</v>
      </c>
      <c r="D602" s="7">
        <v>37.01</v>
      </c>
      <c r="E602" s="7">
        <v>40</v>
      </c>
      <c r="F602" s="7">
        <v>47</v>
      </c>
      <c r="G602" s="7">
        <v>22.1</v>
      </c>
      <c r="H602" s="7">
        <v>0</v>
      </c>
      <c r="I602" s="7">
        <v>0</v>
      </c>
      <c r="J602" s="7"/>
      <c r="K602" s="1" t="s">
        <v>120</v>
      </c>
      <c r="L602" s="1" t="s">
        <v>775</v>
      </c>
    </row>
    <row r="603" spans="1:12" ht="21" customHeight="1">
      <c r="A603" s="5">
        <v>46259</v>
      </c>
      <c r="B603" s="7">
        <v>15.88</v>
      </c>
      <c r="C603" s="7">
        <v>2358763.25</v>
      </c>
      <c r="D603" s="7">
        <v>40</v>
      </c>
      <c r="E603" s="7">
        <v>16.329999999999998</v>
      </c>
      <c r="F603" s="7">
        <v>40</v>
      </c>
      <c r="G603" s="7">
        <v>15</v>
      </c>
      <c r="H603" s="7">
        <v>0</v>
      </c>
      <c r="I603" s="7">
        <v>0</v>
      </c>
      <c r="J603" s="7"/>
      <c r="K603" s="1" t="s">
        <v>120</v>
      </c>
      <c r="L603" s="1" t="s">
        <v>776</v>
      </c>
    </row>
    <row r="604" spans="1:12" ht="21" customHeight="1">
      <c r="A604" s="5">
        <v>46260</v>
      </c>
      <c r="B604" s="7">
        <v>13.97</v>
      </c>
      <c r="C604" s="7">
        <v>1705388.38</v>
      </c>
      <c r="D604" s="7">
        <v>16.329999999999998</v>
      </c>
      <c r="E604" s="7">
        <v>13</v>
      </c>
      <c r="F604" s="7">
        <v>21</v>
      </c>
      <c r="G604" s="7">
        <v>13</v>
      </c>
      <c r="H604" s="7">
        <v>0</v>
      </c>
      <c r="I604" s="7">
        <v>0</v>
      </c>
      <c r="J604" s="7"/>
      <c r="K604" s="1" t="s">
        <v>120</v>
      </c>
      <c r="L604" s="1" t="s">
        <v>777</v>
      </c>
    </row>
    <row r="605" spans="1:12" ht="21" customHeight="1">
      <c r="A605" s="5">
        <v>46261</v>
      </c>
      <c r="B605" s="7">
        <v>18.93</v>
      </c>
      <c r="C605" s="7">
        <v>5949093</v>
      </c>
      <c r="D605" s="7">
        <v>13</v>
      </c>
      <c r="E605" s="7">
        <v>21.94</v>
      </c>
      <c r="F605" s="7">
        <v>19.97</v>
      </c>
      <c r="G605" s="7">
        <v>13</v>
      </c>
      <c r="H605" s="7">
        <v>0</v>
      </c>
      <c r="I605" s="7">
        <v>0</v>
      </c>
      <c r="J605" s="7"/>
      <c r="K605" s="1" t="s">
        <v>120</v>
      </c>
      <c r="L605" s="1" t="s">
        <v>778</v>
      </c>
    </row>
    <row r="606" spans="1:12" ht="21" customHeight="1">
      <c r="A606" s="5">
        <v>46262</v>
      </c>
      <c r="B606" s="7">
        <v>18.399999999999999</v>
      </c>
      <c r="C606" s="7">
        <v>9021038</v>
      </c>
      <c r="D606" s="7">
        <v>21.94</v>
      </c>
      <c r="E606" s="7">
        <v>16</v>
      </c>
      <c r="F606" s="7">
        <v>29</v>
      </c>
      <c r="G606" s="7">
        <v>16</v>
      </c>
      <c r="H606" s="7">
        <v>0</v>
      </c>
      <c r="I606" s="7">
        <v>0</v>
      </c>
      <c r="J606" s="7"/>
      <c r="K606" s="1" t="s">
        <v>120</v>
      </c>
      <c r="L606" s="1" t="s">
        <v>779</v>
      </c>
    </row>
    <row r="607" spans="1:12" ht="21" customHeight="1">
      <c r="A607" s="5">
        <v>46265</v>
      </c>
      <c r="B607" s="7">
        <v>12.73</v>
      </c>
      <c r="C607" s="7">
        <v>2412650.5</v>
      </c>
      <c r="D607" s="7">
        <v>16</v>
      </c>
      <c r="E607" s="7">
        <v>7</v>
      </c>
      <c r="F607" s="7">
        <v>18</v>
      </c>
      <c r="G607" s="7">
        <v>10.01</v>
      </c>
      <c r="H607" s="7">
        <v>0</v>
      </c>
      <c r="I607" s="7">
        <v>0</v>
      </c>
      <c r="J607" s="7"/>
      <c r="K607" s="1" t="s">
        <v>120</v>
      </c>
      <c r="L607" s="1" t="s">
        <v>780</v>
      </c>
    </row>
    <row r="608" spans="1:12" ht="21" customHeight="1">
      <c r="A608" s="5">
        <v>46266</v>
      </c>
      <c r="B608" s="7">
        <v>11.07</v>
      </c>
      <c r="C608" s="7">
        <v>2846356.75</v>
      </c>
      <c r="D608" s="7">
        <v>7</v>
      </c>
      <c r="E608" s="7">
        <v>5.01</v>
      </c>
      <c r="F608" s="7">
        <v>16.399999999999999</v>
      </c>
      <c r="G608" s="7">
        <v>7</v>
      </c>
      <c r="H608" s="7">
        <v>0</v>
      </c>
      <c r="I608" s="7">
        <v>0</v>
      </c>
      <c r="J608" s="7"/>
      <c r="K608" s="1" t="s">
        <v>120</v>
      </c>
      <c r="L608" s="1" t="s">
        <v>781</v>
      </c>
    </row>
    <row r="609" spans="1:12" ht="21" customHeight="1">
      <c r="A609" s="5">
        <v>46267</v>
      </c>
      <c r="B609" s="7">
        <v>8.0399999999999991</v>
      </c>
      <c r="C609" s="7">
        <v>2344033.25</v>
      </c>
      <c r="D609" s="7">
        <v>5.01</v>
      </c>
      <c r="E609" s="7">
        <v>8.9</v>
      </c>
      <c r="F609" s="7">
        <v>12</v>
      </c>
      <c r="G609" s="7">
        <v>5.01</v>
      </c>
      <c r="H609" s="7">
        <v>0</v>
      </c>
      <c r="I609" s="7">
        <v>0</v>
      </c>
      <c r="J609" s="7"/>
      <c r="K609" s="1" t="s">
        <v>120</v>
      </c>
      <c r="L609" s="1" t="s">
        <v>782</v>
      </c>
    </row>
    <row r="610" spans="1:12" ht="21" customHeight="1">
      <c r="A610" s="5">
        <v>46268</v>
      </c>
      <c r="B610" s="7">
        <v>8.7799999999999994</v>
      </c>
      <c r="C610" s="7">
        <v>642421.88</v>
      </c>
      <c r="D610" s="7">
        <v>8.9</v>
      </c>
      <c r="E610" s="7">
        <v>9.9700000000000006</v>
      </c>
      <c r="F610" s="7">
        <v>9.99</v>
      </c>
      <c r="G610" s="7">
        <v>5</v>
      </c>
      <c r="H610" s="7">
        <v>0</v>
      </c>
      <c r="I610" s="7">
        <v>0</v>
      </c>
      <c r="J610" s="7"/>
      <c r="K610" s="1" t="s">
        <v>120</v>
      </c>
      <c r="L610" s="1" t="s">
        <v>783</v>
      </c>
    </row>
    <row r="611" spans="1:12" ht="21" customHeight="1">
      <c r="A611" s="5">
        <v>46269</v>
      </c>
      <c r="B611" s="7">
        <v>8.9600000000000009</v>
      </c>
      <c r="C611" s="7">
        <v>1627889.75</v>
      </c>
      <c r="D611" s="7">
        <v>9.9700000000000006</v>
      </c>
      <c r="E611" s="7">
        <v>9.99</v>
      </c>
      <c r="F611" s="7">
        <v>11.5</v>
      </c>
      <c r="G611" s="7">
        <v>7.1</v>
      </c>
      <c r="H611" s="7">
        <v>0</v>
      </c>
      <c r="I611" s="7">
        <v>0</v>
      </c>
      <c r="J611" s="7"/>
      <c r="K611" s="1" t="s">
        <v>120</v>
      </c>
      <c r="L611" s="1" t="s">
        <v>784</v>
      </c>
    </row>
    <row r="612" spans="1:12" ht="21" customHeight="1">
      <c r="A612" s="5">
        <v>46272</v>
      </c>
      <c r="B612" s="7">
        <v>8.51</v>
      </c>
      <c r="C612" s="7">
        <v>216428.3</v>
      </c>
      <c r="D612" s="7">
        <v>9.99</v>
      </c>
      <c r="E612" s="7">
        <v>9.99</v>
      </c>
      <c r="F612" s="7">
        <v>13.89</v>
      </c>
      <c r="G612" s="7">
        <v>6.89</v>
      </c>
      <c r="H612" s="7">
        <v>0</v>
      </c>
      <c r="I612" s="7">
        <v>0</v>
      </c>
      <c r="J612" s="7"/>
      <c r="K612" s="1" t="s">
        <v>120</v>
      </c>
      <c r="L612" s="1" t="s">
        <v>785</v>
      </c>
    </row>
    <row r="613" spans="1:12" ht="21" customHeight="1">
      <c r="A613" s="5">
        <v>46273</v>
      </c>
      <c r="B613" s="7">
        <v>7.99</v>
      </c>
      <c r="C613" s="7">
        <v>565793.62</v>
      </c>
      <c r="D613" s="7">
        <v>9.99</v>
      </c>
      <c r="E613" s="7">
        <v>9.9</v>
      </c>
      <c r="F613" s="7">
        <v>9.99</v>
      </c>
      <c r="G613" s="7">
        <v>6.8</v>
      </c>
      <c r="H613" s="7">
        <v>0</v>
      </c>
      <c r="I613" s="7">
        <v>0</v>
      </c>
      <c r="J613" s="7"/>
      <c r="K613" s="1" t="s">
        <v>120</v>
      </c>
      <c r="L613" s="1" t="s">
        <v>786</v>
      </c>
    </row>
    <row r="614" spans="1:12" ht="21" customHeight="1">
      <c r="A614" s="5">
        <v>46274</v>
      </c>
      <c r="B614" s="7">
        <v>5.7</v>
      </c>
      <c r="C614" s="7">
        <v>1120865.5</v>
      </c>
      <c r="D614" s="7">
        <v>9.9</v>
      </c>
      <c r="E614" s="7">
        <v>6.49</v>
      </c>
      <c r="F614" s="7">
        <v>9.9</v>
      </c>
      <c r="G614" s="7">
        <v>5</v>
      </c>
      <c r="H614" s="7">
        <v>0</v>
      </c>
      <c r="I614" s="7">
        <v>0</v>
      </c>
      <c r="J614" s="7"/>
      <c r="K614" s="1" t="s">
        <v>120</v>
      </c>
      <c r="L614" s="1" t="s">
        <v>787</v>
      </c>
    </row>
    <row r="615" spans="1:12" ht="21" customHeight="1">
      <c r="A615" s="5">
        <v>46275</v>
      </c>
      <c r="B615" s="7">
        <v>4.5199999999999996</v>
      </c>
      <c r="C615" s="7">
        <v>1991011</v>
      </c>
      <c r="D615" s="7">
        <v>6.49</v>
      </c>
      <c r="E615" s="7">
        <v>4</v>
      </c>
      <c r="F615" s="7">
        <v>6.49</v>
      </c>
      <c r="G615" s="7">
        <v>3.8</v>
      </c>
      <c r="H615" s="7">
        <v>0</v>
      </c>
      <c r="I615" s="7">
        <v>0</v>
      </c>
      <c r="J615" s="7"/>
      <c r="K615" s="1" t="s">
        <v>120</v>
      </c>
      <c r="L615" s="1" t="s">
        <v>788</v>
      </c>
    </row>
    <row r="616" spans="1:12" ht="21" customHeight="1">
      <c r="A616" s="5">
        <v>46276</v>
      </c>
      <c r="B616" s="7">
        <v>5.84</v>
      </c>
      <c r="C616" s="7">
        <v>396816.81</v>
      </c>
      <c r="D616" s="7">
        <v>4</v>
      </c>
      <c r="E616" s="7">
        <v>7.85</v>
      </c>
      <c r="F616" s="7">
        <v>7.55</v>
      </c>
      <c r="G616" s="7">
        <v>4</v>
      </c>
      <c r="H616" s="7">
        <v>0</v>
      </c>
      <c r="I616" s="7">
        <v>0</v>
      </c>
      <c r="J616" s="7"/>
      <c r="K616" s="1" t="s">
        <v>120</v>
      </c>
      <c r="L616" s="1" t="s">
        <v>789</v>
      </c>
    </row>
    <row r="617" spans="1:12" ht="21" customHeight="1">
      <c r="A617" s="5">
        <v>46279</v>
      </c>
      <c r="B617" s="7">
        <v>7.66</v>
      </c>
      <c r="C617" s="7">
        <v>2942087.25</v>
      </c>
      <c r="D617" s="7">
        <v>7.85</v>
      </c>
      <c r="E617" s="7">
        <v>8.8000000000000007</v>
      </c>
      <c r="F617" s="7">
        <v>7.9</v>
      </c>
      <c r="G617" s="7">
        <v>5.0999999999999996</v>
      </c>
      <c r="H617" s="7">
        <v>0</v>
      </c>
      <c r="I617" s="7">
        <v>0</v>
      </c>
      <c r="J617" s="7"/>
      <c r="K617" s="1" t="s">
        <v>120</v>
      </c>
      <c r="L617" s="1" t="s">
        <v>790</v>
      </c>
    </row>
    <row r="618" spans="1:12" ht="21" customHeight="1">
      <c r="A618" s="5">
        <v>46280</v>
      </c>
      <c r="B618" s="7">
        <v>9.9</v>
      </c>
      <c r="C618" s="7">
        <v>1908707.12</v>
      </c>
      <c r="D618" s="7">
        <v>8.8000000000000007</v>
      </c>
      <c r="E618" s="7">
        <v>11</v>
      </c>
      <c r="F618" s="7">
        <v>11.38</v>
      </c>
      <c r="G618" s="7">
        <v>8</v>
      </c>
      <c r="H618" s="7">
        <v>0</v>
      </c>
      <c r="I618" s="7">
        <v>0</v>
      </c>
      <c r="J618" s="7"/>
      <c r="K618" s="1" t="s">
        <v>120</v>
      </c>
      <c r="L618" s="1" t="s">
        <v>791</v>
      </c>
    </row>
    <row r="619" spans="1:12" ht="21" customHeight="1">
      <c r="A619" s="5">
        <v>46281</v>
      </c>
      <c r="B619" s="7">
        <v>9.02</v>
      </c>
      <c r="C619" s="7">
        <v>1795599.12</v>
      </c>
      <c r="D619" s="7">
        <v>11</v>
      </c>
      <c r="E619" s="7">
        <v>68.5</v>
      </c>
      <c r="F619" s="7">
        <v>12.63</v>
      </c>
      <c r="G619" s="7">
        <v>7.3</v>
      </c>
      <c r="H619" s="7">
        <v>0</v>
      </c>
      <c r="I619" s="7">
        <v>0</v>
      </c>
      <c r="J619" s="7"/>
      <c r="K619" s="1" t="s">
        <v>120</v>
      </c>
      <c r="L619" s="1" t="s">
        <v>792</v>
      </c>
    </row>
    <row r="620" spans="1:12" ht="21" customHeight="1">
      <c r="A620" s="5">
        <v>46255</v>
      </c>
      <c r="B620" s="7">
        <v>62.84</v>
      </c>
      <c r="C620" s="7">
        <v>7936556</v>
      </c>
      <c r="D620" s="7">
        <v>68.5</v>
      </c>
      <c r="E620" s="7">
        <v>35.01</v>
      </c>
      <c r="F620" s="7">
        <v>70</v>
      </c>
      <c r="G620" s="7">
        <v>48.67</v>
      </c>
      <c r="H620" s="7">
        <v>0</v>
      </c>
      <c r="I620" s="7">
        <v>0</v>
      </c>
      <c r="J620" s="7"/>
      <c r="K620" s="1" t="s">
        <v>115</v>
      </c>
      <c r="L620" s="1" t="s">
        <v>793</v>
      </c>
    </row>
    <row r="621" spans="1:12" ht="21" customHeight="1">
      <c r="A621" s="5">
        <v>46258</v>
      </c>
      <c r="B621" s="7">
        <v>39.35</v>
      </c>
      <c r="C621" s="7">
        <v>13687142</v>
      </c>
      <c r="D621" s="7">
        <v>35.01</v>
      </c>
      <c r="E621" s="7">
        <v>40</v>
      </c>
      <c r="F621" s="7">
        <v>79</v>
      </c>
      <c r="G621" s="7">
        <v>35.01</v>
      </c>
      <c r="H621" s="7">
        <v>0</v>
      </c>
      <c r="I621" s="7">
        <v>0</v>
      </c>
      <c r="J621" s="7"/>
      <c r="K621" s="1" t="s">
        <v>115</v>
      </c>
      <c r="L621" s="1" t="s">
        <v>794</v>
      </c>
    </row>
    <row r="622" spans="1:12" ht="21" customHeight="1">
      <c r="A622" s="5">
        <v>46259</v>
      </c>
      <c r="B622" s="7">
        <v>24.16</v>
      </c>
      <c r="C622" s="7">
        <v>5709733</v>
      </c>
      <c r="D622" s="7">
        <v>40</v>
      </c>
      <c r="E622" s="7">
        <v>20</v>
      </c>
      <c r="F622" s="7">
        <v>44.99</v>
      </c>
      <c r="G622" s="7">
        <v>24</v>
      </c>
      <c r="H622" s="7">
        <v>0</v>
      </c>
      <c r="I622" s="7">
        <v>0</v>
      </c>
      <c r="J622" s="7"/>
      <c r="K622" s="1" t="s">
        <v>115</v>
      </c>
      <c r="L622" s="1" t="s">
        <v>795</v>
      </c>
    </row>
    <row r="623" spans="1:12" ht="21" customHeight="1">
      <c r="A623" s="5">
        <v>46260</v>
      </c>
      <c r="B623" s="7">
        <v>22.39</v>
      </c>
      <c r="C623" s="7">
        <v>3776744</v>
      </c>
      <c r="D623" s="7">
        <v>20</v>
      </c>
      <c r="E623" s="7">
        <v>29.5</v>
      </c>
      <c r="F623" s="7">
        <v>27</v>
      </c>
      <c r="G623" s="7">
        <v>20</v>
      </c>
      <c r="H623" s="7">
        <v>0</v>
      </c>
      <c r="I623" s="7">
        <v>0</v>
      </c>
      <c r="J623" s="7"/>
      <c r="K623" s="1" t="s">
        <v>115</v>
      </c>
      <c r="L623" s="1" t="s">
        <v>796</v>
      </c>
    </row>
    <row r="624" spans="1:12" ht="21" customHeight="1">
      <c r="A624" s="5">
        <v>46261</v>
      </c>
      <c r="B624" s="7">
        <v>30.86</v>
      </c>
      <c r="C624" s="7">
        <v>8374358</v>
      </c>
      <c r="D624" s="7">
        <v>29.5</v>
      </c>
      <c r="E624" s="7">
        <v>39.99</v>
      </c>
      <c r="F624" s="7">
        <v>33</v>
      </c>
      <c r="G624" s="7">
        <v>20.5</v>
      </c>
      <c r="H624" s="7">
        <v>0</v>
      </c>
      <c r="I624" s="7">
        <v>0</v>
      </c>
      <c r="J624" s="7"/>
      <c r="K624" s="1" t="s">
        <v>115</v>
      </c>
      <c r="L624" s="1" t="s">
        <v>797</v>
      </c>
    </row>
    <row r="625" spans="1:12" ht="21" customHeight="1">
      <c r="A625" s="5">
        <v>46262</v>
      </c>
      <c r="B625" s="7">
        <v>32.76</v>
      </c>
      <c r="C625" s="7">
        <v>14065054</v>
      </c>
      <c r="D625" s="7">
        <v>39.99</v>
      </c>
      <c r="E625" s="7">
        <v>34</v>
      </c>
      <c r="F625" s="7">
        <v>49</v>
      </c>
      <c r="G625" s="7">
        <v>30</v>
      </c>
      <c r="H625" s="7">
        <v>0</v>
      </c>
      <c r="I625" s="7">
        <v>0</v>
      </c>
      <c r="J625" s="7"/>
      <c r="K625" s="1" t="s">
        <v>115</v>
      </c>
      <c r="L625" s="1" t="s">
        <v>798</v>
      </c>
    </row>
    <row r="626" spans="1:12" ht="21" customHeight="1">
      <c r="A626" s="5">
        <v>46265</v>
      </c>
      <c r="B626" s="7">
        <v>22.98</v>
      </c>
      <c r="C626" s="7">
        <v>7310410.5</v>
      </c>
      <c r="D626" s="7">
        <v>34</v>
      </c>
      <c r="E626" s="7">
        <v>26.99</v>
      </c>
      <c r="F626" s="7">
        <v>34</v>
      </c>
      <c r="G626" s="7">
        <v>20</v>
      </c>
      <c r="H626" s="7">
        <v>0</v>
      </c>
      <c r="I626" s="7">
        <v>0</v>
      </c>
      <c r="J626" s="7"/>
      <c r="K626" s="1" t="s">
        <v>115</v>
      </c>
      <c r="L626" s="1" t="s">
        <v>799</v>
      </c>
    </row>
    <row r="627" spans="1:12" ht="21" customHeight="1">
      <c r="A627" s="5">
        <v>46266</v>
      </c>
      <c r="B627" s="7">
        <v>20.3</v>
      </c>
      <c r="C627" s="7">
        <v>10112513</v>
      </c>
      <c r="D627" s="7">
        <v>26.99</v>
      </c>
      <c r="E627" s="7">
        <v>10</v>
      </c>
      <c r="F627" s="7">
        <v>26.99</v>
      </c>
      <c r="G627" s="7">
        <v>12.6</v>
      </c>
      <c r="H627" s="7">
        <v>0</v>
      </c>
      <c r="I627" s="7">
        <v>0</v>
      </c>
      <c r="J627" s="7"/>
      <c r="K627" s="1" t="s">
        <v>115</v>
      </c>
      <c r="L627" s="1" t="s">
        <v>800</v>
      </c>
    </row>
    <row r="628" spans="1:12" ht="21" customHeight="1">
      <c r="A628" s="5">
        <v>46267</v>
      </c>
      <c r="B628" s="7">
        <v>14.11</v>
      </c>
      <c r="C628" s="7">
        <v>5835576</v>
      </c>
      <c r="D628" s="7">
        <v>10</v>
      </c>
      <c r="E628" s="7">
        <v>10</v>
      </c>
      <c r="F628" s="7">
        <v>22</v>
      </c>
      <c r="G628" s="7">
        <v>10</v>
      </c>
      <c r="H628" s="7">
        <v>0</v>
      </c>
      <c r="I628" s="7">
        <v>0</v>
      </c>
      <c r="J628" s="7"/>
      <c r="K628" s="1" t="s">
        <v>115</v>
      </c>
      <c r="L628" s="1" t="s">
        <v>801</v>
      </c>
    </row>
    <row r="629" spans="1:12" ht="21" customHeight="1">
      <c r="A629" s="5">
        <v>46268</v>
      </c>
      <c r="B629" s="7">
        <v>15.36</v>
      </c>
      <c r="C629" s="7">
        <v>3934292</v>
      </c>
      <c r="D629" s="7">
        <v>10</v>
      </c>
      <c r="E629" s="7">
        <v>15.5</v>
      </c>
      <c r="F629" s="7">
        <v>17.989999999999998</v>
      </c>
      <c r="G629" s="7">
        <v>10</v>
      </c>
      <c r="H629" s="7">
        <v>0</v>
      </c>
      <c r="I629" s="7">
        <v>0</v>
      </c>
      <c r="J629" s="7"/>
      <c r="K629" s="1" t="s">
        <v>115</v>
      </c>
      <c r="L629" s="1" t="s">
        <v>802</v>
      </c>
    </row>
    <row r="630" spans="1:12" ht="21" customHeight="1">
      <c r="A630" s="5">
        <v>46269</v>
      </c>
      <c r="B630" s="7">
        <v>16.25</v>
      </c>
      <c r="C630" s="7">
        <v>8706402</v>
      </c>
      <c r="D630" s="7">
        <v>15.5</v>
      </c>
      <c r="E630" s="7">
        <v>16</v>
      </c>
      <c r="F630" s="7">
        <v>20</v>
      </c>
      <c r="G630" s="7">
        <v>11.01</v>
      </c>
      <c r="H630" s="7">
        <v>0</v>
      </c>
      <c r="I630" s="7">
        <v>0</v>
      </c>
      <c r="J630" s="7"/>
      <c r="K630" s="1" t="s">
        <v>115</v>
      </c>
      <c r="L630" s="1" t="s">
        <v>803</v>
      </c>
    </row>
    <row r="631" spans="1:12" ht="21" customHeight="1">
      <c r="A631" s="5">
        <v>46272</v>
      </c>
      <c r="B631" s="7">
        <v>16</v>
      </c>
      <c r="C631" s="7">
        <v>4509522.5</v>
      </c>
      <c r="D631" s="7">
        <v>16</v>
      </c>
      <c r="E631" s="7">
        <v>17</v>
      </c>
      <c r="F631" s="7">
        <v>17.989999999999998</v>
      </c>
      <c r="G631" s="7">
        <v>11.1</v>
      </c>
      <c r="H631" s="7">
        <v>0</v>
      </c>
      <c r="I631" s="7">
        <v>0</v>
      </c>
      <c r="J631" s="7"/>
      <c r="K631" s="1" t="s">
        <v>115</v>
      </c>
      <c r="L631" s="1" t="s">
        <v>804</v>
      </c>
    </row>
    <row r="632" spans="1:12" ht="21" customHeight="1">
      <c r="A632" s="5">
        <v>46273</v>
      </c>
      <c r="B632" s="7">
        <v>13.29</v>
      </c>
      <c r="C632" s="7">
        <v>3739372.25</v>
      </c>
      <c r="D632" s="7">
        <v>17</v>
      </c>
      <c r="E632" s="7">
        <v>15.5</v>
      </c>
      <c r="F632" s="7">
        <v>17.100000000000001</v>
      </c>
      <c r="G632" s="7">
        <v>12.1</v>
      </c>
      <c r="H632" s="7">
        <v>0</v>
      </c>
      <c r="I632" s="7">
        <v>0</v>
      </c>
      <c r="J632" s="7"/>
      <c r="K632" s="1" t="s">
        <v>115</v>
      </c>
      <c r="L632" s="1" t="s">
        <v>805</v>
      </c>
    </row>
    <row r="633" spans="1:12" ht="21" customHeight="1">
      <c r="A633" s="5">
        <v>46274</v>
      </c>
      <c r="B633" s="7">
        <v>9.5</v>
      </c>
      <c r="C633" s="7">
        <v>4603535.5</v>
      </c>
      <c r="D633" s="7">
        <v>15.5</v>
      </c>
      <c r="E633" s="7">
        <v>10.95</v>
      </c>
      <c r="F633" s="7">
        <v>16</v>
      </c>
      <c r="G633" s="7">
        <v>7.09</v>
      </c>
      <c r="H633" s="7">
        <v>0</v>
      </c>
      <c r="I633" s="7">
        <v>0</v>
      </c>
      <c r="J633" s="7"/>
      <c r="K633" s="1" t="s">
        <v>115</v>
      </c>
      <c r="L633" s="1" t="s">
        <v>806</v>
      </c>
    </row>
    <row r="634" spans="1:12" ht="21" customHeight="1">
      <c r="A634" s="5">
        <v>46275</v>
      </c>
      <c r="B634" s="7">
        <v>8.4499999999999993</v>
      </c>
      <c r="C634" s="7">
        <v>2190676.5</v>
      </c>
      <c r="D634" s="7">
        <v>10.95</v>
      </c>
      <c r="E634" s="7">
        <v>9.9</v>
      </c>
      <c r="F634" s="7">
        <v>12</v>
      </c>
      <c r="G634" s="7">
        <v>6</v>
      </c>
      <c r="H634" s="7">
        <v>0</v>
      </c>
      <c r="I634" s="7">
        <v>0</v>
      </c>
      <c r="J634" s="7"/>
      <c r="K634" s="1" t="s">
        <v>115</v>
      </c>
      <c r="L634" s="1" t="s">
        <v>807</v>
      </c>
    </row>
    <row r="635" spans="1:12" ht="21" customHeight="1">
      <c r="A635" s="5">
        <v>46276</v>
      </c>
      <c r="B635" s="7">
        <v>10.74</v>
      </c>
      <c r="C635" s="7">
        <v>2070999.62</v>
      </c>
      <c r="D635" s="7">
        <v>9.9</v>
      </c>
      <c r="E635" s="7">
        <v>11</v>
      </c>
      <c r="F635" s="7">
        <v>12.8</v>
      </c>
      <c r="G635" s="7">
        <v>8.3000000000000007</v>
      </c>
      <c r="H635" s="7">
        <v>0</v>
      </c>
      <c r="I635" s="7">
        <v>0</v>
      </c>
      <c r="J635" s="7"/>
      <c r="K635" s="1" t="s">
        <v>115</v>
      </c>
      <c r="L635" s="1" t="s">
        <v>808</v>
      </c>
    </row>
    <row r="636" spans="1:12" ht="21" customHeight="1">
      <c r="A636" s="5">
        <v>46279</v>
      </c>
      <c r="B636" s="7">
        <v>14.36</v>
      </c>
      <c r="C636" s="7">
        <v>4646376.5</v>
      </c>
      <c r="D636" s="7">
        <v>11</v>
      </c>
      <c r="E636" s="7">
        <v>15.98</v>
      </c>
      <c r="F636" s="7">
        <v>15</v>
      </c>
      <c r="G636" s="7">
        <v>11</v>
      </c>
      <c r="H636" s="7">
        <v>0</v>
      </c>
      <c r="I636" s="7">
        <v>0</v>
      </c>
      <c r="J636" s="7"/>
      <c r="K636" s="1" t="s">
        <v>115</v>
      </c>
      <c r="L636" s="1" t="s">
        <v>809</v>
      </c>
    </row>
    <row r="637" spans="1:12" ht="21" customHeight="1">
      <c r="A637" s="5">
        <v>46280</v>
      </c>
      <c r="B637" s="7">
        <v>17.760000000000002</v>
      </c>
      <c r="C637" s="7">
        <v>6115640</v>
      </c>
      <c r="D637" s="7">
        <v>15.98</v>
      </c>
      <c r="E637" s="7">
        <v>18.95</v>
      </c>
      <c r="F637" s="7">
        <v>21.42</v>
      </c>
      <c r="G637" s="7">
        <v>15</v>
      </c>
      <c r="H637" s="7">
        <v>0</v>
      </c>
      <c r="I637" s="7">
        <v>0</v>
      </c>
      <c r="J637" s="7"/>
      <c r="K637" s="1" t="s">
        <v>115</v>
      </c>
      <c r="L637" s="1" t="s">
        <v>810</v>
      </c>
    </row>
    <row r="638" spans="1:12" ht="21" customHeight="1">
      <c r="A638" s="5">
        <v>46281</v>
      </c>
      <c r="B638" s="7">
        <v>17.149999999999999</v>
      </c>
      <c r="C638" s="7">
        <v>7799133.5</v>
      </c>
      <c r="D638" s="7">
        <v>18.95</v>
      </c>
      <c r="E638" s="7">
        <v>85</v>
      </c>
      <c r="F638" s="7">
        <v>22.99</v>
      </c>
      <c r="G638" s="7">
        <v>14.36</v>
      </c>
      <c r="H638" s="7">
        <v>0</v>
      </c>
      <c r="I638" s="7">
        <v>0</v>
      </c>
      <c r="J638" s="7"/>
      <c r="K638" s="1" t="s">
        <v>115</v>
      </c>
      <c r="L638" s="1" t="s">
        <v>811</v>
      </c>
    </row>
    <row r="639" spans="1:12" ht="21" customHeight="1">
      <c r="A639" s="5">
        <v>46255</v>
      </c>
      <c r="B639" s="7">
        <v>96.17</v>
      </c>
      <c r="C639" s="7">
        <v>14418703</v>
      </c>
      <c r="D639" s="7">
        <v>85</v>
      </c>
      <c r="E639" s="7">
        <v>90</v>
      </c>
      <c r="F639" s="7">
        <v>110</v>
      </c>
      <c r="G639" s="7">
        <v>75.010000000000005</v>
      </c>
      <c r="H639" s="7">
        <v>0</v>
      </c>
      <c r="I639" s="7">
        <v>0</v>
      </c>
      <c r="J639" s="7"/>
      <c r="K639" s="1" t="s">
        <v>110</v>
      </c>
      <c r="L639" s="1" t="s">
        <v>812</v>
      </c>
    </row>
    <row r="640" spans="1:12" ht="21" customHeight="1">
      <c r="A640" s="5">
        <v>46258</v>
      </c>
      <c r="B640" s="7">
        <v>61.45</v>
      </c>
      <c r="C640" s="7">
        <v>16733828</v>
      </c>
      <c r="D640" s="7">
        <v>90</v>
      </c>
      <c r="E640" s="7">
        <v>65</v>
      </c>
      <c r="F640" s="7">
        <v>98</v>
      </c>
      <c r="G640" s="7">
        <v>57.01</v>
      </c>
      <c r="H640" s="7">
        <v>0</v>
      </c>
      <c r="I640" s="7">
        <v>0</v>
      </c>
      <c r="J640" s="7"/>
      <c r="K640" s="1" t="s">
        <v>110</v>
      </c>
      <c r="L640" s="1" t="s">
        <v>813</v>
      </c>
    </row>
    <row r="641" spans="1:12" ht="21" customHeight="1">
      <c r="A641" s="5">
        <v>46259</v>
      </c>
      <c r="B641" s="7">
        <v>38.97</v>
      </c>
      <c r="C641" s="7">
        <v>13776543</v>
      </c>
      <c r="D641" s="7">
        <v>65</v>
      </c>
      <c r="E641" s="7">
        <v>30</v>
      </c>
      <c r="F641" s="7">
        <v>69</v>
      </c>
      <c r="G641" s="7">
        <v>36.01</v>
      </c>
      <c r="H641" s="7">
        <v>0</v>
      </c>
      <c r="I641" s="7">
        <v>0</v>
      </c>
      <c r="J641" s="7"/>
      <c r="K641" s="1" t="s">
        <v>110</v>
      </c>
      <c r="L641" s="1" t="s">
        <v>814</v>
      </c>
    </row>
    <row r="642" spans="1:12" ht="21" customHeight="1">
      <c r="A642" s="5">
        <v>46260</v>
      </c>
      <c r="B642" s="7">
        <v>35.840000000000003</v>
      </c>
      <c r="C642" s="7">
        <v>11605652</v>
      </c>
      <c r="D642" s="7">
        <v>30</v>
      </c>
      <c r="E642" s="7">
        <v>37</v>
      </c>
      <c r="F642" s="7">
        <v>42</v>
      </c>
      <c r="G642" s="7">
        <v>30</v>
      </c>
      <c r="H642" s="7">
        <v>0</v>
      </c>
      <c r="I642" s="7">
        <v>0</v>
      </c>
      <c r="J642" s="7"/>
      <c r="K642" s="1" t="s">
        <v>110</v>
      </c>
      <c r="L642" s="1" t="s">
        <v>815</v>
      </c>
    </row>
    <row r="643" spans="1:12" ht="21" customHeight="1">
      <c r="A643" s="5">
        <v>46261</v>
      </c>
      <c r="B643" s="7">
        <v>52.63</v>
      </c>
      <c r="C643" s="7">
        <v>16303877</v>
      </c>
      <c r="D643" s="7">
        <v>37</v>
      </c>
      <c r="E643" s="7">
        <v>54</v>
      </c>
      <c r="F643" s="7">
        <v>68</v>
      </c>
      <c r="G643" s="7">
        <v>35</v>
      </c>
      <c r="H643" s="7">
        <v>0</v>
      </c>
      <c r="I643" s="7">
        <v>0</v>
      </c>
      <c r="J643" s="7"/>
      <c r="K643" s="1" t="s">
        <v>110</v>
      </c>
      <c r="L643" s="1" t="s">
        <v>816</v>
      </c>
    </row>
    <row r="644" spans="1:12" ht="21" customHeight="1">
      <c r="A644" s="5">
        <v>46262</v>
      </c>
      <c r="B644" s="7">
        <v>52.04</v>
      </c>
      <c r="C644" s="7">
        <v>29709064</v>
      </c>
      <c r="D644" s="7">
        <v>54</v>
      </c>
      <c r="E644" s="7">
        <v>65</v>
      </c>
      <c r="F644" s="7">
        <v>73</v>
      </c>
      <c r="G644" s="7">
        <v>50.01</v>
      </c>
      <c r="H644" s="7">
        <v>0</v>
      </c>
      <c r="I644" s="7">
        <v>0</v>
      </c>
      <c r="J644" s="7"/>
      <c r="K644" s="1" t="s">
        <v>110</v>
      </c>
      <c r="L644" s="1" t="s">
        <v>817</v>
      </c>
    </row>
    <row r="645" spans="1:12" ht="21" customHeight="1">
      <c r="A645" s="5">
        <v>46265</v>
      </c>
      <c r="B645" s="7">
        <v>36.96</v>
      </c>
      <c r="C645" s="7">
        <v>9169526</v>
      </c>
      <c r="D645" s="7">
        <v>65</v>
      </c>
      <c r="E645" s="7">
        <v>49</v>
      </c>
      <c r="F645" s="7">
        <v>65</v>
      </c>
      <c r="G645" s="7">
        <v>32.5</v>
      </c>
      <c r="H645" s="7">
        <v>0</v>
      </c>
      <c r="I645" s="7">
        <v>0</v>
      </c>
      <c r="J645" s="7"/>
      <c r="K645" s="1" t="s">
        <v>110</v>
      </c>
      <c r="L645" s="1" t="s">
        <v>818</v>
      </c>
    </row>
    <row r="646" spans="1:12" ht="21" customHeight="1">
      <c r="A646" s="5">
        <v>46266</v>
      </c>
      <c r="B646" s="7">
        <v>33.950000000000003</v>
      </c>
      <c r="C646" s="7">
        <v>7760197.5</v>
      </c>
      <c r="D646" s="7">
        <v>49</v>
      </c>
      <c r="E646" s="7">
        <v>36.979999999999997</v>
      </c>
      <c r="F646" s="7">
        <v>49</v>
      </c>
      <c r="G646" s="7">
        <v>28</v>
      </c>
      <c r="H646" s="7">
        <v>0</v>
      </c>
      <c r="I646" s="7">
        <v>0</v>
      </c>
      <c r="J646" s="7"/>
      <c r="K646" s="1" t="s">
        <v>110</v>
      </c>
      <c r="L646" s="1" t="s">
        <v>819</v>
      </c>
    </row>
    <row r="647" spans="1:12" ht="21" customHeight="1">
      <c r="A647" s="5">
        <v>46267</v>
      </c>
      <c r="B647" s="7">
        <v>24.27</v>
      </c>
      <c r="C647" s="7">
        <v>9040533</v>
      </c>
      <c r="D647" s="7">
        <v>36.979999999999997</v>
      </c>
      <c r="E647" s="7">
        <v>20</v>
      </c>
      <c r="F647" s="7">
        <v>36.979999999999997</v>
      </c>
      <c r="G647" s="7">
        <v>23</v>
      </c>
      <c r="H647" s="7">
        <v>0</v>
      </c>
      <c r="I647" s="7">
        <v>0</v>
      </c>
      <c r="J647" s="7"/>
      <c r="K647" s="1" t="s">
        <v>110</v>
      </c>
      <c r="L647" s="1" t="s">
        <v>820</v>
      </c>
    </row>
    <row r="648" spans="1:12" ht="21" customHeight="1">
      <c r="A648" s="5">
        <v>46268</v>
      </c>
      <c r="B648" s="7">
        <v>26.51</v>
      </c>
      <c r="C648" s="7">
        <v>10195735</v>
      </c>
      <c r="D648" s="7">
        <v>20</v>
      </c>
      <c r="E648" s="7">
        <v>27</v>
      </c>
      <c r="F648" s="7">
        <v>29.72</v>
      </c>
      <c r="G648" s="7">
        <v>16.09</v>
      </c>
      <c r="H648" s="7">
        <v>0</v>
      </c>
      <c r="I648" s="7">
        <v>0</v>
      </c>
      <c r="J648" s="7"/>
      <c r="K648" s="1" t="s">
        <v>110</v>
      </c>
      <c r="L648" s="1" t="s">
        <v>821</v>
      </c>
    </row>
    <row r="649" spans="1:12" ht="21" customHeight="1">
      <c r="A649" s="5">
        <v>46269</v>
      </c>
      <c r="B649" s="7">
        <v>27.57</v>
      </c>
      <c r="C649" s="7">
        <v>9548812</v>
      </c>
      <c r="D649" s="7">
        <v>27</v>
      </c>
      <c r="E649" s="7">
        <v>28</v>
      </c>
      <c r="F649" s="7">
        <v>34.94</v>
      </c>
      <c r="G649" s="7">
        <v>26</v>
      </c>
      <c r="H649" s="7">
        <v>0</v>
      </c>
      <c r="I649" s="7">
        <v>0</v>
      </c>
      <c r="J649" s="7"/>
      <c r="K649" s="1" t="s">
        <v>110</v>
      </c>
      <c r="L649" s="1" t="s">
        <v>822</v>
      </c>
    </row>
    <row r="650" spans="1:12" ht="21" customHeight="1">
      <c r="A650" s="5">
        <v>46272</v>
      </c>
      <c r="B650" s="7">
        <v>28.16</v>
      </c>
      <c r="C650" s="7">
        <v>4109854.25</v>
      </c>
      <c r="D650" s="7">
        <v>28</v>
      </c>
      <c r="E650" s="7">
        <v>27.42</v>
      </c>
      <c r="F650" s="7">
        <v>32</v>
      </c>
      <c r="G650" s="7">
        <v>26.03</v>
      </c>
      <c r="H650" s="7">
        <v>0</v>
      </c>
      <c r="I650" s="7">
        <v>0</v>
      </c>
      <c r="J650" s="7"/>
      <c r="K650" s="1" t="s">
        <v>110</v>
      </c>
      <c r="L650" s="1" t="s">
        <v>823</v>
      </c>
    </row>
    <row r="651" spans="1:12" ht="21" customHeight="1">
      <c r="A651" s="5">
        <v>46273</v>
      </c>
      <c r="B651" s="7">
        <v>23.9</v>
      </c>
      <c r="C651" s="7">
        <v>8513327</v>
      </c>
      <c r="D651" s="7">
        <v>27.42</v>
      </c>
      <c r="E651" s="7">
        <v>25.99</v>
      </c>
      <c r="F651" s="7">
        <v>30</v>
      </c>
      <c r="G651" s="7">
        <v>22.16</v>
      </c>
      <c r="H651" s="7">
        <v>0</v>
      </c>
      <c r="I651" s="7">
        <v>0</v>
      </c>
      <c r="J651" s="7"/>
      <c r="K651" s="1" t="s">
        <v>110</v>
      </c>
      <c r="L651" s="1" t="s">
        <v>824</v>
      </c>
    </row>
    <row r="652" spans="1:12" ht="21" customHeight="1">
      <c r="A652" s="5">
        <v>46274</v>
      </c>
      <c r="B652" s="7">
        <v>18.329999999999998</v>
      </c>
      <c r="C652" s="7">
        <v>10470408</v>
      </c>
      <c r="D652" s="7">
        <v>25.99</v>
      </c>
      <c r="E652" s="7">
        <v>21.99</v>
      </c>
      <c r="F652" s="7">
        <v>29.9</v>
      </c>
      <c r="G652" s="7">
        <v>18</v>
      </c>
      <c r="H652" s="7">
        <v>0</v>
      </c>
      <c r="I652" s="7">
        <v>0</v>
      </c>
      <c r="J652" s="7"/>
      <c r="K652" s="1" t="s">
        <v>110</v>
      </c>
      <c r="L652" s="1" t="s">
        <v>825</v>
      </c>
    </row>
    <row r="653" spans="1:12" ht="21" customHeight="1">
      <c r="A653" s="5">
        <v>46275</v>
      </c>
      <c r="B653" s="7">
        <v>15.97</v>
      </c>
      <c r="C653" s="7">
        <v>7904150.5</v>
      </c>
      <c r="D653" s="7">
        <v>21.99</v>
      </c>
      <c r="E653" s="7">
        <v>18.25</v>
      </c>
      <c r="F653" s="7">
        <v>21.99</v>
      </c>
      <c r="G653" s="7">
        <v>13</v>
      </c>
      <c r="H653" s="7">
        <v>0</v>
      </c>
      <c r="I653" s="7">
        <v>0</v>
      </c>
      <c r="J653" s="7"/>
      <c r="K653" s="1" t="s">
        <v>110</v>
      </c>
      <c r="L653" s="1" t="s">
        <v>826</v>
      </c>
    </row>
    <row r="654" spans="1:12" ht="21" customHeight="1">
      <c r="A654" s="5">
        <v>46276</v>
      </c>
      <c r="B654" s="7">
        <v>20.5</v>
      </c>
      <c r="C654" s="7">
        <v>7313211</v>
      </c>
      <c r="D654" s="7">
        <v>18.25</v>
      </c>
      <c r="E654" s="7">
        <v>24.5</v>
      </c>
      <c r="F654" s="7">
        <v>24</v>
      </c>
      <c r="G654" s="7">
        <v>16</v>
      </c>
      <c r="H654" s="7">
        <v>0</v>
      </c>
      <c r="I654" s="7">
        <v>0</v>
      </c>
      <c r="J654" s="7"/>
      <c r="K654" s="1" t="s">
        <v>110</v>
      </c>
      <c r="L654" s="1" t="s">
        <v>827</v>
      </c>
    </row>
    <row r="655" spans="1:12" ht="21" customHeight="1">
      <c r="A655" s="5">
        <v>46279</v>
      </c>
      <c r="B655" s="7">
        <v>28</v>
      </c>
      <c r="C655" s="7">
        <v>10710143</v>
      </c>
      <c r="D655" s="7">
        <v>24.5</v>
      </c>
      <c r="E655" s="7">
        <v>28</v>
      </c>
      <c r="F655" s="7">
        <v>28.78</v>
      </c>
      <c r="G655" s="7">
        <v>21</v>
      </c>
      <c r="H655" s="7">
        <v>0</v>
      </c>
      <c r="I655" s="7">
        <v>0</v>
      </c>
      <c r="J655" s="7"/>
      <c r="K655" s="1" t="s">
        <v>110</v>
      </c>
      <c r="L655" s="1" t="s">
        <v>828</v>
      </c>
    </row>
    <row r="656" spans="1:12" ht="21" customHeight="1">
      <c r="A656" s="5">
        <v>46280</v>
      </c>
      <c r="B656" s="7">
        <v>32.86</v>
      </c>
      <c r="C656" s="7">
        <v>20763368</v>
      </c>
      <c r="D656" s="7">
        <v>28</v>
      </c>
      <c r="E656" s="7">
        <v>34.5</v>
      </c>
      <c r="F656" s="7">
        <v>39.5</v>
      </c>
      <c r="G656" s="7">
        <v>28</v>
      </c>
      <c r="H656" s="7">
        <v>0</v>
      </c>
      <c r="I656" s="7">
        <v>0</v>
      </c>
      <c r="J656" s="7"/>
      <c r="K656" s="1" t="s">
        <v>110</v>
      </c>
      <c r="L656" s="1" t="s">
        <v>829</v>
      </c>
    </row>
    <row r="657" spans="1:12" ht="21" customHeight="1">
      <c r="A657" s="5">
        <v>46281</v>
      </c>
      <c r="B657" s="7">
        <v>31.98</v>
      </c>
      <c r="C657" s="7">
        <v>14883324</v>
      </c>
      <c r="D657" s="7">
        <v>34.5</v>
      </c>
      <c r="E657" s="7">
        <v>150</v>
      </c>
      <c r="F657" s="7">
        <v>37.89</v>
      </c>
      <c r="G657" s="7">
        <v>26.55</v>
      </c>
      <c r="H657" s="7">
        <v>0</v>
      </c>
      <c r="I657" s="7">
        <v>0</v>
      </c>
      <c r="J657" s="7"/>
      <c r="K657" s="1" t="s">
        <v>110</v>
      </c>
      <c r="L657" s="1" t="s">
        <v>830</v>
      </c>
    </row>
    <row r="658" spans="1:12" ht="21" customHeight="1">
      <c r="A658" s="5">
        <v>46255</v>
      </c>
      <c r="B658" s="7">
        <v>145.03</v>
      </c>
      <c r="C658" s="7">
        <v>54616160</v>
      </c>
      <c r="D658" s="7">
        <v>150</v>
      </c>
      <c r="E658" s="7">
        <v>148</v>
      </c>
      <c r="F658" s="7">
        <v>156</v>
      </c>
      <c r="G658" s="7">
        <v>110</v>
      </c>
      <c r="H658" s="7">
        <v>0</v>
      </c>
      <c r="I658" s="7">
        <v>0</v>
      </c>
      <c r="J658" s="7"/>
      <c r="K658" s="1" t="s">
        <v>105</v>
      </c>
      <c r="L658" s="1" t="s">
        <v>831</v>
      </c>
    </row>
    <row r="659" spans="1:12" ht="21" customHeight="1">
      <c r="A659" s="5">
        <v>46258</v>
      </c>
      <c r="B659" s="7">
        <v>91.55</v>
      </c>
      <c r="C659" s="7">
        <v>106887776</v>
      </c>
      <c r="D659" s="7">
        <v>148</v>
      </c>
      <c r="E659" s="7">
        <v>90</v>
      </c>
      <c r="F659" s="7">
        <v>179</v>
      </c>
      <c r="G659" s="7">
        <v>83</v>
      </c>
      <c r="H659" s="7">
        <v>0</v>
      </c>
      <c r="I659" s="7">
        <v>0</v>
      </c>
      <c r="J659" s="7"/>
      <c r="K659" s="1" t="s">
        <v>105</v>
      </c>
      <c r="L659" s="1" t="s">
        <v>832</v>
      </c>
    </row>
    <row r="660" spans="1:12" ht="21" customHeight="1">
      <c r="A660" s="5">
        <v>46259</v>
      </c>
      <c r="B660" s="7">
        <v>60.32</v>
      </c>
      <c r="C660" s="7">
        <v>59795428</v>
      </c>
      <c r="D660" s="7">
        <v>90</v>
      </c>
      <c r="E660" s="7">
        <v>51</v>
      </c>
      <c r="F660" s="7">
        <v>110</v>
      </c>
      <c r="G660" s="7">
        <v>59.51</v>
      </c>
      <c r="H660" s="7">
        <v>0</v>
      </c>
      <c r="I660" s="7">
        <v>0</v>
      </c>
      <c r="J660" s="7"/>
      <c r="K660" s="1" t="s">
        <v>105</v>
      </c>
      <c r="L660" s="1" t="s">
        <v>833</v>
      </c>
    </row>
    <row r="661" spans="1:12" ht="21" customHeight="1">
      <c r="A661" s="5">
        <v>46260</v>
      </c>
      <c r="B661" s="7">
        <v>59.56</v>
      </c>
      <c r="C661" s="7">
        <v>54628656</v>
      </c>
      <c r="D661" s="7">
        <v>51</v>
      </c>
      <c r="E661" s="7">
        <v>58</v>
      </c>
      <c r="F661" s="7">
        <v>68</v>
      </c>
      <c r="G661" s="7">
        <v>38</v>
      </c>
      <c r="H661" s="7">
        <v>0</v>
      </c>
      <c r="I661" s="7">
        <v>0</v>
      </c>
      <c r="J661" s="7"/>
      <c r="K661" s="1" t="s">
        <v>105</v>
      </c>
      <c r="L661" s="1" t="s">
        <v>834</v>
      </c>
    </row>
    <row r="662" spans="1:12" ht="21" customHeight="1">
      <c r="A662" s="5">
        <v>46261</v>
      </c>
      <c r="B662" s="7">
        <v>81.77</v>
      </c>
      <c r="C662" s="7">
        <v>75141672</v>
      </c>
      <c r="D662" s="7">
        <v>58</v>
      </c>
      <c r="E662" s="7">
        <v>90</v>
      </c>
      <c r="F662" s="7">
        <v>84.6</v>
      </c>
      <c r="G662" s="7">
        <v>56</v>
      </c>
      <c r="H662" s="7">
        <v>0</v>
      </c>
      <c r="I662" s="7">
        <v>0</v>
      </c>
      <c r="J662" s="7"/>
      <c r="K662" s="1" t="s">
        <v>105</v>
      </c>
      <c r="L662" s="1" t="s">
        <v>835</v>
      </c>
    </row>
    <row r="663" spans="1:12" ht="21" customHeight="1">
      <c r="A663" s="5">
        <v>46262</v>
      </c>
      <c r="B663" s="7">
        <v>83.64</v>
      </c>
      <c r="C663" s="7">
        <v>94850992</v>
      </c>
      <c r="D663" s="7">
        <v>90</v>
      </c>
      <c r="E663" s="7">
        <v>80</v>
      </c>
      <c r="F663" s="7">
        <v>108.2</v>
      </c>
      <c r="G663" s="7">
        <v>81</v>
      </c>
      <c r="H663" s="7">
        <v>0</v>
      </c>
      <c r="I663" s="7">
        <v>0</v>
      </c>
      <c r="J663" s="7"/>
      <c r="K663" s="1" t="s">
        <v>105</v>
      </c>
      <c r="L663" s="1" t="s">
        <v>836</v>
      </c>
    </row>
    <row r="664" spans="1:12" ht="21" customHeight="1">
      <c r="A664" s="5">
        <v>46265</v>
      </c>
      <c r="B664" s="7">
        <v>61.12</v>
      </c>
      <c r="C664" s="7">
        <v>42206504</v>
      </c>
      <c r="D664" s="7">
        <v>80</v>
      </c>
      <c r="E664" s="7">
        <v>74.989999999999995</v>
      </c>
      <c r="F664" s="7">
        <v>80</v>
      </c>
      <c r="G664" s="7">
        <v>52</v>
      </c>
      <c r="H664" s="7">
        <v>0</v>
      </c>
      <c r="I664" s="7">
        <v>0</v>
      </c>
      <c r="J664" s="7"/>
      <c r="K664" s="1" t="s">
        <v>105</v>
      </c>
      <c r="L664" s="1" t="s">
        <v>837</v>
      </c>
    </row>
    <row r="665" spans="1:12" ht="21" customHeight="1">
      <c r="A665" s="5">
        <v>46266</v>
      </c>
      <c r="B665" s="7">
        <v>56.43</v>
      </c>
      <c r="C665" s="7">
        <v>33882444</v>
      </c>
      <c r="D665" s="7">
        <v>74.989999999999995</v>
      </c>
      <c r="E665" s="7">
        <v>55</v>
      </c>
      <c r="F665" s="7">
        <v>74.989999999999995</v>
      </c>
      <c r="G665" s="7">
        <v>45.51</v>
      </c>
      <c r="H665" s="7">
        <v>0</v>
      </c>
      <c r="I665" s="7">
        <v>0</v>
      </c>
      <c r="J665" s="7"/>
      <c r="K665" s="1" t="s">
        <v>105</v>
      </c>
      <c r="L665" s="1" t="s">
        <v>838</v>
      </c>
    </row>
    <row r="666" spans="1:12" ht="21" customHeight="1">
      <c r="A666" s="5">
        <v>46267</v>
      </c>
      <c r="B666" s="7">
        <v>41.36</v>
      </c>
      <c r="C666" s="7">
        <v>30934984</v>
      </c>
      <c r="D666" s="7">
        <v>55</v>
      </c>
      <c r="E666" s="7">
        <v>29</v>
      </c>
      <c r="F666" s="7">
        <v>58.99</v>
      </c>
      <c r="G666" s="7">
        <v>40</v>
      </c>
      <c r="H666" s="7">
        <v>0</v>
      </c>
      <c r="I666" s="7">
        <v>0</v>
      </c>
      <c r="J666" s="7"/>
      <c r="K666" s="1" t="s">
        <v>105</v>
      </c>
      <c r="L666" s="1" t="s">
        <v>839</v>
      </c>
    </row>
    <row r="667" spans="1:12" ht="21" customHeight="1">
      <c r="A667" s="5">
        <v>46268</v>
      </c>
      <c r="B667" s="7">
        <v>45.1</v>
      </c>
      <c r="C667" s="7">
        <v>40749460</v>
      </c>
      <c r="D667" s="7">
        <v>29</v>
      </c>
      <c r="E667" s="7">
        <v>45</v>
      </c>
      <c r="F667" s="7">
        <v>49.56</v>
      </c>
      <c r="G667" s="7">
        <v>29</v>
      </c>
      <c r="H667" s="7">
        <v>0</v>
      </c>
      <c r="I667" s="7">
        <v>0</v>
      </c>
      <c r="J667" s="7"/>
      <c r="K667" s="1" t="s">
        <v>105</v>
      </c>
      <c r="L667" s="1" t="s">
        <v>840</v>
      </c>
    </row>
    <row r="668" spans="1:12" ht="21" customHeight="1">
      <c r="A668" s="5">
        <v>46269</v>
      </c>
      <c r="B668" s="7">
        <v>46.91</v>
      </c>
      <c r="C668" s="7">
        <v>21767742</v>
      </c>
      <c r="D668" s="7">
        <v>45</v>
      </c>
      <c r="E668" s="7">
        <v>49</v>
      </c>
      <c r="F668" s="7">
        <v>58</v>
      </c>
      <c r="G668" s="7">
        <v>45</v>
      </c>
      <c r="H668" s="7">
        <v>0</v>
      </c>
      <c r="I668" s="7">
        <v>0</v>
      </c>
      <c r="J668" s="7"/>
      <c r="K668" s="1" t="s">
        <v>105</v>
      </c>
      <c r="L668" s="1" t="s">
        <v>841</v>
      </c>
    </row>
    <row r="669" spans="1:12" ht="21" customHeight="1">
      <c r="A669" s="5">
        <v>46272</v>
      </c>
      <c r="B669" s="7">
        <v>49.14</v>
      </c>
      <c r="C669" s="7">
        <v>12969123</v>
      </c>
      <c r="D669" s="7">
        <v>49</v>
      </c>
      <c r="E669" s="7">
        <v>46</v>
      </c>
      <c r="F669" s="7">
        <v>52</v>
      </c>
      <c r="G669" s="7">
        <v>47.44</v>
      </c>
      <c r="H669" s="7">
        <v>0</v>
      </c>
      <c r="I669" s="7">
        <v>0</v>
      </c>
      <c r="J669" s="7"/>
      <c r="K669" s="1" t="s">
        <v>105</v>
      </c>
      <c r="L669" s="1" t="s">
        <v>842</v>
      </c>
    </row>
    <row r="670" spans="1:12" ht="21" customHeight="1">
      <c r="A670" s="5">
        <v>46273</v>
      </c>
      <c r="B670" s="7">
        <v>42.06</v>
      </c>
      <c r="C670" s="7">
        <v>20004866</v>
      </c>
      <c r="D670" s="7">
        <v>46</v>
      </c>
      <c r="E670" s="7">
        <v>48.99</v>
      </c>
      <c r="F670" s="7">
        <v>52.99</v>
      </c>
      <c r="G670" s="7">
        <v>40</v>
      </c>
      <c r="H670" s="7">
        <v>0</v>
      </c>
      <c r="I670" s="7">
        <v>0</v>
      </c>
      <c r="J670" s="7"/>
      <c r="K670" s="1" t="s">
        <v>105</v>
      </c>
      <c r="L670" s="1" t="s">
        <v>843</v>
      </c>
    </row>
    <row r="671" spans="1:12" ht="21" customHeight="1">
      <c r="A671" s="5">
        <v>46274</v>
      </c>
      <c r="B671" s="7">
        <v>32.380000000000003</v>
      </c>
      <c r="C671" s="7">
        <v>38441048</v>
      </c>
      <c r="D671" s="7">
        <v>48.99</v>
      </c>
      <c r="E671" s="7">
        <v>38</v>
      </c>
      <c r="F671" s="7">
        <v>51</v>
      </c>
      <c r="G671" s="7">
        <v>32</v>
      </c>
      <c r="H671" s="7">
        <v>0</v>
      </c>
      <c r="I671" s="7">
        <v>0</v>
      </c>
      <c r="J671" s="7"/>
      <c r="K671" s="1" t="s">
        <v>105</v>
      </c>
      <c r="L671" s="1" t="s">
        <v>844</v>
      </c>
    </row>
    <row r="672" spans="1:12" ht="21" customHeight="1">
      <c r="A672" s="5">
        <v>46275</v>
      </c>
      <c r="B672" s="7">
        <v>29.33</v>
      </c>
      <c r="C672" s="7">
        <v>20069304</v>
      </c>
      <c r="D672" s="7">
        <v>38</v>
      </c>
      <c r="E672" s="7">
        <v>26</v>
      </c>
      <c r="F672" s="7">
        <v>38</v>
      </c>
      <c r="G672" s="7">
        <v>23.1</v>
      </c>
      <c r="H672" s="7">
        <v>0</v>
      </c>
      <c r="I672" s="7">
        <v>0</v>
      </c>
      <c r="J672" s="7"/>
      <c r="K672" s="1" t="s">
        <v>105</v>
      </c>
      <c r="L672" s="1" t="s">
        <v>845</v>
      </c>
    </row>
    <row r="673" spans="1:12" ht="21" customHeight="1">
      <c r="A673" s="5">
        <v>46276</v>
      </c>
      <c r="B673" s="7">
        <v>35.590000000000003</v>
      </c>
      <c r="C673" s="7">
        <v>22134246</v>
      </c>
      <c r="D673" s="7">
        <v>26</v>
      </c>
      <c r="E673" s="7">
        <v>37.15</v>
      </c>
      <c r="F673" s="7">
        <v>44</v>
      </c>
      <c r="G673" s="7">
        <v>26</v>
      </c>
      <c r="H673" s="7">
        <v>0</v>
      </c>
      <c r="I673" s="7">
        <v>0</v>
      </c>
      <c r="J673" s="7"/>
      <c r="K673" s="1" t="s">
        <v>105</v>
      </c>
      <c r="L673" s="1" t="s">
        <v>846</v>
      </c>
    </row>
    <row r="674" spans="1:12" ht="21" customHeight="1">
      <c r="A674" s="5">
        <v>46279</v>
      </c>
      <c r="B674" s="7">
        <v>48.24</v>
      </c>
      <c r="C674" s="7">
        <v>20539852</v>
      </c>
      <c r="D674" s="7">
        <v>37.15</v>
      </c>
      <c r="E674" s="7">
        <v>55</v>
      </c>
      <c r="F674" s="7">
        <v>49.93</v>
      </c>
      <c r="G674" s="7">
        <v>37.15</v>
      </c>
      <c r="H674" s="7">
        <v>0</v>
      </c>
      <c r="I674" s="7">
        <v>0</v>
      </c>
      <c r="J674" s="7"/>
      <c r="K674" s="1" t="s">
        <v>105</v>
      </c>
      <c r="L674" s="1" t="s">
        <v>847</v>
      </c>
    </row>
    <row r="675" spans="1:12" ht="21" customHeight="1">
      <c r="A675" s="5">
        <v>46280</v>
      </c>
      <c r="B675" s="7">
        <v>59.49</v>
      </c>
      <c r="C675" s="7">
        <v>67548216</v>
      </c>
      <c r="D675" s="7">
        <v>55</v>
      </c>
      <c r="E675" s="7">
        <v>61</v>
      </c>
      <c r="F675" s="7">
        <v>68</v>
      </c>
      <c r="G675" s="7">
        <v>47</v>
      </c>
      <c r="H675" s="7">
        <v>0</v>
      </c>
      <c r="I675" s="7">
        <v>0</v>
      </c>
      <c r="J675" s="7"/>
      <c r="K675" s="1" t="s">
        <v>105</v>
      </c>
      <c r="L675" s="1" t="s">
        <v>848</v>
      </c>
    </row>
    <row r="676" spans="1:12" ht="21" customHeight="1">
      <c r="A676" s="5">
        <v>46281</v>
      </c>
      <c r="B676" s="7">
        <v>56.82</v>
      </c>
      <c r="C676" s="7">
        <v>31602294</v>
      </c>
      <c r="D676" s="7">
        <v>61</v>
      </c>
      <c r="E676" s="7">
        <v>211</v>
      </c>
      <c r="F676" s="7">
        <v>69.709999999999994</v>
      </c>
      <c r="G676" s="7">
        <v>48.93</v>
      </c>
      <c r="H676" s="7">
        <v>0</v>
      </c>
      <c r="I676" s="7">
        <v>0</v>
      </c>
      <c r="J676" s="7"/>
      <c r="K676" s="1" t="s">
        <v>105</v>
      </c>
      <c r="L676" s="1" t="s">
        <v>849</v>
      </c>
    </row>
    <row r="677" spans="1:12" ht="21" customHeight="1">
      <c r="A677" s="5">
        <v>46255</v>
      </c>
      <c r="B677" s="7">
        <v>201.71</v>
      </c>
      <c r="C677" s="7">
        <v>15305316</v>
      </c>
      <c r="D677" s="7">
        <v>211</v>
      </c>
      <c r="E677" s="7">
        <v>165</v>
      </c>
      <c r="F677" s="7">
        <v>215</v>
      </c>
      <c r="G677" s="7">
        <v>165</v>
      </c>
      <c r="H677" s="7">
        <v>0</v>
      </c>
      <c r="I677" s="7">
        <v>0</v>
      </c>
      <c r="J677" s="7"/>
      <c r="K677" s="1" t="s">
        <v>101</v>
      </c>
      <c r="L677" s="1" t="s">
        <v>850</v>
      </c>
    </row>
    <row r="678" spans="1:12" ht="21" customHeight="1">
      <c r="A678" s="5">
        <v>46258</v>
      </c>
      <c r="B678" s="7">
        <v>127.23</v>
      </c>
      <c r="C678" s="7">
        <v>90261000</v>
      </c>
      <c r="D678" s="7">
        <v>165</v>
      </c>
      <c r="E678" s="7">
        <v>116</v>
      </c>
      <c r="F678" s="7">
        <v>245</v>
      </c>
      <c r="G678" s="7">
        <v>110</v>
      </c>
      <c r="H678" s="7">
        <v>0</v>
      </c>
      <c r="I678" s="7">
        <v>0</v>
      </c>
      <c r="J678" s="7"/>
      <c r="K678" s="1" t="s">
        <v>101</v>
      </c>
      <c r="L678" s="1" t="s">
        <v>851</v>
      </c>
    </row>
    <row r="679" spans="1:12" ht="21" customHeight="1">
      <c r="A679" s="5">
        <v>46259</v>
      </c>
      <c r="B679" s="7">
        <v>90.81</v>
      </c>
      <c r="C679" s="7">
        <v>66468080</v>
      </c>
      <c r="D679" s="7">
        <v>116</v>
      </c>
      <c r="E679" s="7">
        <v>85.77</v>
      </c>
      <c r="F679" s="7">
        <v>168</v>
      </c>
      <c r="G679" s="7">
        <v>90.15</v>
      </c>
      <c r="H679" s="7">
        <v>0</v>
      </c>
      <c r="I679" s="7">
        <v>0</v>
      </c>
      <c r="J679" s="7"/>
      <c r="K679" s="1" t="s">
        <v>101</v>
      </c>
      <c r="L679" s="1" t="s">
        <v>852</v>
      </c>
    </row>
    <row r="680" spans="1:12" ht="21" customHeight="1">
      <c r="A680" s="5">
        <v>46260</v>
      </c>
      <c r="B680" s="7">
        <v>92.32</v>
      </c>
      <c r="C680" s="7">
        <v>49229032</v>
      </c>
      <c r="D680" s="7">
        <v>85.77</v>
      </c>
      <c r="E680" s="7">
        <v>99</v>
      </c>
      <c r="F680" s="7">
        <v>102</v>
      </c>
      <c r="G680" s="7">
        <v>71</v>
      </c>
      <c r="H680" s="7">
        <v>0</v>
      </c>
      <c r="I680" s="7">
        <v>0</v>
      </c>
      <c r="J680" s="7"/>
      <c r="K680" s="1" t="s">
        <v>101</v>
      </c>
      <c r="L680" s="1" t="s">
        <v>853</v>
      </c>
    </row>
    <row r="681" spans="1:12" ht="21" customHeight="1">
      <c r="A681" s="5">
        <v>46261</v>
      </c>
      <c r="B681" s="7">
        <v>119.95</v>
      </c>
      <c r="C681" s="7">
        <v>62325680</v>
      </c>
      <c r="D681" s="7">
        <v>99</v>
      </c>
      <c r="E681" s="7">
        <v>126</v>
      </c>
      <c r="F681" s="7">
        <v>129.59</v>
      </c>
      <c r="G681" s="7">
        <v>86</v>
      </c>
      <c r="H681" s="7">
        <v>0</v>
      </c>
      <c r="I681" s="7">
        <v>0</v>
      </c>
      <c r="J681" s="7"/>
      <c r="K681" s="1" t="s">
        <v>101</v>
      </c>
      <c r="L681" s="1" t="s">
        <v>854</v>
      </c>
    </row>
    <row r="682" spans="1:12" ht="21" customHeight="1">
      <c r="A682" s="5">
        <v>46262</v>
      </c>
      <c r="B682" s="7">
        <v>125.54</v>
      </c>
      <c r="C682" s="7">
        <v>84735464</v>
      </c>
      <c r="D682" s="7">
        <v>126</v>
      </c>
      <c r="E682" s="7">
        <v>128</v>
      </c>
      <c r="F682" s="7">
        <v>159</v>
      </c>
      <c r="G682" s="7">
        <v>124</v>
      </c>
      <c r="H682" s="7">
        <v>0</v>
      </c>
      <c r="I682" s="7">
        <v>0</v>
      </c>
      <c r="J682" s="7"/>
      <c r="K682" s="1" t="s">
        <v>101</v>
      </c>
      <c r="L682" s="1" t="s">
        <v>855</v>
      </c>
    </row>
    <row r="683" spans="1:12" ht="21" customHeight="1">
      <c r="A683" s="5">
        <v>46265</v>
      </c>
      <c r="B683" s="7">
        <v>90.19</v>
      </c>
      <c r="C683" s="7">
        <v>65154644</v>
      </c>
      <c r="D683" s="7">
        <v>128</v>
      </c>
      <c r="E683" s="7">
        <v>99.4</v>
      </c>
      <c r="F683" s="7">
        <v>135</v>
      </c>
      <c r="G683" s="7">
        <v>80</v>
      </c>
      <c r="H683" s="7">
        <v>0</v>
      </c>
      <c r="I683" s="7">
        <v>0</v>
      </c>
      <c r="J683" s="7"/>
      <c r="K683" s="1" t="s">
        <v>101</v>
      </c>
      <c r="L683" s="1" t="s">
        <v>856</v>
      </c>
    </row>
    <row r="684" spans="1:12" ht="21" customHeight="1">
      <c r="A684" s="5">
        <v>46266</v>
      </c>
      <c r="B684" s="7">
        <v>85.04</v>
      </c>
      <c r="C684" s="7">
        <v>47338000</v>
      </c>
      <c r="D684" s="7">
        <v>99.4</v>
      </c>
      <c r="E684" s="7">
        <v>70</v>
      </c>
      <c r="F684" s="7">
        <v>105.98</v>
      </c>
      <c r="G684" s="7">
        <v>74</v>
      </c>
      <c r="H684" s="7">
        <v>0</v>
      </c>
      <c r="I684" s="7">
        <v>0</v>
      </c>
      <c r="J684" s="7"/>
      <c r="K684" s="1" t="s">
        <v>101</v>
      </c>
      <c r="L684" s="1" t="s">
        <v>857</v>
      </c>
    </row>
    <row r="685" spans="1:12" ht="21" customHeight="1">
      <c r="A685" s="5">
        <v>46267</v>
      </c>
      <c r="B685" s="7">
        <v>66.11</v>
      </c>
      <c r="C685" s="7">
        <v>34053432</v>
      </c>
      <c r="D685" s="7">
        <v>70</v>
      </c>
      <c r="E685" s="7">
        <v>58.1</v>
      </c>
      <c r="F685" s="7">
        <v>87</v>
      </c>
      <c r="G685" s="7">
        <v>64</v>
      </c>
      <c r="H685" s="7">
        <v>0</v>
      </c>
      <c r="I685" s="7">
        <v>0</v>
      </c>
      <c r="J685" s="7"/>
      <c r="K685" s="1" t="s">
        <v>101</v>
      </c>
      <c r="L685" s="1" t="s">
        <v>858</v>
      </c>
    </row>
    <row r="686" spans="1:12" ht="21" customHeight="1">
      <c r="A686" s="5">
        <v>46268</v>
      </c>
      <c r="B686" s="7">
        <v>73.430000000000007</v>
      </c>
      <c r="C686" s="7">
        <v>26117368</v>
      </c>
      <c r="D686" s="7">
        <v>58.1</v>
      </c>
      <c r="E686" s="7">
        <v>69</v>
      </c>
      <c r="F686" s="7">
        <v>78.900000000000006</v>
      </c>
      <c r="G686" s="7">
        <v>50</v>
      </c>
      <c r="H686" s="7">
        <v>0</v>
      </c>
      <c r="I686" s="7">
        <v>0</v>
      </c>
      <c r="J686" s="7"/>
      <c r="K686" s="1" t="s">
        <v>101</v>
      </c>
      <c r="L686" s="1" t="s">
        <v>859</v>
      </c>
    </row>
    <row r="687" spans="1:12" ht="21" customHeight="1">
      <c r="A687" s="5">
        <v>46269</v>
      </c>
      <c r="B687" s="7">
        <v>76.05</v>
      </c>
      <c r="C687" s="7">
        <v>33339540</v>
      </c>
      <c r="D687" s="7">
        <v>69</v>
      </c>
      <c r="E687" s="7">
        <v>75.12</v>
      </c>
      <c r="F687" s="7">
        <v>90.5</v>
      </c>
      <c r="G687" s="7">
        <v>68</v>
      </c>
      <c r="H687" s="7">
        <v>0</v>
      </c>
      <c r="I687" s="7">
        <v>0</v>
      </c>
      <c r="J687" s="7"/>
      <c r="K687" s="1" t="s">
        <v>101</v>
      </c>
      <c r="L687" s="1" t="s">
        <v>860</v>
      </c>
    </row>
    <row r="688" spans="1:12" ht="21" customHeight="1">
      <c r="A688" s="5">
        <v>46272</v>
      </c>
      <c r="B688" s="7">
        <v>81.09</v>
      </c>
      <c r="C688" s="7">
        <v>3770500</v>
      </c>
      <c r="D688" s="7">
        <v>75.12</v>
      </c>
      <c r="E688" s="7">
        <v>80</v>
      </c>
      <c r="F688" s="7">
        <v>83</v>
      </c>
      <c r="G688" s="7">
        <v>75.12</v>
      </c>
      <c r="H688" s="7">
        <v>0</v>
      </c>
      <c r="I688" s="7">
        <v>0</v>
      </c>
      <c r="J688" s="7"/>
      <c r="K688" s="1" t="s">
        <v>101</v>
      </c>
      <c r="L688" s="1" t="s">
        <v>861</v>
      </c>
    </row>
    <row r="689" spans="1:12" ht="21" customHeight="1">
      <c r="A689" s="5">
        <v>46273</v>
      </c>
      <c r="B689" s="7">
        <v>68.23</v>
      </c>
      <c r="C689" s="7">
        <v>21542124</v>
      </c>
      <c r="D689" s="7">
        <v>80</v>
      </c>
      <c r="E689" s="7">
        <v>74</v>
      </c>
      <c r="F689" s="7">
        <v>85.9</v>
      </c>
      <c r="G689" s="7">
        <v>67</v>
      </c>
      <c r="H689" s="7">
        <v>0</v>
      </c>
      <c r="I689" s="7">
        <v>0</v>
      </c>
      <c r="J689" s="7"/>
      <c r="K689" s="1" t="s">
        <v>101</v>
      </c>
      <c r="L689" s="1" t="s">
        <v>862</v>
      </c>
    </row>
    <row r="690" spans="1:12" ht="21" customHeight="1">
      <c r="A690" s="5">
        <v>46274</v>
      </c>
      <c r="B690" s="7">
        <v>55.42</v>
      </c>
      <c r="C690" s="7">
        <v>25460566</v>
      </c>
      <c r="D690" s="7">
        <v>74</v>
      </c>
      <c r="E690" s="7">
        <v>64</v>
      </c>
      <c r="F690" s="7">
        <v>84</v>
      </c>
      <c r="G690" s="7">
        <v>50.1</v>
      </c>
      <c r="H690" s="7">
        <v>0</v>
      </c>
      <c r="I690" s="7">
        <v>0</v>
      </c>
      <c r="J690" s="7"/>
      <c r="K690" s="1" t="s">
        <v>101</v>
      </c>
      <c r="L690" s="1" t="s">
        <v>863</v>
      </c>
    </row>
    <row r="691" spans="1:12" ht="21" customHeight="1">
      <c r="A691" s="5">
        <v>46275</v>
      </c>
      <c r="B691" s="7">
        <v>50.26</v>
      </c>
      <c r="C691" s="7">
        <v>22889404</v>
      </c>
      <c r="D691" s="7">
        <v>64</v>
      </c>
      <c r="E691" s="7">
        <v>53.99</v>
      </c>
      <c r="F691" s="7">
        <v>64.47</v>
      </c>
      <c r="G691" s="7">
        <v>40</v>
      </c>
      <c r="H691" s="7">
        <v>0</v>
      </c>
      <c r="I691" s="7">
        <v>0</v>
      </c>
      <c r="J691" s="7"/>
      <c r="K691" s="1" t="s">
        <v>101</v>
      </c>
      <c r="L691" s="1" t="s">
        <v>864</v>
      </c>
    </row>
    <row r="692" spans="1:12" ht="21" customHeight="1">
      <c r="A692" s="5">
        <v>46276</v>
      </c>
      <c r="B692" s="7">
        <v>62.2</v>
      </c>
      <c r="C692" s="7">
        <v>29853540</v>
      </c>
      <c r="D692" s="7">
        <v>53.99</v>
      </c>
      <c r="E692" s="7">
        <v>75</v>
      </c>
      <c r="F692" s="7">
        <v>78</v>
      </c>
      <c r="G692" s="7">
        <v>47.78</v>
      </c>
      <c r="H692" s="7">
        <v>0</v>
      </c>
      <c r="I692" s="7">
        <v>0</v>
      </c>
      <c r="J692" s="7"/>
      <c r="K692" s="1" t="s">
        <v>101</v>
      </c>
      <c r="L692" s="1" t="s">
        <v>865</v>
      </c>
    </row>
    <row r="693" spans="1:12" ht="21" customHeight="1">
      <c r="A693" s="5">
        <v>46279</v>
      </c>
      <c r="B693" s="7">
        <v>81.680000000000007</v>
      </c>
      <c r="C693" s="7">
        <v>36600232</v>
      </c>
      <c r="D693" s="7">
        <v>75</v>
      </c>
      <c r="E693" s="7">
        <v>80</v>
      </c>
      <c r="F693" s="7">
        <v>82.99</v>
      </c>
      <c r="G693" s="7">
        <v>61</v>
      </c>
      <c r="H693" s="7">
        <v>0</v>
      </c>
      <c r="I693" s="7">
        <v>0</v>
      </c>
      <c r="J693" s="7"/>
      <c r="K693" s="1" t="s">
        <v>101</v>
      </c>
      <c r="L693" s="1" t="s">
        <v>866</v>
      </c>
    </row>
    <row r="694" spans="1:12" ht="21" customHeight="1">
      <c r="A694" s="5">
        <v>46280</v>
      </c>
      <c r="B694" s="7">
        <v>97.24</v>
      </c>
      <c r="C694" s="7">
        <v>62372620</v>
      </c>
      <c r="D694" s="7">
        <v>80</v>
      </c>
      <c r="E694" s="7">
        <v>104.99</v>
      </c>
      <c r="F694" s="7">
        <v>112</v>
      </c>
      <c r="G694" s="7">
        <v>80</v>
      </c>
      <c r="H694" s="7">
        <v>0</v>
      </c>
      <c r="I694" s="7">
        <v>0</v>
      </c>
      <c r="J694" s="7"/>
      <c r="K694" s="1" t="s">
        <v>101</v>
      </c>
      <c r="L694" s="1" t="s">
        <v>867</v>
      </c>
    </row>
    <row r="695" spans="1:12" ht="21" customHeight="1">
      <c r="A695" s="5">
        <v>46281</v>
      </c>
      <c r="B695" s="7">
        <v>97.41</v>
      </c>
      <c r="C695" s="7">
        <v>54669212</v>
      </c>
      <c r="D695" s="7">
        <v>104.99</v>
      </c>
      <c r="E695" s="7">
        <v>190</v>
      </c>
      <c r="F695" s="7">
        <v>117.6</v>
      </c>
      <c r="G695" s="7">
        <v>83.05</v>
      </c>
      <c r="H695" s="7">
        <v>0</v>
      </c>
      <c r="I695" s="7">
        <v>0</v>
      </c>
      <c r="J695" s="7"/>
      <c r="K695" s="1" t="s">
        <v>101</v>
      </c>
      <c r="L695" s="1" t="s">
        <v>868</v>
      </c>
    </row>
    <row r="696" spans="1:12" ht="21" customHeight="1">
      <c r="A696" s="5">
        <v>46255</v>
      </c>
      <c r="B696" s="7">
        <v>290.5</v>
      </c>
      <c r="C696" s="7">
        <v>57884704</v>
      </c>
      <c r="D696" s="7">
        <v>190</v>
      </c>
      <c r="E696" s="7">
        <v>300</v>
      </c>
      <c r="F696" s="7">
        <v>300</v>
      </c>
      <c r="G696" s="7">
        <v>190</v>
      </c>
      <c r="H696" s="7">
        <v>0</v>
      </c>
      <c r="I696" s="7">
        <v>0</v>
      </c>
      <c r="J696" s="7"/>
      <c r="K696" s="1" t="s">
        <v>96</v>
      </c>
      <c r="L696" s="1" t="s">
        <v>869</v>
      </c>
    </row>
    <row r="697" spans="1:12" ht="21" customHeight="1">
      <c r="A697" s="5">
        <v>46258</v>
      </c>
      <c r="B697" s="7">
        <v>175.6</v>
      </c>
      <c r="C697" s="7">
        <v>269393792</v>
      </c>
      <c r="D697" s="7">
        <v>300</v>
      </c>
      <c r="E697" s="7">
        <v>185</v>
      </c>
      <c r="F697" s="7">
        <v>350</v>
      </c>
      <c r="G697" s="7">
        <v>161</v>
      </c>
      <c r="H697" s="7">
        <v>0</v>
      </c>
      <c r="I697" s="7">
        <v>0</v>
      </c>
      <c r="J697" s="7"/>
      <c r="K697" s="1" t="s">
        <v>96</v>
      </c>
      <c r="L697" s="1" t="s">
        <v>870</v>
      </c>
    </row>
    <row r="698" spans="1:12" ht="21" customHeight="1">
      <c r="A698" s="5">
        <v>46259</v>
      </c>
      <c r="B698" s="7">
        <v>133.02000000000001</v>
      </c>
      <c r="C698" s="7">
        <v>166157664</v>
      </c>
      <c r="D698" s="7">
        <v>185</v>
      </c>
      <c r="E698" s="7">
        <v>129</v>
      </c>
      <c r="F698" s="7">
        <v>200</v>
      </c>
      <c r="G698" s="7">
        <v>130</v>
      </c>
      <c r="H698" s="7">
        <v>0</v>
      </c>
      <c r="I698" s="7">
        <v>0</v>
      </c>
      <c r="J698" s="7"/>
      <c r="K698" s="1" t="s">
        <v>96</v>
      </c>
      <c r="L698" s="1" t="s">
        <v>871</v>
      </c>
    </row>
    <row r="699" spans="1:12" ht="21" customHeight="1">
      <c r="A699" s="5">
        <v>46260</v>
      </c>
      <c r="B699" s="7">
        <v>135.93</v>
      </c>
      <c r="C699" s="7">
        <v>85600376</v>
      </c>
      <c r="D699" s="7">
        <v>129</v>
      </c>
      <c r="E699" s="7">
        <v>138</v>
      </c>
      <c r="F699" s="7">
        <v>150</v>
      </c>
      <c r="G699" s="7">
        <v>108</v>
      </c>
      <c r="H699" s="7">
        <v>0</v>
      </c>
      <c r="I699" s="7">
        <v>0</v>
      </c>
      <c r="J699" s="7"/>
      <c r="K699" s="1" t="s">
        <v>96</v>
      </c>
      <c r="L699" s="1" t="s">
        <v>872</v>
      </c>
    </row>
    <row r="700" spans="1:12" ht="21" customHeight="1">
      <c r="A700" s="5">
        <v>46261</v>
      </c>
      <c r="B700" s="7">
        <v>172.27</v>
      </c>
      <c r="C700" s="7">
        <v>121716192</v>
      </c>
      <c r="D700" s="7">
        <v>138</v>
      </c>
      <c r="E700" s="7">
        <v>170</v>
      </c>
      <c r="F700" s="7">
        <v>185</v>
      </c>
      <c r="G700" s="7">
        <v>130</v>
      </c>
      <c r="H700" s="7">
        <v>0</v>
      </c>
      <c r="I700" s="7">
        <v>0</v>
      </c>
      <c r="J700" s="7"/>
      <c r="K700" s="1" t="s">
        <v>96</v>
      </c>
      <c r="L700" s="1" t="s">
        <v>873</v>
      </c>
    </row>
    <row r="701" spans="1:12" ht="21" customHeight="1">
      <c r="A701" s="5">
        <v>46262</v>
      </c>
      <c r="B701" s="7">
        <v>179.89</v>
      </c>
      <c r="C701" s="7">
        <v>177694320</v>
      </c>
      <c r="D701" s="7">
        <v>170</v>
      </c>
      <c r="E701" s="7">
        <v>170</v>
      </c>
      <c r="F701" s="7">
        <v>220</v>
      </c>
      <c r="G701" s="7">
        <v>170</v>
      </c>
      <c r="H701" s="7">
        <v>0</v>
      </c>
      <c r="I701" s="7">
        <v>0</v>
      </c>
      <c r="J701" s="7"/>
      <c r="K701" s="1" t="s">
        <v>96</v>
      </c>
      <c r="L701" s="1" t="s">
        <v>874</v>
      </c>
    </row>
    <row r="702" spans="1:12" ht="21" customHeight="1">
      <c r="A702" s="5">
        <v>46265</v>
      </c>
      <c r="B702" s="7">
        <v>137.66999999999999</v>
      </c>
      <c r="C702" s="7">
        <v>88075136</v>
      </c>
      <c r="D702" s="7">
        <v>170</v>
      </c>
      <c r="E702" s="7">
        <v>149.5</v>
      </c>
      <c r="F702" s="7">
        <v>196.11</v>
      </c>
      <c r="G702" s="7">
        <v>115.4</v>
      </c>
      <c r="H702" s="7">
        <v>0</v>
      </c>
      <c r="I702" s="7">
        <v>0</v>
      </c>
      <c r="J702" s="7"/>
      <c r="K702" s="1" t="s">
        <v>96</v>
      </c>
      <c r="L702" s="1" t="s">
        <v>875</v>
      </c>
    </row>
    <row r="703" spans="1:12" ht="21" customHeight="1">
      <c r="A703" s="5">
        <v>46266</v>
      </c>
      <c r="B703" s="7">
        <v>127.45</v>
      </c>
      <c r="C703" s="7">
        <v>108462736</v>
      </c>
      <c r="D703" s="7">
        <v>149.5</v>
      </c>
      <c r="E703" s="7">
        <v>135</v>
      </c>
      <c r="F703" s="7">
        <v>165</v>
      </c>
      <c r="G703" s="7">
        <v>110</v>
      </c>
      <c r="H703" s="7">
        <v>0</v>
      </c>
      <c r="I703" s="7">
        <v>0</v>
      </c>
      <c r="J703" s="7"/>
      <c r="K703" s="1" t="s">
        <v>96</v>
      </c>
      <c r="L703" s="1" t="s">
        <v>876</v>
      </c>
    </row>
    <row r="704" spans="1:12" ht="21" customHeight="1">
      <c r="A704" s="5">
        <v>46267</v>
      </c>
      <c r="B704" s="7">
        <v>103.46</v>
      </c>
      <c r="C704" s="7">
        <v>65994224</v>
      </c>
      <c r="D704" s="7">
        <v>135</v>
      </c>
      <c r="E704" s="7">
        <v>93.3</v>
      </c>
      <c r="F704" s="7">
        <v>135</v>
      </c>
      <c r="G704" s="7">
        <v>100</v>
      </c>
      <c r="H704" s="7">
        <v>0</v>
      </c>
      <c r="I704" s="7">
        <v>0</v>
      </c>
      <c r="J704" s="7"/>
      <c r="K704" s="1" t="s">
        <v>96</v>
      </c>
      <c r="L704" s="1" t="s">
        <v>877</v>
      </c>
    </row>
    <row r="705" spans="1:12" ht="21" customHeight="1">
      <c r="A705" s="5">
        <v>46268</v>
      </c>
      <c r="B705" s="7">
        <v>113.71</v>
      </c>
      <c r="C705" s="7">
        <v>86233792</v>
      </c>
      <c r="D705" s="7">
        <v>93.3</v>
      </c>
      <c r="E705" s="7">
        <v>109.89</v>
      </c>
      <c r="F705" s="7">
        <v>120</v>
      </c>
      <c r="G705" s="7">
        <v>75</v>
      </c>
      <c r="H705" s="7">
        <v>0</v>
      </c>
      <c r="I705" s="7">
        <v>0</v>
      </c>
      <c r="J705" s="7"/>
      <c r="K705" s="1" t="s">
        <v>96</v>
      </c>
      <c r="L705" s="1" t="s">
        <v>878</v>
      </c>
    </row>
    <row r="706" spans="1:12" ht="21" customHeight="1">
      <c r="A706" s="5">
        <v>46269</v>
      </c>
      <c r="B706" s="7">
        <v>116.45</v>
      </c>
      <c r="C706" s="7">
        <v>58862520</v>
      </c>
      <c r="D706" s="7">
        <v>109.89</v>
      </c>
      <c r="E706" s="7">
        <v>111</v>
      </c>
      <c r="F706" s="7">
        <v>140</v>
      </c>
      <c r="G706" s="7">
        <v>109.89</v>
      </c>
      <c r="H706" s="7">
        <v>0</v>
      </c>
      <c r="I706" s="7">
        <v>0</v>
      </c>
      <c r="J706" s="7"/>
      <c r="K706" s="1" t="s">
        <v>96</v>
      </c>
      <c r="L706" s="1" t="s">
        <v>879</v>
      </c>
    </row>
    <row r="707" spans="1:12" ht="21" customHeight="1">
      <c r="A707" s="5">
        <v>46272</v>
      </c>
      <c r="B707" s="7">
        <v>124.24</v>
      </c>
      <c r="C707" s="7">
        <v>6553844.5</v>
      </c>
      <c r="D707" s="7">
        <v>111</v>
      </c>
      <c r="E707" s="7">
        <v>126</v>
      </c>
      <c r="F707" s="7">
        <v>130.1</v>
      </c>
      <c r="G707" s="7">
        <v>111</v>
      </c>
      <c r="H707" s="7">
        <v>0</v>
      </c>
      <c r="I707" s="7">
        <v>0</v>
      </c>
      <c r="J707" s="7"/>
      <c r="K707" s="1" t="s">
        <v>96</v>
      </c>
      <c r="L707" s="1" t="s">
        <v>880</v>
      </c>
    </row>
    <row r="708" spans="1:12" ht="21" customHeight="1">
      <c r="A708" s="5">
        <v>46273</v>
      </c>
      <c r="B708" s="7">
        <v>109.53</v>
      </c>
      <c r="C708" s="7">
        <v>32637114</v>
      </c>
      <c r="D708" s="7">
        <v>126</v>
      </c>
      <c r="E708" s="7">
        <v>129</v>
      </c>
      <c r="F708" s="7">
        <v>134</v>
      </c>
      <c r="G708" s="7">
        <v>101.3</v>
      </c>
      <c r="H708" s="7">
        <v>0</v>
      </c>
      <c r="I708" s="7">
        <v>0</v>
      </c>
      <c r="J708" s="7"/>
      <c r="K708" s="1" t="s">
        <v>96</v>
      </c>
      <c r="L708" s="1" t="s">
        <v>881</v>
      </c>
    </row>
    <row r="709" spans="1:12" ht="21" customHeight="1">
      <c r="A709" s="5">
        <v>46274</v>
      </c>
      <c r="B709" s="7">
        <v>89.43</v>
      </c>
      <c r="C709" s="7">
        <v>55405064</v>
      </c>
      <c r="D709" s="7">
        <v>129</v>
      </c>
      <c r="E709" s="7">
        <v>101</v>
      </c>
      <c r="F709" s="7">
        <v>132</v>
      </c>
      <c r="G709" s="7">
        <v>80.180000000000007</v>
      </c>
      <c r="H709" s="7">
        <v>0</v>
      </c>
      <c r="I709" s="7">
        <v>0</v>
      </c>
      <c r="J709" s="7"/>
      <c r="K709" s="1" t="s">
        <v>96</v>
      </c>
      <c r="L709" s="1" t="s">
        <v>882</v>
      </c>
    </row>
    <row r="710" spans="1:12" ht="21" customHeight="1">
      <c r="A710" s="5">
        <v>46275</v>
      </c>
      <c r="B710" s="7">
        <v>79.55</v>
      </c>
      <c r="C710" s="7">
        <v>62363836</v>
      </c>
      <c r="D710" s="7">
        <v>101</v>
      </c>
      <c r="E710" s="7">
        <v>75</v>
      </c>
      <c r="F710" s="7">
        <v>101</v>
      </c>
      <c r="G710" s="7">
        <v>65.39</v>
      </c>
      <c r="H710" s="7">
        <v>0</v>
      </c>
      <c r="I710" s="7">
        <v>0</v>
      </c>
      <c r="J710" s="7"/>
      <c r="K710" s="1" t="s">
        <v>96</v>
      </c>
      <c r="L710" s="1" t="s">
        <v>883</v>
      </c>
    </row>
    <row r="711" spans="1:12" ht="21" customHeight="1">
      <c r="A711" s="5">
        <v>46276</v>
      </c>
      <c r="B711" s="7">
        <v>95.07</v>
      </c>
      <c r="C711" s="7">
        <v>61645404</v>
      </c>
      <c r="D711" s="7">
        <v>75</v>
      </c>
      <c r="E711" s="7">
        <v>100</v>
      </c>
      <c r="F711" s="7">
        <v>115.51</v>
      </c>
      <c r="G711" s="7">
        <v>75</v>
      </c>
      <c r="H711" s="7">
        <v>0</v>
      </c>
      <c r="I711" s="7">
        <v>0</v>
      </c>
      <c r="J711" s="7"/>
      <c r="K711" s="1" t="s">
        <v>96</v>
      </c>
      <c r="L711" s="1" t="s">
        <v>884</v>
      </c>
    </row>
    <row r="712" spans="1:12" ht="21" customHeight="1">
      <c r="A712" s="5">
        <v>46279</v>
      </c>
      <c r="B712" s="7">
        <v>130.18</v>
      </c>
      <c r="C712" s="7">
        <v>76737328</v>
      </c>
      <c r="D712" s="7">
        <v>100</v>
      </c>
      <c r="E712" s="7">
        <v>139</v>
      </c>
      <c r="F712" s="7">
        <v>134.69</v>
      </c>
      <c r="G712" s="7">
        <v>97</v>
      </c>
      <c r="H712" s="7">
        <v>0</v>
      </c>
      <c r="I712" s="7">
        <v>0</v>
      </c>
      <c r="J712" s="7"/>
      <c r="K712" s="1" t="s">
        <v>96</v>
      </c>
      <c r="L712" s="1" t="s">
        <v>885</v>
      </c>
    </row>
    <row r="713" spans="1:12" ht="21" customHeight="1">
      <c r="A713" s="5">
        <v>46280</v>
      </c>
      <c r="B713" s="7">
        <v>151.43</v>
      </c>
      <c r="C713" s="7">
        <v>154461408</v>
      </c>
      <c r="D713" s="7">
        <v>139</v>
      </c>
      <c r="E713" s="7">
        <v>164.99</v>
      </c>
      <c r="F713" s="7">
        <v>172</v>
      </c>
      <c r="G713" s="7">
        <v>130.15</v>
      </c>
      <c r="H713" s="7">
        <v>0</v>
      </c>
      <c r="I713" s="7">
        <v>0</v>
      </c>
      <c r="J713" s="7"/>
      <c r="K713" s="1" t="s">
        <v>96</v>
      </c>
      <c r="L713" s="1" t="s">
        <v>886</v>
      </c>
    </row>
    <row r="714" spans="1:12" ht="21" customHeight="1">
      <c r="A714" s="5">
        <v>46281</v>
      </c>
      <c r="B714" s="7">
        <v>150.25</v>
      </c>
      <c r="C714" s="7">
        <v>109657352</v>
      </c>
      <c r="D714" s="7">
        <v>164.99</v>
      </c>
      <c r="E714" s="7">
        <v>350</v>
      </c>
      <c r="F714" s="7">
        <v>171</v>
      </c>
      <c r="G714" s="7">
        <v>132.99</v>
      </c>
      <c r="H714" s="7">
        <v>0</v>
      </c>
      <c r="I714" s="7">
        <v>0</v>
      </c>
      <c r="J714" s="7"/>
      <c r="K714" s="1" t="s">
        <v>96</v>
      </c>
      <c r="L714" s="1" t="s">
        <v>887</v>
      </c>
    </row>
    <row r="715" spans="1:12" ht="21" customHeight="1">
      <c r="A715" s="5">
        <v>46255</v>
      </c>
      <c r="B715" s="7">
        <v>374.07</v>
      </c>
      <c r="C715" s="7">
        <v>110064368</v>
      </c>
      <c r="D715" s="7">
        <v>350</v>
      </c>
      <c r="E715" s="7">
        <v>365</v>
      </c>
      <c r="F715" s="7">
        <v>390</v>
      </c>
      <c r="G715" s="7">
        <v>290</v>
      </c>
      <c r="H715" s="7">
        <v>0</v>
      </c>
      <c r="I715" s="7">
        <v>0</v>
      </c>
      <c r="J715" s="7"/>
      <c r="K715" s="1" t="s">
        <v>92</v>
      </c>
      <c r="L715" s="1" t="s">
        <v>888</v>
      </c>
    </row>
    <row r="716" spans="1:12" ht="21" customHeight="1">
      <c r="A716" s="5">
        <v>46258</v>
      </c>
      <c r="B716" s="7">
        <v>235.77</v>
      </c>
      <c r="C716" s="7">
        <v>349124160</v>
      </c>
      <c r="D716" s="7">
        <v>365</v>
      </c>
      <c r="E716" s="7">
        <v>230</v>
      </c>
      <c r="F716" s="7">
        <v>420</v>
      </c>
      <c r="G716" s="7">
        <v>220</v>
      </c>
      <c r="H716" s="7">
        <v>0</v>
      </c>
      <c r="I716" s="7">
        <v>0</v>
      </c>
      <c r="J716" s="7"/>
      <c r="K716" s="1" t="s">
        <v>92</v>
      </c>
      <c r="L716" s="1" t="s">
        <v>889</v>
      </c>
    </row>
    <row r="717" spans="1:12" ht="21" customHeight="1">
      <c r="A717" s="5">
        <v>46259</v>
      </c>
      <c r="B717" s="7">
        <v>188.16</v>
      </c>
      <c r="C717" s="7">
        <v>212049856</v>
      </c>
      <c r="D717" s="7">
        <v>230</v>
      </c>
      <c r="E717" s="7">
        <v>170</v>
      </c>
      <c r="F717" s="7">
        <v>263</v>
      </c>
      <c r="G717" s="7">
        <v>183</v>
      </c>
      <c r="H717" s="7">
        <v>0</v>
      </c>
      <c r="I717" s="7">
        <v>0</v>
      </c>
      <c r="J717" s="7"/>
      <c r="K717" s="1" t="s">
        <v>92</v>
      </c>
      <c r="L717" s="1" t="s">
        <v>890</v>
      </c>
    </row>
    <row r="718" spans="1:12" ht="21" customHeight="1">
      <c r="A718" s="5">
        <v>46260</v>
      </c>
      <c r="B718" s="7">
        <v>195.14</v>
      </c>
      <c r="C718" s="7">
        <v>154578496</v>
      </c>
      <c r="D718" s="7">
        <v>170</v>
      </c>
      <c r="E718" s="7">
        <v>180</v>
      </c>
      <c r="F718" s="7">
        <v>215</v>
      </c>
      <c r="G718" s="7">
        <v>165</v>
      </c>
      <c r="H718" s="7">
        <v>0</v>
      </c>
      <c r="I718" s="7">
        <v>0</v>
      </c>
      <c r="J718" s="7"/>
      <c r="K718" s="1" t="s">
        <v>92</v>
      </c>
      <c r="L718" s="1" t="s">
        <v>891</v>
      </c>
    </row>
    <row r="719" spans="1:12" ht="21" customHeight="1">
      <c r="A719" s="5">
        <v>46261</v>
      </c>
      <c r="B719" s="7">
        <v>237.9</v>
      </c>
      <c r="C719" s="7">
        <v>234706816</v>
      </c>
      <c r="D719" s="7">
        <v>180</v>
      </c>
      <c r="E719" s="7">
        <v>200</v>
      </c>
      <c r="F719" s="7">
        <v>259</v>
      </c>
      <c r="G719" s="7">
        <v>180</v>
      </c>
      <c r="H719" s="7">
        <v>0</v>
      </c>
      <c r="I719" s="7">
        <v>0</v>
      </c>
      <c r="J719" s="7"/>
      <c r="K719" s="1" t="s">
        <v>92</v>
      </c>
      <c r="L719" s="1" t="s">
        <v>892</v>
      </c>
    </row>
    <row r="720" spans="1:12" ht="21" customHeight="1">
      <c r="A720" s="5">
        <v>46262</v>
      </c>
      <c r="B720" s="7">
        <v>249.3</v>
      </c>
      <c r="C720" s="7">
        <v>305045952</v>
      </c>
      <c r="D720" s="7">
        <v>200</v>
      </c>
      <c r="E720" s="7">
        <v>240</v>
      </c>
      <c r="F720" s="7">
        <v>301.98</v>
      </c>
      <c r="G720" s="7">
        <v>200</v>
      </c>
      <c r="H720" s="7">
        <v>0</v>
      </c>
      <c r="I720" s="7">
        <v>0</v>
      </c>
      <c r="J720" s="7"/>
      <c r="K720" s="1" t="s">
        <v>92</v>
      </c>
      <c r="L720" s="1" t="s">
        <v>893</v>
      </c>
    </row>
    <row r="721" spans="1:12" ht="21" customHeight="1">
      <c r="A721" s="5">
        <v>46265</v>
      </c>
      <c r="B721" s="7">
        <v>193.67</v>
      </c>
      <c r="C721" s="7">
        <v>162617312</v>
      </c>
      <c r="D721" s="7">
        <v>240</v>
      </c>
      <c r="E721" s="7">
        <v>215</v>
      </c>
      <c r="F721" s="7">
        <v>248.1</v>
      </c>
      <c r="G721" s="7">
        <v>168</v>
      </c>
      <c r="H721" s="7">
        <v>0</v>
      </c>
      <c r="I721" s="7">
        <v>0</v>
      </c>
      <c r="J721" s="7"/>
      <c r="K721" s="1" t="s">
        <v>92</v>
      </c>
      <c r="L721" s="1" t="s">
        <v>894</v>
      </c>
    </row>
    <row r="722" spans="1:12" ht="21" customHeight="1">
      <c r="A722" s="5">
        <v>46266</v>
      </c>
      <c r="B722" s="7">
        <v>178.65</v>
      </c>
      <c r="C722" s="7">
        <v>218682928</v>
      </c>
      <c r="D722" s="7">
        <v>215</v>
      </c>
      <c r="E722" s="7">
        <v>175</v>
      </c>
      <c r="F722" s="7">
        <v>240</v>
      </c>
      <c r="G722" s="7">
        <v>158.05000000000001</v>
      </c>
      <c r="H722" s="7">
        <v>0</v>
      </c>
      <c r="I722" s="7">
        <v>0</v>
      </c>
      <c r="J722" s="7"/>
      <c r="K722" s="1" t="s">
        <v>92</v>
      </c>
      <c r="L722" s="1" t="s">
        <v>895</v>
      </c>
    </row>
    <row r="723" spans="1:12" ht="21" customHeight="1">
      <c r="A723" s="5">
        <v>46267</v>
      </c>
      <c r="B723" s="7">
        <v>146.29</v>
      </c>
      <c r="C723" s="7">
        <v>141914928</v>
      </c>
      <c r="D723" s="7">
        <v>175</v>
      </c>
      <c r="E723" s="7">
        <v>151</v>
      </c>
      <c r="F723" s="7">
        <v>181</v>
      </c>
      <c r="G723" s="7">
        <v>140</v>
      </c>
      <c r="H723" s="7">
        <v>0</v>
      </c>
      <c r="I723" s="7">
        <v>0</v>
      </c>
      <c r="J723" s="7"/>
      <c r="K723" s="1" t="s">
        <v>92</v>
      </c>
      <c r="L723" s="1" t="s">
        <v>896</v>
      </c>
    </row>
    <row r="724" spans="1:12" ht="21" customHeight="1">
      <c r="A724" s="5">
        <v>46268</v>
      </c>
      <c r="B724" s="7">
        <v>167.73</v>
      </c>
      <c r="C724" s="7">
        <v>285943328</v>
      </c>
      <c r="D724" s="7">
        <v>151</v>
      </c>
      <c r="E724" s="7">
        <v>167.24</v>
      </c>
      <c r="F724" s="7">
        <v>183</v>
      </c>
      <c r="G724" s="7">
        <v>111</v>
      </c>
      <c r="H724" s="7">
        <v>0</v>
      </c>
      <c r="I724" s="7">
        <v>0</v>
      </c>
      <c r="J724" s="7"/>
      <c r="K724" s="1" t="s">
        <v>92</v>
      </c>
      <c r="L724" s="1" t="s">
        <v>897</v>
      </c>
    </row>
    <row r="725" spans="1:12" ht="21" customHeight="1">
      <c r="A725" s="5">
        <v>46269</v>
      </c>
      <c r="B725" s="7">
        <v>169.4</v>
      </c>
      <c r="C725" s="7">
        <v>109030056</v>
      </c>
      <c r="D725" s="7">
        <v>167.24</v>
      </c>
      <c r="E725" s="7">
        <v>168.58</v>
      </c>
      <c r="F725" s="7">
        <v>200</v>
      </c>
      <c r="G725" s="7">
        <v>160</v>
      </c>
      <c r="H725" s="7">
        <v>0</v>
      </c>
      <c r="I725" s="7">
        <v>0</v>
      </c>
      <c r="J725" s="7"/>
      <c r="K725" s="1" t="s">
        <v>92</v>
      </c>
      <c r="L725" s="1" t="s">
        <v>898</v>
      </c>
    </row>
    <row r="726" spans="1:12" ht="21" customHeight="1">
      <c r="A726" s="5">
        <v>46272</v>
      </c>
      <c r="B726" s="7">
        <v>180.32</v>
      </c>
      <c r="C726" s="7">
        <v>16609572</v>
      </c>
      <c r="D726" s="7">
        <v>168.58</v>
      </c>
      <c r="E726" s="7">
        <v>200</v>
      </c>
      <c r="F726" s="7">
        <v>184.94</v>
      </c>
      <c r="G726" s="7">
        <v>168.58</v>
      </c>
      <c r="H726" s="7">
        <v>0</v>
      </c>
      <c r="I726" s="7">
        <v>0</v>
      </c>
      <c r="J726" s="7"/>
      <c r="K726" s="1" t="s">
        <v>92</v>
      </c>
      <c r="L726" s="1" t="s">
        <v>899</v>
      </c>
    </row>
    <row r="727" spans="1:12" ht="21" customHeight="1">
      <c r="A727" s="5">
        <v>46273</v>
      </c>
      <c r="B727" s="7">
        <v>164.7</v>
      </c>
      <c r="C727" s="7">
        <v>68128544</v>
      </c>
      <c r="D727" s="7">
        <v>200</v>
      </c>
      <c r="E727" s="7">
        <v>165</v>
      </c>
      <c r="F727" s="7">
        <v>200</v>
      </c>
      <c r="G727" s="7">
        <v>154</v>
      </c>
      <c r="H727" s="7">
        <v>0</v>
      </c>
      <c r="I727" s="7">
        <v>0</v>
      </c>
      <c r="J727" s="7"/>
      <c r="K727" s="1" t="s">
        <v>92</v>
      </c>
      <c r="L727" s="1" t="s">
        <v>900</v>
      </c>
    </row>
    <row r="728" spans="1:12" ht="21" customHeight="1">
      <c r="A728" s="5">
        <v>46274</v>
      </c>
      <c r="B728" s="7">
        <v>133.94999999999999</v>
      </c>
      <c r="C728" s="7">
        <v>190944560</v>
      </c>
      <c r="D728" s="7">
        <v>165</v>
      </c>
      <c r="E728" s="7">
        <v>163</v>
      </c>
      <c r="F728" s="7">
        <v>200</v>
      </c>
      <c r="G728" s="7">
        <v>132</v>
      </c>
      <c r="H728" s="7">
        <v>0</v>
      </c>
      <c r="I728" s="7">
        <v>0</v>
      </c>
      <c r="J728" s="7"/>
      <c r="K728" s="1" t="s">
        <v>92</v>
      </c>
      <c r="L728" s="1" t="s">
        <v>901</v>
      </c>
    </row>
    <row r="729" spans="1:12" ht="21" customHeight="1">
      <c r="A729" s="5">
        <v>46275</v>
      </c>
      <c r="B729" s="7">
        <v>119.26</v>
      </c>
      <c r="C729" s="7">
        <v>110005104</v>
      </c>
      <c r="D729" s="7">
        <v>163</v>
      </c>
      <c r="E729" s="7">
        <v>90</v>
      </c>
      <c r="F729" s="7">
        <v>163</v>
      </c>
      <c r="G729" s="7">
        <v>101</v>
      </c>
      <c r="H729" s="7">
        <v>0</v>
      </c>
      <c r="I729" s="7">
        <v>0</v>
      </c>
      <c r="J729" s="7"/>
      <c r="K729" s="1" t="s">
        <v>92</v>
      </c>
      <c r="L729" s="1" t="s">
        <v>902</v>
      </c>
    </row>
    <row r="730" spans="1:12" ht="21" customHeight="1">
      <c r="A730" s="5">
        <v>46276</v>
      </c>
      <c r="B730" s="7">
        <v>152.55000000000001</v>
      </c>
      <c r="C730" s="7">
        <v>134174904</v>
      </c>
      <c r="D730" s="7">
        <v>90</v>
      </c>
      <c r="E730" s="7">
        <v>170</v>
      </c>
      <c r="F730" s="7">
        <v>174</v>
      </c>
      <c r="G730" s="7">
        <v>90</v>
      </c>
      <c r="H730" s="7">
        <v>0</v>
      </c>
      <c r="I730" s="7">
        <v>0</v>
      </c>
      <c r="J730" s="7"/>
      <c r="K730" s="1" t="s">
        <v>92</v>
      </c>
      <c r="L730" s="1" t="s">
        <v>903</v>
      </c>
    </row>
    <row r="731" spans="1:12" ht="21" customHeight="1">
      <c r="A731" s="5">
        <v>46279</v>
      </c>
      <c r="B731" s="7">
        <v>192.29</v>
      </c>
      <c r="C731" s="7">
        <v>115791792</v>
      </c>
      <c r="D731" s="7">
        <v>170</v>
      </c>
      <c r="E731" s="7">
        <v>184.95</v>
      </c>
      <c r="F731" s="7">
        <v>200</v>
      </c>
      <c r="G731" s="7">
        <v>137.47999999999999</v>
      </c>
      <c r="H731" s="7">
        <v>0</v>
      </c>
      <c r="I731" s="7">
        <v>0</v>
      </c>
      <c r="J731" s="7"/>
      <c r="K731" s="1" t="s">
        <v>92</v>
      </c>
      <c r="L731" s="1" t="s">
        <v>904</v>
      </c>
    </row>
    <row r="732" spans="1:12" ht="21" customHeight="1">
      <c r="A732" s="5">
        <v>46280</v>
      </c>
      <c r="B732" s="7">
        <v>220.68</v>
      </c>
      <c r="C732" s="7">
        <v>232898432</v>
      </c>
      <c r="D732" s="7">
        <v>184.95</v>
      </c>
      <c r="E732" s="7">
        <v>249</v>
      </c>
      <c r="F732" s="7">
        <v>249</v>
      </c>
      <c r="G732" s="7">
        <v>184.95</v>
      </c>
      <c r="H732" s="7">
        <v>0</v>
      </c>
      <c r="I732" s="7">
        <v>0</v>
      </c>
      <c r="J732" s="7"/>
      <c r="K732" s="1" t="s">
        <v>92</v>
      </c>
      <c r="L732" s="1" t="s">
        <v>905</v>
      </c>
    </row>
    <row r="733" spans="1:12" ht="21" customHeight="1">
      <c r="A733" s="5">
        <v>46281</v>
      </c>
      <c r="B733" s="7">
        <v>222.45</v>
      </c>
      <c r="C733" s="7">
        <v>124328488</v>
      </c>
      <c r="D733" s="7">
        <v>249</v>
      </c>
      <c r="E733" s="7">
        <v>470</v>
      </c>
      <c r="F733" s="7">
        <v>249</v>
      </c>
      <c r="G733" s="7">
        <v>198.18</v>
      </c>
      <c r="H733" s="7">
        <v>0</v>
      </c>
      <c r="I733" s="7">
        <v>0</v>
      </c>
      <c r="J733" s="7"/>
      <c r="K733" s="1" t="s">
        <v>92</v>
      </c>
      <c r="L733" s="1" t="s">
        <v>906</v>
      </c>
    </row>
    <row r="734" spans="1:12" ht="21" customHeight="1">
      <c r="A734" s="5">
        <v>46255</v>
      </c>
      <c r="B734" s="7">
        <v>450.05</v>
      </c>
      <c r="C734" s="7">
        <v>34926320</v>
      </c>
      <c r="D734" s="7">
        <v>470</v>
      </c>
      <c r="E734" s="7">
        <v>450</v>
      </c>
      <c r="F734" s="7">
        <v>485</v>
      </c>
      <c r="G734" s="7">
        <v>383.44</v>
      </c>
      <c r="H734" s="7">
        <v>0</v>
      </c>
      <c r="I734" s="7">
        <v>0</v>
      </c>
      <c r="J734" s="7"/>
      <c r="K734" s="1" t="s">
        <v>89</v>
      </c>
      <c r="L734" s="1" t="s">
        <v>907</v>
      </c>
    </row>
    <row r="735" spans="1:12" ht="21" customHeight="1">
      <c r="A735" s="5">
        <v>46258</v>
      </c>
      <c r="B735" s="7">
        <v>309</v>
      </c>
      <c r="C735" s="7">
        <v>160321328</v>
      </c>
      <c r="D735" s="7">
        <v>450</v>
      </c>
      <c r="E735" s="7">
        <v>301.89999999999998</v>
      </c>
      <c r="F735" s="7">
        <v>450</v>
      </c>
      <c r="G735" s="7">
        <v>290</v>
      </c>
      <c r="H735" s="7">
        <v>0</v>
      </c>
      <c r="I735" s="7">
        <v>0</v>
      </c>
      <c r="J735" s="7"/>
      <c r="K735" s="1" t="s">
        <v>89</v>
      </c>
      <c r="L735" s="1" t="s">
        <v>908</v>
      </c>
    </row>
    <row r="736" spans="1:12" ht="21" customHeight="1">
      <c r="A736" s="5">
        <v>46259</v>
      </c>
      <c r="B736" s="7">
        <v>251.5</v>
      </c>
      <c r="C736" s="7">
        <v>144849968</v>
      </c>
      <c r="D736" s="7">
        <v>301.89999999999998</v>
      </c>
      <c r="E736" s="7">
        <v>211</v>
      </c>
      <c r="F736" s="7">
        <v>335</v>
      </c>
      <c r="G736" s="7">
        <v>240</v>
      </c>
      <c r="H736" s="7">
        <v>0</v>
      </c>
      <c r="I736" s="7">
        <v>0</v>
      </c>
      <c r="J736" s="7"/>
      <c r="K736" s="1" t="s">
        <v>89</v>
      </c>
      <c r="L736" s="1" t="s">
        <v>909</v>
      </c>
    </row>
    <row r="737" spans="1:12" ht="21" customHeight="1">
      <c r="A737" s="5">
        <v>46260</v>
      </c>
      <c r="B737" s="7">
        <v>260.29000000000002</v>
      </c>
      <c r="C737" s="7">
        <v>147960448</v>
      </c>
      <c r="D737" s="7">
        <v>211</v>
      </c>
      <c r="E737" s="7">
        <v>269</v>
      </c>
      <c r="F737" s="7">
        <v>290</v>
      </c>
      <c r="G737" s="7">
        <v>210</v>
      </c>
      <c r="H737" s="7">
        <v>0</v>
      </c>
      <c r="I737" s="7">
        <v>0</v>
      </c>
      <c r="J737" s="7"/>
      <c r="K737" s="1" t="s">
        <v>89</v>
      </c>
      <c r="L737" s="1" t="s">
        <v>910</v>
      </c>
    </row>
    <row r="738" spans="1:12" ht="21" customHeight="1">
      <c r="A738" s="5">
        <v>46261</v>
      </c>
      <c r="B738" s="7">
        <v>319.7</v>
      </c>
      <c r="C738" s="7">
        <v>98834760</v>
      </c>
      <c r="D738" s="7">
        <v>269</v>
      </c>
      <c r="E738" s="7">
        <v>399.99</v>
      </c>
      <c r="F738" s="7">
        <v>335</v>
      </c>
      <c r="G738" s="7">
        <v>240.01</v>
      </c>
      <c r="H738" s="7">
        <v>0</v>
      </c>
      <c r="I738" s="7">
        <v>0</v>
      </c>
      <c r="J738" s="7"/>
      <c r="K738" s="1" t="s">
        <v>89</v>
      </c>
      <c r="L738" s="1" t="s">
        <v>911</v>
      </c>
    </row>
    <row r="739" spans="1:12" ht="21" customHeight="1">
      <c r="A739" s="5">
        <v>46262</v>
      </c>
      <c r="B739" s="7">
        <v>332.14</v>
      </c>
      <c r="C739" s="7">
        <v>117761568</v>
      </c>
      <c r="D739" s="7">
        <v>399.99</v>
      </c>
      <c r="E739" s="7">
        <v>318.81</v>
      </c>
      <c r="F739" s="7">
        <v>399.99</v>
      </c>
      <c r="G739" s="7">
        <v>324.99</v>
      </c>
      <c r="H739" s="7">
        <v>0</v>
      </c>
      <c r="I739" s="7">
        <v>0</v>
      </c>
      <c r="J739" s="7"/>
      <c r="K739" s="1" t="s">
        <v>89</v>
      </c>
      <c r="L739" s="1" t="s">
        <v>912</v>
      </c>
    </row>
    <row r="740" spans="1:12" ht="21" customHeight="1">
      <c r="A740" s="5">
        <v>46265</v>
      </c>
      <c r="B740" s="7">
        <v>262.94</v>
      </c>
      <c r="C740" s="7">
        <v>172245376</v>
      </c>
      <c r="D740" s="7">
        <v>318.81</v>
      </c>
      <c r="E740" s="7">
        <v>296</v>
      </c>
      <c r="F740" s="7">
        <v>338.98</v>
      </c>
      <c r="G740" s="7">
        <v>235</v>
      </c>
      <c r="H740" s="7">
        <v>0</v>
      </c>
      <c r="I740" s="7">
        <v>0</v>
      </c>
      <c r="J740" s="7"/>
      <c r="K740" s="1" t="s">
        <v>89</v>
      </c>
      <c r="L740" s="1" t="s">
        <v>913</v>
      </c>
    </row>
    <row r="741" spans="1:12" ht="21" customHeight="1">
      <c r="A741" s="5">
        <v>46266</v>
      </c>
      <c r="B741" s="7">
        <v>251.94</v>
      </c>
      <c r="C741" s="7">
        <v>67521120</v>
      </c>
      <c r="D741" s="7">
        <v>296</v>
      </c>
      <c r="E741" s="7">
        <v>240</v>
      </c>
      <c r="F741" s="7">
        <v>315</v>
      </c>
      <c r="G741" s="7">
        <v>215</v>
      </c>
      <c r="H741" s="7">
        <v>0</v>
      </c>
      <c r="I741" s="7">
        <v>0</v>
      </c>
      <c r="J741" s="7"/>
      <c r="K741" s="1" t="s">
        <v>89</v>
      </c>
      <c r="L741" s="1" t="s">
        <v>914</v>
      </c>
    </row>
    <row r="742" spans="1:12" ht="21" customHeight="1">
      <c r="A742" s="5">
        <v>46267</v>
      </c>
      <c r="B742" s="7">
        <v>210.34</v>
      </c>
      <c r="C742" s="7">
        <v>76401512</v>
      </c>
      <c r="D742" s="7">
        <v>240</v>
      </c>
      <c r="E742" s="7">
        <v>190</v>
      </c>
      <c r="F742" s="7">
        <v>256.85000000000002</v>
      </c>
      <c r="G742" s="7">
        <v>205.01</v>
      </c>
      <c r="H742" s="7">
        <v>0</v>
      </c>
      <c r="I742" s="7">
        <v>0</v>
      </c>
      <c r="J742" s="7"/>
      <c r="K742" s="1" t="s">
        <v>89</v>
      </c>
      <c r="L742" s="1" t="s">
        <v>915</v>
      </c>
    </row>
    <row r="743" spans="1:12" ht="21" customHeight="1">
      <c r="A743" s="5">
        <v>46268</v>
      </c>
      <c r="B743" s="7">
        <v>235.69</v>
      </c>
      <c r="C743" s="7">
        <v>176546384</v>
      </c>
      <c r="D743" s="7">
        <v>190</v>
      </c>
      <c r="E743" s="7">
        <v>250</v>
      </c>
      <c r="F743" s="7">
        <v>249</v>
      </c>
      <c r="G743" s="7">
        <v>166</v>
      </c>
      <c r="H743" s="7">
        <v>0</v>
      </c>
      <c r="I743" s="7">
        <v>0</v>
      </c>
      <c r="J743" s="7"/>
      <c r="K743" s="1" t="s">
        <v>89</v>
      </c>
      <c r="L743" s="1" t="s">
        <v>916</v>
      </c>
    </row>
    <row r="744" spans="1:12" ht="21" customHeight="1">
      <c r="A744" s="5">
        <v>46269</v>
      </c>
      <c r="B744" s="7">
        <v>237.19</v>
      </c>
      <c r="C744" s="7">
        <v>58824368</v>
      </c>
      <c r="D744" s="7">
        <v>250</v>
      </c>
      <c r="E744" s="7">
        <v>242.85</v>
      </c>
      <c r="F744" s="7">
        <v>284</v>
      </c>
      <c r="G744" s="7">
        <v>228</v>
      </c>
      <c r="H744" s="7">
        <v>0</v>
      </c>
      <c r="I744" s="7">
        <v>0</v>
      </c>
      <c r="J744" s="7"/>
      <c r="K744" s="1" t="s">
        <v>89</v>
      </c>
      <c r="L744" s="1" t="s">
        <v>917</v>
      </c>
    </row>
    <row r="745" spans="1:12" ht="21" customHeight="1">
      <c r="A745" s="5">
        <v>46272</v>
      </c>
      <c r="B745" s="7">
        <v>254.66</v>
      </c>
      <c r="C745" s="7">
        <v>12808101</v>
      </c>
      <c r="D745" s="7">
        <v>242.85</v>
      </c>
      <c r="E745" s="7">
        <v>284.99</v>
      </c>
      <c r="F745" s="7">
        <v>264.99</v>
      </c>
      <c r="G745" s="7">
        <v>240.01</v>
      </c>
      <c r="H745" s="7">
        <v>0</v>
      </c>
      <c r="I745" s="7">
        <v>0</v>
      </c>
      <c r="J745" s="7"/>
      <c r="K745" s="1" t="s">
        <v>89</v>
      </c>
      <c r="L745" s="1" t="s">
        <v>918</v>
      </c>
    </row>
    <row r="746" spans="1:12" ht="21" customHeight="1">
      <c r="A746" s="5">
        <v>46273</v>
      </c>
      <c r="B746" s="7">
        <v>224.24</v>
      </c>
      <c r="C746" s="7">
        <v>105680440</v>
      </c>
      <c r="D746" s="7">
        <v>284.99</v>
      </c>
      <c r="E746" s="7">
        <v>224</v>
      </c>
      <c r="F746" s="7">
        <v>284.99</v>
      </c>
      <c r="G746" s="7">
        <v>215</v>
      </c>
      <c r="H746" s="7">
        <v>0</v>
      </c>
      <c r="I746" s="7">
        <v>0</v>
      </c>
      <c r="J746" s="7"/>
      <c r="K746" s="1" t="s">
        <v>89</v>
      </c>
      <c r="L746" s="1" t="s">
        <v>919</v>
      </c>
    </row>
    <row r="747" spans="1:12" ht="21" customHeight="1">
      <c r="A747" s="5">
        <v>46274</v>
      </c>
      <c r="B747" s="7">
        <v>195.89</v>
      </c>
      <c r="C747" s="7">
        <v>161789408</v>
      </c>
      <c r="D747" s="7">
        <v>224</v>
      </c>
      <c r="E747" s="7">
        <v>220</v>
      </c>
      <c r="F747" s="7">
        <v>275</v>
      </c>
      <c r="G747" s="7">
        <v>142</v>
      </c>
      <c r="H747" s="7">
        <v>0</v>
      </c>
      <c r="I747" s="7">
        <v>0</v>
      </c>
      <c r="J747" s="7"/>
      <c r="K747" s="1" t="s">
        <v>89</v>
      </c>
      <c r="L747" s="1" t="s">
        <v>920</v>
      </c>
    </row>
    <row r="748" spans="1:12" ht="21" customHeight="1">
      <c r="A748" s="5">
        <v>46275</v>
      </c>
      <c r="B748" s="7">
        <v>180.26</v>
      </c>
      <c r="C748" s="7">
        <v>181138896</v>
      </c>
      <c r="D748" s="7">
        <v>220</v>
      </c>
      <c r="E748" s="7">
        <v>169.99</v>
      </c>
      <c r="F748" s="7">
        <v>224</v>
      </c>
      <c r="G748" s="7">
        <v>148</v>
      </c>
      <c r="H748" s="7">
        <v>0</v>
      </c>
      <c r="I748" s="7">
        <v>0</v>
      </c>
      <c r="J748" s="7"/>
      <c r="K748" s="1" t="s">
        <v>89</v>
      </c>
      <c r="L748" s="1" t="s">
        <v>921</v>
      </c>
    </row>
    <row r="749" spans="1:12" ht="21" customHeight="1">
      <c r="A749" s="5">
        <v>46276</v>
      </c>
      <c r="B749" s="7">
        <v>222.83</v>
      </c>
      <c r="C749" s="7">
        <v>133711784</v>
      </c>
      <c r="D749" s="7">
        <v>169.99</v>
      </c>
      <c r="E749" s="7">
        <v>262.5</v>
      </c>
      <c r="F749" s="7">
        <v>250</v>
      </c>
      <c r="G749" s="7">
        <v>169.99</v>
      </c>
      <c r="H749" s="7">
        <v>0</v>
      </c>
      <c r="I749" s="7">
        <v>0</v>
      </c>
      <c r="J749" s="7"/>
      <c r="K749" s="1" t="s">
        <v>89</v>
      </c>
      <c r="L749" s="1" t="s">
        <v>922</v>
      </c>
    </row>
    <row r="750" spans="1:12" ht="21" customHeight="1">
      <c r="A750" s="5">
        <v>46279</v>
      </c>
      <c r="B750" s="7">
        <v>275.35000000000002</v>
      </c>
      <c r="C750" s="7">
        <v>155947568</v>
      </c>
      <c r="D750" s="7">
        <v>262.5</v>
      </c>
      <c r="E750" s="7">
        <v>298.95999999999998</v>
      </c>
      <c r="F750" s="7">
        <v>299</v>
      </c>
      <c r="G750" s="7">
        <v>214</v>
      </c>
      <c r="H750" s="7">
        <v>0</v>
      </c>
      <c r="I750" s="7">
        <v>0</v>
      </c>
      <c r="J750" s="7"/>
      <c r="K750" s="1" t="s">
        <v>89</v>
      </c>
      <c r="L750" s="1" t="s">
        <v>923</v>
      </c>
    </row>
    <row r="751" spans="1:12" ht="21" customHeight="1">
      <c r="A751" s="5">
        <v>46280</v>
      </c>
      <c r="B751" s="7">
        <v>311.72000000000003</v>
      </c>
      <c r="C751" s="7">
        <v>177815008</v>
      </c>
      <c r="D751" s="7">
        <v>298.95999999999998</v>
      </c>
      <c r="E751" s="7">
        <v>330</v>
      </c>
      <c r="F751" s="7">
        <v>340</v>
      </c>
      <c r="G751" s="7">
        <v>286</v>
      </c>
      <c r="H751" s="7">
        <v>0</v>
      </c>
      <c r="I751" s="7">
        <v>0</v>
      </c>
      <c r="J751" s="7"/>
      <c r="K751" s="1" t="s">
        <v>89</v>
      </c>
      <c r="L751" s="1" t="s">
        <v>924</v>
      </c>
    </row>
    <row r="752" spans="1:12" ht="21" customHeight="1">
      <c r="A752" s="5">
        <v>46281</v>
      </c>
      <c r="B752" s="7">
        <v>312.14999999999998</v>
      </c>
      <c r="C752" s="7">
        <v>81244632</v>
      </c>
      <c r="D752" s="7">
        <v>330</v>
      </c>
      <c r="E752" s="7">
        <v>560</v>
      </c>
      <c r="F752" s="7">
        <v>345</v>
      </c>
      <c r="G752" s="7">
        <v>285</v>
      </c>
      <c r="H752" s="7">
        <v>0</v>
      </c>
      <c r="I752" s="7">
        <v>0</v>
      </c>
      <c r="J752" s="7"/>
      <c r="K752" s="1" t="s">
        <v>89</v>
      </c>
      <c r="L752" s="1" t="s">
        <v>925</v>
      </c>
    </row>
    <row r="753" spans="1:12" ht="21" customHeight="1">
      <c r="A753" s="5">
        <v>46255</v>
      </c>
      <c r="B753" s="7">
        <v>570</v>
      </c>
      <c r="C753" s="7">
        <v>65445404</v>
      </c>
      <c r="D753" s="7">
        <v>560</v>
      </c>
      <c r="E753" s="7">
        <v>570</v>
      </c>
      <c r="F753" s="7">
        <v>597</v>
      </c>
      <c r="G753" s="7">
        <v>435</v>
      </c>
      <c r="H753" s="7">
        <v>0</v>
      </c>
      <c r="I753" s="7">
        <v>0</v>
      </c>
      <c r="J753" s="7"/>
      <c r="K753" s="1" t="s">
        <v>94</v>
      </c>
      <c r="L753" s="1" t="s">
        <v>926</v>
      </c>
    </row>
    <row r="754" spans="1:12" ht="21" customHeight="1">
      <c r="A754" s="5">
        <v>46258</v>
      </c>
      <c r="B754" s="7">
        <v>400.7</v>
      </c>
      <c r="C754" s="7">
        <v>622850880</v>
      </c>
      <c r="D754" s="7">
        <v>570</v>
      </c>
      <c r="E754" s="7">
        <v>413</v>
      </c>
      <c r="F754" s="7">
        <v>570</v>
      </c>
      <c r="G754" s="7">
        <v>370.01</v>
      </c>
      <c r="H754" s="7">
        <v>0</v>
      </c>
      <c r="I754" s="7">
        <v>0</v>
      </c>
      <c r="J754" s="7"/>
      <c r="K754" s="1" t="s">
        <v>94</v>
      </c>
      <c r="L754" s="1" t="s">
        <v>927</v>
      </c>
    </row>
    <row r="755" spans="1:12" ht="21" customHeight="1">
      <c r="A755" s="5">
        <v>46259</v>
      </c>
      <c r="B755" s="7">
        <v>333.44</v>
      </c>
      <c r="C755" s="7">
        <v>147368496</v>
      </c>
      <c r="D755" s="7">
        <v>413</v>
      </c>
      <c r="E755" s="7">
        <v>280</v>
      </c>
      <c r="F755" s="7">
        <v>429</v>
      </c>
      <c r="G755" s="7">
        <v>325.02</v>
      </c>
      <c r="H755" s="7">
        <v>0</v>
      </c>
      <c r="I755" s="7">
        <v>0</v>
      </c>
      <c r="J755" s="7"/>
      <c r="K755" s="1" t="s">
        <v>94</v>
      </c>
      <c r="L755" s="1" t="s">
        <v>928</v>
      </c>
    </row>
    <row r="756" spans="1:12" ht="21" customHeight="1">
      <c r="A756" s="5">
        <v>46260</v>
      </c>
      <c r="B756" s="7">
        <v>344.64</v>
      </c>
      <c r="C756" s="7">
        <v>112670816</v>
      </c>
      <c r="D756" s="7">
        <v>280</v>
      </c>
      <c r="E756" s="7">
        <v>360</v>
      </c>
      <c r="F756" s="7">
        <v>370</v>
      </c>
      <c r="G756" s="7">
        <v>280</v>
      </c>
      <c r="H756" s="7">
        <v>0</v>
      </c>
      <c r="I756" s="7">
        <v>0</v>
      </c>
      <c r="J756" s="7"/>
      <c r="K756" s="1" t="s">
        <v>94</v>
      </c>
      <c r="L756" s="1" t="s">
        <v>929</v>
      </c>
    </row>
    <row r="757" spans="1:12" ht="21" customHeight="1">
      <c r="A757" s="5">
        <v>46261</v>
      </c>
      <c r="B757" s="7">
        <v>414.3</v>
      </c>
      <c r="C757" s="7">
        <v>151859664</v>
      </c>
      <c r="D757" s="7">
        <v>360</v>
      </c>
      <c r="E757" s="7">
        <v>439.98</v>
      </c>
      <c r="F757" s="7">
        <v>430</v>
      </c>
      <c r="G757" s="7">
        <v>306</v>
      </c>
      <c r="H757" s="7">
        <v>0</v>
      </c>
      <c r="I757" s="7">
        <v>0</v>
      </c>
      <c r="J757" s="7"/>
      <c r="K757" s="1" t="s">
        <v>94</v>
      </c>
      <c r="L757" s="1" t="s">
        <v>930</v>
      </c>
    </row>
    <row r="758" spans="1:12" ht="21" customHeight="1">
      <c r="A758" s="5">
        <v>46262</v>
      </c>
      <c r="B758" s="7">
        <v>436.88</v>
      </c>
      <c r="C758" s="7">
        <v>113558816</v>
      </c>
      <c r="D758" s="7">
        <v>439.98</v>
      </c>
      <c r="E758" s="7">
        <v>412.52</v>
      </c>
      <c r="F758" s="7">
        <v>494.78</v>
      </c>
      <c r="G758" s="7">
        <v>420</v>
      </c>
      <c r="H758" s="7">
        <v>0</v>
      </c>
      <c r="I758" s="7">
        <v>0</v>
      </c>
      <c r="J758" s="7"/>
      <c r="K758" s="1" t="s">
        <v>94</v>
      </c>
      <c r="L758" s="1" t="s">
        <v>931</v>
      </c>
    </row>
    <row r="759" spans="1:12" ht="21" customHeight="1">
      <c r="A759" s="5">
        <v>46265</v>
      </c>
      <c r="B759" s="7">
        <v>346.09</v>
      </c>
      <c r="C759" s="7">
        <v>147815968</v>
      </c>
      <c r="D759" s="7">
        <v>412.52</v>
      </c>
      <c r="E759" s="7">
        <v>390</v>
      </c>
      <c r="F759" s="7">
        <v>429.48</v>
      </c>
      <c r="G759" s="7">
        <v>310</v>
      </c>
      <c r="H759" s="7">
        <v>0</v>
      </c>
      <c r="I759" s="7">
        <v>0</v>
      </c>
      <c r="J759" s="7"/>
      <c r="K759" s="1" t="s">
        <v>94</v>
      </c>
      <c r="L759" s="1" t="s">
        <v>932</v>
      </c>
    </row>
    <row r="760" spans="1:12" ht="21" customHeight="1">
      <c r="A760" s="5">
        <v>46266</v>
      </c>
      <c r="B760" s="7">
        <v>334.82</v>
      </c>
      <c r="C760" s="7">
        <v>161734720</v>
      </c>
      <c r="D760" s="7">
        <v>390</v>
      </c>
      <c r="E760" s="7">
        <v>325</v>
      </c>
      <c r="F760" s="7">
        <v>400</v>
      </c>
      <c r="G760" s="7">
        <v>285</v>
      </c>
      <c r="H760" s="7">
        <v>0</v>
      </c>
      <c r="I760" s="7">
        <v>0</v>
      </c>
      <c r="J760" s="7"/>
      <c r="K760" s="1" t="s">
        <v>94</v>
      </c>
      <c r="L760" s="1" t="s">
        <v>933</v>
      </c>
    </row>
    <row r="761" spans="1:12" ht="21" customHeight="1">
      <c r="A761" s="5">
        <v>46267</v>
      </c>
      <c r="B761" s="7">
        <v>286.63</v>
      </c>
      <c r="C761" s="7">
        <v>247666304</v>
      </c>
      <c r="D761" s="7">
        <v>325</v>
      </c>
      <c r="E761" s="7">
        <v>285</v>
      </c>
      <c r="F761" s="7">
        <v>335</v>
      </c>
      <c r="G761" s="7">
        <v>280.01</v>
      </c>
      <c r="H761" s="7">
        <v>0</v>
      </c>
      <c r="I761" s="7">
        <v>0</v>
      </c>
      <c r="J761" s="7"/>
      <c r="K761" s="1" t="s">
        <v>94</v>
      </c>
      <c r="L761" s="1" t="s">
        <v>934</v>
      </c>
    </row>
    <row r="762" spans="1:12" ht="21" customHeight="1">
      <c r="A762" s="5">
        <v>46268</v>
      </c>
      <c r="B762" s="7">
        <v>315.24</v>
      </c>
      <c r="C762" s="7">
        <v>213086576</v>
      </c>
      <c r="D762" s="7">
        <v>285</v>
      </c>
      <c r="E762" s="7">
        <v>307.01</v>
      </c>
      <c r="F762" s="7">
        <v>337</v>
      </c>
      <c r="G762" s="7">
        <v>240</v>
      </c>
      <c r="H762" s="7">
        <v>0</v>
      </c>
      <c r="I762" s="7">
        <v>0</v>
      </c>
      <c r="J762" s="7"/>
      <c r="K762" s="1" t="s">
        <v>94</v>
      </c>
      <c r="L762" s="1" t="s">
        <v>935</v>
      </c>
    </row>
    <row r="763" spans="1:12" ht="21" customHeight="1">
      <c r="A763" s="5">
        <v>46269</v>
      </c>
      <c r="B763" s="7">
        <v>319.58</v>
      </c>
      <c r="C763" s="7">
        <v>132573840</v>
      </c>
      <c r="D763" s="7">
        <v>307.01</v>
      </c>
      <c r="E763" s="7">
        <v>344.56</v>
      </c>
      <c r="F763" s="7">
        <v>366</v>
      </c>
      <c r="G763" s="7">
        <v>290</v>
      </c>
      <c r="H763" s="7">
        <v>0</v>
      </c>
      <c r="I763" s="7">
        <v>0</v>
      </c>
      <c r="J763" s="7"/>
      <c r="K763" s="1" t="s">
        <v>94</v>
      </c>
      <c r="L763" s="1" t="s">
        <v>936</v>
      </c>
    </row>
    <row r="764" spans="1:12" ht="21" customHeight="1">
      <c r="A764" s="5">
        <v>46272</v>
      </c>
      <c r="B764" s="7">
        <v>341.02</v>
      </c>
      <c r="C764" s="7">
        <v>39547268</v>
      </c>
      <c r="D764" s="7">
        <v>344.56</v>
      </c>
      <c r="E764" s="7">
        <v>325.01</v>
      </c>
      <c r="F764" s="7">
        <v>377.43</v>
      </c>
      <c r="G764" s="7">
        <v>332</v>
      </c>
      <c r="H764" s="7">
        <v>0</v>
      </c>
      <c r="I764" s="7">
        <v>0</v>
      </c>
      <c r="J764" s="7"/>
      <c r="K764" s="1" t="s">
        <v>94</v>
      </c>
      <c r="L764" s="1" t="s">
        <v>937</v>
      </c>
    </row>
    <row r="765" spans="1:12" ht="21" customHeight="1">
      <c r="A765" s="5">
        <v>46273</v>
      </c>
      <c r="B765" s="7">
        <v>317.07</v>
      </c>
      <c r="C765" s="7">
        <v>194390672</v>
      </c>
      <c r="D765" s="7">
        <v>325.01</v>
      </c>
      <c r="E765" s="7">
        <v>330</v>
      </c>
      <c r="F765" s="7">
        <v>360</v>
      </c>
      <c r="G765" s="7">
        <v>300.11</v>
      </c>
      <c r="H765" s="7">
        <v>0</v>
      </c>
      <c r="I765" s="7">
        <v>0</v>
      </c>
      <c r="J765" s="7"/>
      <c r="K765" s="1" t="s">
        <v>94</v>
      </c>
      <c r="L765" s="1" t="s">
        <v>938</v>
      </c>
    </row>
    <row r="766" spans="1:12" ht="21" customHeight="1">
      <c r="A766" s="5">
        <v>46274</v>
      </c>
      <c r="B766" s="7">
        <v>279.23</v>
      </c>
      <c r="C766" s="7">
        <v>193098256</v>
      </c>
      <c r="D766" s="7">
        <v>330</v>
      </c>
      <c r="E766" s="7">
        <v>320</v>
      </c>
      <c r="F766" s="7">
        <v>367</v>
      </c>
      <c r="G766" s="7">
        <v>265.01</v>
      </c>
      <c r="H766" s="7">
        <v>0</v>
      </c>
      <c r="I766" s="7">
        <v>0</v>
      </c>
      <c r="J766" s="7"/>
      <c r="K766" s="1" t="s">
        <v>94</v>
      </c>
      <c r="L766" s="1" t="s">
        <v>939</v>
      </c>
    </row>
    <row r="767" spans="1:12" ht="21" customHeight="1">
      <c r="A767" s="5">
        <v>46275</v>
      </c>
      <c r="B767" s="7">
        <v>250.22</v>
      </c>
      <c r="C767" s="7">
        <v>165734816</v>
      </c>
      <c r="D767" s="7">
        <v>320</v>
      </c>
      <c r="E767" s="7">
        <v>209.72</v>
      </c>
      <c r="F767" s="7">
        <v>320</v>
      </c>
      <c r="G767" s="7">
        <v>211.08</v>
      </c>
      <c r="H767" s="7">
        <v>0</v>
      </c>
      <c r="I767" s="7">
        <v>0</v>
      </c>
      <c r="J767" s="7"/>
      <c r="K767" s="1" t="s">
        <v>94</v>
      </c>
      <c r="L767" s="1" t="s">
        <v>940</v>
      </c>
    </row>
    <row r="768" spans="1:12" ht="21" customHeight="1">
      <c r="A768" s="5">
        <v>46276</v>
      </c>
      <c r="B768" s="7">
        <v>308.63</v>
      </c>
      <c r="C768" s="7">
        <v>148897408</v>
      </c>
      <c r="D768" s="7">
        <v>209.72</v>
      </c>
      <c r="E768" s="7">
        <v>320</v>
      </c>
      <c r="F768" s="7">
        <v>343</v>
      </c>
      <c r="G768" s="7">
        <v>209.72</v>
      </c>
      <c r="H768" s="7">
        <v>0</v>
      </c>
      <c r="I768" s="7">
        <v>0</v>
      </c>
      <c r="J768" s="7"/>
      <c r="K768" s="1" t="s">
        <v>94</v>
      </c>
      <c r="L768" s="1" t="s">
        <v>941</v>
      </c>
    </row>
    <row r="769" spans="1:12" ht="21" customHeight="1">
      <c r="A769" s="5">
        <v>46279</v>
      </c>
      <c r="B769" s="7">
        <v>374.39</v>
      </c>
      <c r="C769" s="7">
        <v>147142976</v>
      </c>
      <c r="D769" s="7">
        <v>320</v>
      </c>
      <c r="E769" s="7">
        <v>395</v>
      </c>
      <c r="F769" s="7">
        <v>392</v>
      </c>
      <c r="G769" s="7">
        <v>300</v>
      </c>
      <c r="H769" s="7">
        <v>0</v>
      </c>
      <c r="I769" s="7">
        <v>0</v>
      </c>
      <c r="J769" s="7"/>
      <c r="K769" s="1" t="s">
        <v>94</v>
      </c>
      <c r="L769" s="1" t="s">
        <v>942</v>
      </c>
    </row>
    <row r="770" spans="1:12" ht="21" customHeight="1">
      <c r="A770" s="5">
        <v>46280</v>
      </c>
      <c r="B770" s="7">
        <v>418.29</v>
      </c>
      <c r="C770" s="7">
        <v>127203152</v>
      </c>
      <c r="D770" s="7">
        <v>395</v>
      </c>
      <c r="E770" s="7">
        <v>430.01</v>
      </c>
      <c r="F770" s="7">
        <v>453.97</v>
      </c>
      <c r="G770" s="7">
        <v>382.99</v>
      </c>
      <c r="H770" s="7">
        <v>0</v>
      </c>
      <c r="I770" s="7">
        <v>0</v>
      </c>
      <c r="J770" s="7"/>
      <c r="K770" s="1" t="s">
        <v>94</v>
      </c>
      <c r="L770" s="1" t="s">
        <v>943</v>
      </c>
    </row>
    <row r="771" spans="1:12" ht="21" customHeight="1">
      <c r="A771" s="5">
        <v>46281</v>
      </c>
      <c r="B771" s="7">
        <v>427.03</v>
      </c>
      <c r="C771" s="7">
        <v>45682320</v>
      </c>
      <c r="D771" s="7">
        <v>430.01</v>
      </c>
      <c r="E771" s="7">
        <v>641.6</v>
      </c>
      <c r="F771" s="7">
        <v>465</v>
      </c>
      <c r="G771" s="7">
        <v>385</v>
      </c>
      <c r="H771" s="7">
        <v>0</v>
      </c>
      <c r="I771" s="7">
        <v>0</v>
      </c>
      <c r="J771" s="7"/>
      <c r="K771" s="1" t="s">
        <v>94</v>
      </c>
      <c r="L771" s="1" t="s">
        <v>944</v>
      </c>
    </row>
    <row r="772" spans="1:12" ht="21" customHeight="1">
      <c r="A772" s="5">
        <v>46255</v>
      </c>
      <c r="B772" s="7">
        <v>731.63</v>
      </c>
      <c r="C772" s="7">
        <v>14423741</v>
      </c>
      <c r="D772" s="7">
        <v>641.6</v>
      </c>
      <c r="E772" s="7">
        <v>633</v>
      </c>
      <c r="F772" s="7">
        <v>750</v>
      </c>
      <c r="G772" s="7">
        <v>603</v>
      </c>
      <c r="H772" s="7">
        <v>0</v>
      </c>
      <c r="I772" s="7">
        <v>0</v>
      </c>
      <c r="J772" s="7"/>
      <c r="K772" s="1" t="s">
        <v>98</v>
      </c>
      <c r="L772" s="1" t="s">
        <v>945</v>
      </c>
    </row>
    <row r="773" spans="1:12" ht="21" customHeight="1">
      <c r="A773" s="5">
        <v>46258</v>
      </c>
      <c r="B773" s="7">
        <v>509.16</v>
      </c>
      <c r="C773" s="7">
        <v>29652486</v>
      </c>
      <c r="D773" s="7">
        <v>633</v>
      </c>
      <c r="E773" s="7">
        <v>519.88</v>
      </c>
      <c r="F773" s="7">
        <v>633</v>
      </c>
      <c r="G773" s="7">
        <v>453.25</v>
      </c>
      <c r="H773" s="7">
        <v>0</v>
      </c>
      <c r="I773" s="7">
        <v>0</v>
      </c>
      <c r="J773" s="7"/>
      <c r="K773" s="1" t="s">
        <v>98</v>
      </c>
      <c r="L773" s="1" t="s">
        <v>946</v>
      </c>
    </row>
    <row r="774" spans="1:12" ht="21" customHeight="1">
      <c r="A774" s="5">
        <v>46259</v>
      </c>
      <c r="B774" s="7">
        <v>428.03</v>
      </c>
      <c r="C774" s="7">
        <v>37851692</v>
      </c>
      <c r="D774" s="7">
        <v>519.88</v>
      </c>
      <c r="E774" s="7">
        <v>355.5</v>
      </c>
      <c r="F774" s="7">
        <v>540</v>
      </c>
      <c r="G774" s="7">
        <v>428</v>
      </c>
      <c r="H774" s="7">
        <v>0</v>
      </c>
      <c r="I774" s="7">
        <v>0</v>
      </c>
      <c r="J774" s="7"/>
      <c r="K774" s="1" t="s">
        <v>98</v>
      </c>
      <c r="L774" s="1" t="s">
        <v>947</v>
      </c>
    </row>
    <row r="775" spans="1:12" ht="21" customHeight="1">
      <c r="A775" s="5">
        <v>46260</v>
      </c>
      <c r="B775" s="7">
        <v>437.25</v>
      </c>
      <c r="C775" s="7">
        <v>45277852</v>
      </c>
      <c r="D775" s="7">
        <v>355.5</v>
      </c>
      <c r="E775" s="7">
        <v>440</v>
      </c>
      <c r="F775" s="7">
        <v>488.98</v>
      </c>
      <c r="G775" s="7">
        <v>355.5</v>
      </c>
      <c r="H775" s="7">
        <v>0</v>
      </c>
      <c r="I775" s="7">
        <v>0</v>
      </c>
      <c r="J775" s="7"/>
      <c r="K775" s="1" t="s">
        <v>98</v>
      </c>
      <c r="L775" s="1" t="s">
        <v>948</v>
      </c>
    </row>
    <row r="776" spans="1:12" ht="21" customHeight="1">
      <c r="A776" s="5">
        <v>46261</v>
      </c>
      <c r="B776" s="7">
        <v>525.21</v>
      </c>
      <c r="C776" s="7">
        <v>25037786</v>
      </c>
      <c r="D776" s="7">
        <v>440</v>
      </c>
      <c r="E776" s="7">
        <v>525</v>
      </c>
      <c r="F776" s="7">
        <v>540</v>
      </c>
      <c r="G776" s="7">
        <v>440</v>
      </c>
      <c r="H776" s="7">
        <v>0</v>
      </c>
      <c r="I776" s="7">
        <v>0</v>
      </c>
      <c r="J776" s="7"/>
      <c r="K776" s="1" t="s">
        <v>98</v>
      </c>
      <c r="L776" s="1" t="s">
        <v>949</v>
      </c>
    </row>
    <row r="777" spans="1:12" ht="21" customHeight="1">
      <c r="A777" s="5">
        <v>46262</v>
      </c>
      <c r="B777" s="7">
        <v>544.22</v>
      </c>
      <c r="C777" s="7">
        <v>25656718</v>
      </c>
      <c r="D777" s="7">
        <v>525</v>
      </c>
      <c r="E777" s="7">
        <v>529.99</v>
      </c>
      <c r="F777" s="7">
        <v>615</v>
      </c>
      <c r="G777" s="7">
        <v>525</v>
      </c>
      <c r="H777" s="7">
        <v>0</v>
      </c>
      <c r="I777" s="7">
        <v>0</v>
      </c>
      <c r="J777" s="7"/>
      <c r="K777" s="1" t="s">
        <v>98</v>
      </c>
      <c r="L777" s="1" t="s">
        <v>950</v>
      </c>
    </row>
    <row r="778" spans="1:12" ht="21" customHeight="1">
      <c r="A778" s="5">
        <v>46265</v>
      </c>
      <c r="B778" s="7">
        <v>447.89</v>
      </c>
      <c r="C778" s="7">
        <v>12358046</v>
      </c>
      <c r="D778" s="7">
        <v>529.99</v>
      </c>
      <c r="E778" s="7">
        <v>490</v>
      </c>
      <c r="F778" s="7">
        <v>529.99</v>
      </c>
      <c r="G778" s="7">
        <v>414.11</v>
      </c>
      <c r="H778" s="7">
        <v>0</v>
      </c>
      <c r="I778" s="7">
        <v>0</v>
      </c>
      <c r="J778" s="7"/>
      <c r="K778" s="1" t="s">
        <v>98</v>
      </c>
      <c r="L778" s="1" t="s">
        <v>951</v>
      </c>
    </row>
    <row r="779" spans="1:12" ht="21" customHeight="1">
      <c r="A779" s="5">
        <v>46266</v>
      </c>
      <c r="B779" s="7">
        <v>431.34</v>
      </c>
      <c r="C779" s="7">
        <v>63324888</v>
      </c>
      <c r="D779" s="7">
        <v>490</v>
      </c>
      <c r="E779" s="7">
        <v>406</v>
      </c>
      <c r="F779" s="7">
        <v>490</v>
      </c>
      <c r="G779" s="7">
        <v>372.05</v>
      </c>
      <c r="H779" s="7">
        <v>0</v>
      </c>
      <c r="I779" s="7">
        <v>0</v>
      </c>
      <c r="J779" s="7"/>
      <c r="K779" s="1" t="s">
        <v>98</v>
      </c>
      <c r="L779" s="1" t="s">
        <v>952</v>
      </c>
    </row>
    <row r="780" spans="1:12" ht="21" customHeight="1">
      <c r="A780" s="5">
        <v>46267</v>
      </c>
      <c r="B780" s="7">
        <v>369.49</v>
      </c>
      <c r="C780" s="7">
        <v>57154840</v>
      </c>
      <c r="D780" s="7">
        <v>406</v>
      </c>
      <c r="E780" s="7">
        <v>360</v>
      </c>
      <c r="F780" s="7">
        <v>432.65</v>
      </c>
      <c r="G780" s="7">
        <v>365.01</v>
      </c>
      <c r="H780" s="7">
        <v>0</v>
      </c>
      <c r="I780" s="7">
        <v>0</v>
      </c>
      <c r="J780" s="7"/>
      <c r="K780" s="1" t="s">
        <v>98</v>
      </c>
      <c r="L780" s="1" t="s">
        <v>953</v>
      </c>
    </row>
    <row r="781" spans="1:12" ht="21" customHeight="1">
      <c r="A781" s="5">
        <v>46268</v>
      </c>
      <c r="B781" s="7">
        <v>403.61</v>
      </c>
      <c r="C781" s="7">
        <v>79552488</v>
      </c>
      <c r="D781" s="7">
        <v>360</v>
      </c>
      <c r="E781" s="7">
        <v>411.01</v>
      </c>
      <c r="F781" s="7">
        <v>444.98</v>
      </c>
      <c r="G781" s="7">
        <v>310.51</v>
      </c>
      <c r="H781" s="7">
        <v>0</v>
      </c>
      <c r="I781" s="7">
        <v>0</v>
      </c>
      <c r="J781" s="7"/>
      <c r="K781" s="1" t="s">
        <v>98</v>
      </c>
      <c r="L781" s="1" t="s">
        <v>954</v>
      </c>
    </row>
    <row r="782" spans="1:12" ht="21" customHeight="1">
      <c r="A782" s="5">
        <v>46269</v>
      </c>
      <c r="B782" s="7">
        <v>420.47</v>
      </c>
      <c r="C782" s="7">
        <v>30078318</v>
      </c>
      <c r="D782" s="7">
        <v>411.01</v>
      </c>
      <c r="E782" s="7">
        <v>437.77</v>
      </c>
      <c r="F782" s="7">
        <v>455</v>
      </c>
      <c r="G782" s="7">
        <v>385</v>
      </c>
      <c r="H782" s="7">
        <v>0</v>
      </c>
      <c r="I782" s="7">
        <v>0</v>
      </c>
      <c r="J782" s="7"/>
      <c r="K782" s="1" t="s">
        <v>98</v>
      </c>
      <c r="L782" s="1" t="s">
        <v>955</v>
      </c>
    </row>
    <row r="783" spans="1:12" ht="21" customHeight="1">
      <c r="A783" s="5">
        <v>46272</v>
      </c>
      <c r="B783" s="7">
        <v>455</v>
      </c>
      <c r="C783" s="7">
        <v>19048068</v>
      </c>
      <c r="D783" s="7">
        <v>437.77</v>
      </c>
      <c r="E783" s="7">
        <v>411</v>
      </c>
      <c r="F783" s="7">
        <v>465.89</v>
      </c>
      <c r="G783" s="7">
        <v>434.99</v>
      </c>
      <c r="H783" s="7">
        <v>0</v>
      </c>
      <c r="I783" s="7">
        <v>0</v>
      </c>
      <c r="J783" s="7"/>
      <c r="K783" s="1" t="s">
        <v>98</v>
      </c>
      <c r="L783" s="1" t="s">
        <v>956</v>
      </c>
    </row>
    <row r="784" spans="1:12" ht="21" customHeight="1">
      <c r="A784" s="5">
        <v>46273</v>
      </c>
      <c r="B784" s="7">
        <v>419.99</v>
      </c>
      <c r="C784" s="7">
        <v>48001704</v>
      </c>
      <c r="D784" s="7">
        <v>411</v>
      </c>
      <c r="E784" s="7">
        <v>432.48</v>
      </c>
      <c r="F784" s="7">
        <v>480</v>
      </c>
      <c r="G784" s="7">
        <v>398.07</v>
      </c>
      <c r="H784" s="7">
        <v>0</v>
      </c>
      <c r="I784" s="7">
        <v>0</v>
      </c>
      <c r="J784" s="7"/>
      <c r="K784" s="1" t="s">
        <v>98</v>
      </c>
      <c r="L784" s="1" t="s">
        <v>957</v>
      </c>
    </row>
    <row r="785" spans="1:12" ht="21" customHeight="1">
      <c r="A785" s="5">
        <v>46274</v>
      </c>
      <c r="B785" s="7">
        <v>369.17</v>
      </c>
      <c r="C785" s="7">
        <v>66294692</v>
      </c>
      <c r="D785" s="7">
        <v>432.48</v>
      </c>
      <c r="E785" s="7">
        <v>409.99</v>
      </c>
      <c r="F785" s="7">
        <v>477.99</v>
      </c>
      <c r="G785" s="7">
        <v>360</v>
      </c>
      <c r="H785" s="7">
        <v>0</v>
      </c>
      <c r="I785" s="7">
        <v>0</v>
      </c>
      <c r="J785" s="7"/>
      <c r="K785" s="1" t="s">
        <v>98</v>
      </c>
      <c r="L785" s="1" t="s">
        <v>958</v>
      </c>
    </row>
    <row r="786" spans="1:12" ht="21" customHeight="1">
      <c r="A786" s="5">
        <v>46275</v>
      </c>
      <c r="B786" s="7">
        <v>344.11</v>
      </c>
      <c r="C786" s="7">
        <v>54197528</v>
      </c>
      <c r="D786" s="7">
        <v>409.99</v>
      </c>
      <c r="E786" s="7">
        <v>323.01</v>
      </c>
      <c r="F786" s="7">
        <v>409.99</v>
      </c>
      <c r="G786" s="7">
        <v>301</v>
      </c>
      <c r="H786" s="7">
        <v>0</v>
      </c>
      <c r="I786" s="7">
        <v>0</v>
      </c>
      <c r="J786" s="7"/>
      <c r="K786" s="1" t="s">
        <v>98</v>
      </c>
      <c r="L786" s="1" t="s">
        <v>959</v>
      </c>
    </row>
    <row r="787" spans="1:12" ht="21" customHeight="1">
      <c r="A787" s="5">
        <v>46276</v>
      </c>
      <c r="B787" s="7">
        <v>409.22</v>
      </c>
      <c r="C787" s="7">
        <v>42598912</v>
      </c>
      <c r="D787" s="7">
        <v>323.01</v>
      </c>
      <c r="E787" s="7">
        <v>430</v>
      </c>
      <c r="F787" s="7">
        <v>450</v>
      </c>
      <c r="G787" s="7">
        <v>323.01</v>
      </c>
      <c r="H787" s="7">
        <v>0</v>
      </c>
      <c r="I787" s="7">
        <v>0</v>
      </c>
      <c r="J787" s="7"/>
      <c r="K787" s="1" t="s">
        <v>98</v>
      </c>
      <c r="L787" s="1" t="s">
        <v>960</v>
      </c>
    </row>
    <row r="788" spans="1:12" ht="21" customHeight="1">
      <c r="A788" s="5">
        <v>46279</v>
      </c>
      <c r="B788" s="7">
        <v>494.18</v>
      </c>
      <c r="C788" s="7">
        <v>43380644</v>
      </c>
      <c r="D788" s="7">
        <v>430</v>
      </c>
      <c r="E788" s="7">
        <v>579.99</v>
      </c>
      <c r="F788" s="7">
        <v>510</v>
      </c>
      <c r="G788" s="7">
        <v>393.3</v>
      </c>
      <c r="H788" s="7">
        <v>0</v>
      </c>
      <c r="I788" s="7">
        <v>0</v>
      </c>
      <c r="J788" s="7"/>
      <c r="K788" s="1" t="s">
        <v>98</v>
      </c>
      <c r="L788" s="1" t="s">
        <v>961</v>
      </c>
    </row>
    <row r="789" spans="1:12" ht="21" customHeight="1">
      <c r="A789" s="5">
        <v>46280</v>
      </c>
      <c r="B789" s="7">
        <v>542</v>
      </c>
      <c r="C789" s="7">
        <v>51121128</v>
      </c>
      <c r="D789" s="7">
        <v>579.99</v>
      </c>
      <c r="E789" s="7">
        <v>550</v>
      </c>
      <c r="F789" s="7">
        <v>590</v>
      </c>
      <c r="G789" s="7">
        <v>495</v>
      </c>
      <c r="H789" s="7">
        <v>0</v>
      </c>
      <c r="I789" s="7">
        <v>0</v>
      </c>
      <c r="J789" s="7"/>
      <c r="K789" s="1" t="s">
        <v>98</v>
      </c>
      <c r="L789" s="1" t="s">
        <v>962</v>
      </c>
    </row>
    <row r="790" spans="1:12" ht="21" customHeight="1">
      <c r="A790" s="5">
        <v>46281</v>
      </c>
      <c r="B790" s="7">
        <v>550.35</v>
      </c>
      <c r="C790" s="7">
        <v>10836713</v>
      </c>
      <c r="D790" s="7">
        <v>550</v>
      </c>
      <c r="E790" s="7">
        <v>820</v>
      </c>
      <c r="F790" s="7">
        <v>590</v>
      </c>
      <c r="G790" s="7">
        <v>521</v>
      </c>
      <c r="H790" s="7">
        <v>0</v>
      </c>
      <c r="I790" s="7">
        <v>0</v>
      </c>
      <c r="J790" s="7"/>
      <c r="K790" s="1" t="s">
        <v>98</v>
      </c>
      <c r="L790" s="1" t="s">
        <v>963</v>
      </c>
    </row>
    <row r="791" spans="1:12" ht="21" customHeight="1">
      <c r="A791" s="5">
        <v>46255</v>
      </c>
      <c r="B791" s="7">
        <v>780</v>
      </c>
      <c r="C791" s="7">
        <v>2447004</v>
      </c>
      <c r="D791" s="7">
        <v>820</v>
      </c>
      <c r="E791" s="7">
        <v>700</v>
      </c>
      <c r="F791" s="7">
        <v>856</v>
      </c>
      <c r="G791" s="7">
        <v>750</v>
      </c>
      <c r="H791" s="7">
        <v>0</v>
      </c>
      <c r="I791" s="7">
        <v>0</v>
      </c>
      <c r="J791" s="7"/>
      <c r="K791" s="1" t="s">
        <v>103</v>
      </c>
      <c r="L791" s="1" t="s">
        <v>964</v>
      </c>
    </row>
    <row r="792" spans="1:12" ht="21" customHeight="1">
      <c r="A792" s="5">
        <v>46258</v>
      </c>
      <c r="B792" s="7">
        <v>620</v>
      </c>
      <c r="C792" s="7">
        <v>28839538</v>
      </c>
      <c r="D792" s="7">
        <v>700</v>
      </c>
      <c r="E792" s="7">
        <v>621</v>
      </c>
      <c r="F792" s="7">
        <v>700</v>
      </c>
      <c r="G792" s="7">
        <v>577</v>
      </c>
      <c r="H792" s="7">
        <v>0</v>
      </c>
      <c r="I792" s="7">
        <v>0</v>
      </c>
      <c r="J792" s="7"/>
      <c r="K792" s="1" t="s">
        <v>103</v>
      </c>
      <c r="L792" s="1" t="s">
        <v>965</v>
      </c>
    </row>
    <row r="793" spans="1:12" ht="21" customHeight="1">
      <c r="A793" s="5">
        <v>46259</v>
      </c>
      <c r="B793" s="7">
        <v>535.79999999999995</v>
      </c>
      <c r="C793" s="7">
        <v>35472140</v>
      </c>
      <c r="D793" s="7">
        <v>621</v>
      </c>
      <c r="E793" s="7">
        <v>505</v>
      </c>
      <c r="F793" s="7">
        <v>664</v>
      </c>
      <c r="G793" s="7">
        <v>534.01</v>
      </c>
      <c r="H793" s="7">
        <v>0</v>
      </c>
      <c r="I793" s="7">
        <v>0</v>
      </c>
      <c r="J793" s="7"/>
      <c r="K793" s="1" t="s">
        <v>103</v>
      </c>
      <c r="L793" s="1" t="s">
        <v>966</v>
      </c>
    </row>
    <row r="794" spans="1:12" ht="21" customHeight="1">
      <c r="A794" s="5">
        <v>46260</v>
      </c>
      <c r="B794" s="7">
        <v>549.96</v>
      </c>
      <c r="C794" s="7">
        <v>11721958</v>
      </c>
      <c r="D794" s="7">
        <v>505</v>
      </c>
      <c r="E794" s="7">
        <v>575</v>
      </c>
      <c r="F794" s="7">
        <v>579.98</v>
      </c>
      <c r="G794" s="7">
        <v>499</v>
      </c>
      <c r="H794" s="7">
        <v>0</v>
      </c>
      <c r="I794" s="7">
        <v>0</v>
      </c>
      <c r="J794" s="7"/>
      <c r="K794" s="1" t="s">
        <v>103</v>
      </c>
      <c r="L794" s="1" t="s">
        <v>967</v>
      </c>
    </row>
    <row r="795" spans="1:12" ht="21" customHeight="1">
      <c r="A795" s="5">
        <v>46261</v>
      </c>
      <c r="B795" s="7">
        <v>630.02</v>
      </c>
      <c r="C795" s="7">
        <v>21707936</v>
      </c>
      <c r="D795" s="7">
        <v>575</v>
      </c>
      <c r="E795" s="7">
        <v>680</v>
      </c>
      <c r="F795" s="7">
        <v>660.28</v>
      </c>
      <c r="G795" s="7">
        <v>575</v>
      </c>
      <c r="H795" s="7">
        <v>0</v>
      </c>
      <c r="I795" s="7">
        <v>0</v>
      </c>
      <c r="J795" s="7"/>
      <c r="K795" s="1" t="s">
        <v>103</v>
      </c>
      <c r="L795" s="1" t="s">
        <v>968</v>
      </c>
    </row>
    <row r="796" spans="1:12" ht="21" customHeight="1">
      <c r="A796" s="5">
        <v>46262</v>
      </c>
      <c r="B796" s="7">
        <v>657.34</v>
      </c>
      <c r="C796" s="7">
        <v>29957128</v>
      </c>
      <c r="D796" s="7">
        <v>680</v>
      </c>
      <c r="E796" s="7">
        <v>580.02</v>
      </c>
      <c r="F796" s="7">
        <v>741</v>
      </c>
      <c r="G796" s="7">
        <v>661.58</v>
      </c>
      <c r="H796" s="7">
        <v>0</v>
      </c>
      <c r="I796" s="7">
        <v>0</v>
      </c>
      <c r="J796" s="7"/>
      <c r="K796" s="1" t="s">
        <v>103</v>
      </c>
      <c r="L796" s="1" t="s">
        <v>969</v>
      </c>
    </row>
    <row r="797" spans="1:12" ht="21" customHeight="1">
      <c r="A797" s="5">
        <v>46265</v>
      </c>
      <c r="B797" s="7">
        <v>560.79</v>
      </c>
      <c r="C797" s="7">
        <v>29710064</v>
      </c>
      <c r="D797" s="7">
        <v>580.02</v>
      </c>
      <c r="E797" s="7">
        <v>566.48</v>
      </c>
      <c r="F797" s="7">
        <v>606.79</v>
      </c>
      <c r="G797" s="7">
        <v>511</v>
      </c>
      <c r="H797" s="7">
        <v>0</v>
      </c>
      <c r="I797" s="7">
        <v>0</v>
      </c>
      <c r="J797" s="7"/>
      <c r="K797" s="1" t="s">
        <v>103</v>
      </c>
      <c r="L797" s="1" t="s">
        <v>970</v>
      </c>
    </row>
    <row r="798" spans="1:12" ht="21" customHeight="1">
      <c r="A798" s="5">
        <v>46266</v>
      </c>
      <c r="B798" s="7">
        <v>538.73</v>
      </c>
      <c r="C798" s="7">
        <v>17777200</v>
      </c>
      <c r="D798" s="7">
        <v>566.48</v>
      </c>
      <c r="E798" s="7">
        <v>536.55999999999995</v>
      </c>
      <c r="F798" s="7">
        <v>566.48</v>
      </c>
      <c r="G798" s="7">
        <v>499.99</v>
      </c>
      <c r="H798" s="7">
        <v>0</v>
      </c>
      <c r="I798" s="7">
        <v>0</v>
      </c>
      <c r="J798" s="7"/>
      <c r="K798" s="1" t="s">
        <v>103</v>
      </c>
      <c r="L798" s="1" t="s">
        <v>971</v>
      </c>
    </row>
    <row r="799" spans="1:12" ht="21" customHeight="1">
      <c r="A799" s="5">
        <v>46267</v>
      </c>
      <c r="B799" s="7">
        <v>480</v>
      </c>
      <c r="C799" s="7">
        <v>14795418</v>
      </c>
      <c r="D799" s="7">
        <v>536.55999999999995</v>
      </c>
      <c r="E799" s="7">
        <v>401</v>
      </c>
      <c r="F799" s="7">
        <v>547.89</v>
      </c>
      <c r="G799" s="7">
        <v>475</v>
      </c>
      <c r="H799" s="7">
        <v>0</v>
      </c>
      <c r="I799" s="7">
        <v>0</v>
      </c>
      <c r="J799" s="7"/>
      <c r="K799" s="1" t="s">
        <v>103</v>
      </c>
      <c r="L799" s="1" t="s">
        <v>972</v>
      </c>
    </row>
    <row r="800" spans="1:12" ht="21" customHeight="1">
      <c r="A800" s="5">
        <v>46268</v>
      </c>
      <c r="B800" s="7">
        <v>521.53</v>
      </c>
      <c r="C800" s="7">
        <v>10447188</v>
      </c>
      <c r="D800" s="7">
        <v>401</v>
      </c>
      <c r="E800" s="7">
        <v>505</v>
      </c>
      <c r="F800" s="7">
        <v>600</v>
      </c>
      <c r="G800" s="7">
        <v>401</v>
      </c>
      <c r="H800" s="7">
        <v>0</v>
      </c>
      <c r="I800" s="7">
        <v>0</v>
      </c>
      <c r="J800" s="7"/>
      <c r="K800" s="1" t="s">
        <v>103</v>
      </c>
      <c r="L800" s="1" t="s">
        <v>973</v>
      </c>
    </row>
    <row r="801" spans="1:12" ht="21" customHeight="1">
      <c r="A801" s="5">
        <v>46269</v>
      </c>
      <c r="B801" s="7">
        <v>534.29999999999995</v>
      </c>
      <c r="C801" s="7">
        <v>1949192</v>
      </c>
      <c r="D801" s="7">
        <v>505</v>
      </c>
      <c r="E801" s="7">
        <v>600</v>
      </c>
      <c r="F801" s="7">
        <v>570</v>
      </c>
      <c r="G801" s="7">
        <v>500.95</v>
      </c>
      <c r="H801" s="7">
        <v>0</v>
      </c>
      <c r="I801" s="7">
        <v>0</v>
      </c>
      <c r="J801" s="7"/>
      <c r="K801" s="1" t="s">
        <v>103</v>
      </c>
      <c r="L801" s="1" t="s">
        <v>974</v>
      </c>
    </row>
    <row r="802" spans="1:12" ht="21" customHeight="1">
      <c r="A802" s="5">
        <v>46272</v>
      </c>
      <c r="B802" s="7">
        <v>555</v>
      </c>
      <c r="C802" s="7">
        <v>2981400</v>
      </c>
      <c r="D802" s="7">
        <v>600</v>
      </c>
      <c r="E802" s="7">
        <v>537.04999999999995</v>
      </c>
      <c r="F802" s="7">
        <v>600</v>
      </c>
      <c r="G802" s="7">
        <v>550</v>
      </c>
      <c r="H802" s="7">
        <v>0</v>
      </c>
      <c r="I802" s="7">
        <v>0</v>
      </c>
      <c r="J802" s="7"/>
      <c r="K802" s="1" t="s">
        <v>103</v>
      </c>
      <c r="L802" s="1" t="s">
        <v>975</v>
      </c>
    </row>
    <row r="803" spans="1:12" ht="21" customHeight="1">
      <c r="A803" s="5">
        <v>46273</v>
      </c>
      <c r="B803" s="7">
        <v>535.47</v>
      </c>
      <c r="C803" s="7">
        <v>9589832</v>
      </c>
      <c r="D803" s="7">
        <v>537.04999999999995</v>
      </c>
      <c r="E803" s="7">
        <v>600</v>
      </c>
      <c r="F803" s="7">
        <v>602.03</v>
      </c>
      <c r="G803" s="7">
        <v>511.69</v>
      </c>
      <c r="H803" s="7">
        <v>0</v>
      </c>
      <c r="I803" s="7">
        <v>0</v>
      </c>
      <c r="J803" s="7"/>
      <c r="K803" s="1" t="s">
        <v>103</v>
      </c>
      <c r="L803" s="1" t="s">
        <v>976</v>
      </c>
    </row>
    <row r="804" spans="1:12" ht="21" customHeight="1">
      <c r="A804" s="5">
        <v>46274</v>
      </c>
      <c r="B804" s="7">
        <v>480.11</v>
      </c>
      <c r="C804" s="7">
        <v>11769648</v>
      </c>
      <c r="D804" s="7">
        <v>600</v>
      </c>
      <c r="E804" s="7">
        <v>483.86</v>
      </c>
      <c r="F804" s="7">
        <v>610</v>
      </c>
      <c r="G804" s="7">
        <v>456.43</v>
      </c>
      <c r="H804" s="7">
        <v>0</v>
      </c>
      <c r="I804" s="7">
        <v>0</v>
      </c>
      <c r="J804" s="7"/>
      <c r="K804" s="1" t="s">
        <v>103</v>
      </c>
      <c r="L804" s="1" t="s">
        <v>977</v>
      </c>
    </row>
    <row r="805" spans="1:12" ht="21" customHeight="1">
      <c r="A805" s="5">
        <v>46275</v>
      </c>
      <c r="B805" s="7">
        <v>451.44</v>
      </c>
      <c r="C805" s="7">
        <v>67544864</v>
      </c>
      <c r="D805" s="7">
        <v>483.86</v>
      </c>
      <c r="E805" s="7">
        <v>450</v>
      </c>
      <c r="F805" s="7">
        <v>483.86</v>
      </c>
      <c r="G805" s="7">
        <v>400</v>
      </c>
      <c r="H805" s="7">
        <v>0</v>
      </c>
      <c r="I805" s="7">
        <v>0</v>
      </c>
      <c r="J805" s="7"/>
      <c r="K805" s="1" t="s">
        <v>103</v>
      </c>
      <c r="L805" s="1" t="s">
        <v>978</v>
      </c>
    </row>
    <row r="806" spans="1:12" ht="21" customHeight="1">
      <c r="A806" s="5">
        <v>46276</v>
      </c>
      <c r="B806" s="7">
        <v>528.03</v>
      </c>
      <c r="C806" s="7">
        <v>75105792</v>
      </c>
      <c r="D806" s="7">
        <v>450</v>
      </c>
      <c r="E806" s="7">
        <v>535</v>
      </c>
      <c r="F806" s="7">
        <v>579.9</v>
      </c>
      <c r="G806" s="7">
        <v>450</v>
      </c>
      <c r="H806" s="7">
        <v>0</v>
      </c>
      <c r="I806" s="7">
        <v>0</v>
      </c>
      <c r="J806" s="7"/>
      <c r="K806" s="1" t="s">
        <v>103</v>
      </c>
      <c r="L806" s="1" t="s">
        <v>979</v>
      </c>
    </row>
    <row r="807" spans="1:12" ht="21" customHeight="1">
      <c r="A807" s="5">
        <v>46279</v>
      </c>
      <c r="B807" s="7">
        <v>619.04</v>
      </c>
      <c r="C807" s="7">
        <v>11768273</v>
      </c>
      <c r="D807" s="7">
        <v>535</v>
      </c>
      <c r="E807" s="7">
        <v>649.5</v>
      </c>
      <c r="F807" s="7">
        <v>620</v>
      </c>
      <c r="G807" s="7">
        <v>520</v>
      </c>
      <c r="H807" s="7">
        <v>0</v>
      </c>
      <c r="I807" s="7">
        <v>0</v>
      </c>
      <c r="J807" s="7"/>
      <c r="K807" s="1" t="s">
        <v>103</v>
      </c>
      <c r="L807" s="1" t="s">
        <v>980</v>
      </c>
    </row>
    <row r="808" spans="1:12" ht="21" customHeight="1">
      <c r="A808" s="5">
        <v>46280</v>
      </c>
      <c r="B808" s="7">
        <v>663.54</v>
      </c>
      <c r="C808" s="7">
        <v>42596096</v>
      </c>
      <c r="D808" s="7">
        <v>649.5</v>
      </c>
      <c r="E808" s="7">
        <v>697.67</v>
      </c>
      <c r="F808" s="7">
        <v>721.1</v>
      </c>
      <c r="G808" s="7">
        <v>649.5</v>
      </c>
      <c r="H808" s="7">
        <v>0</v>
      </c>
      <c r="I808" s="7">
        <v>0</v>
      </c>
      <c r="J808" s="7"/>
      <c r="K808" s="1" t="s">
        <v>103</v>
      </c>
      <c r="L808" s="1" t="s">
        <v>981</v>
      </c>
    </row>
    <row r="809" spans="1:12" ht="21" customHeight="1">
      <c r="A809" s="5">
        <v>46281</v>
      </c>
      <c r="B809" s="7">
        <v>677.83</v>
      </c>
      <c r="C809" s="7">
        <v>6190239</v>
      </c>
      <c r="D809" s="7">
        <v>697.67</v>
      </c>
      <c r="E809" s="7">
        <v>975</v>
      </c>
      <c r="F809" s="7">
        <v>715.55</v>
      </c>
      <c r="G809" s="7">
        <v>630.54999999999995</v>
      </c>
      <c r="H809" s="7">
        <v>0</v>
      </c>
      <c r="I809" s="7">
        <v>0</v>
      </c>
      <c r="J809" s="7"/>
      <c r="K809" s="1" t="s">
        <v>103</v>
      </c>
      <c r="L809" s="1" t="s">
        <v>982</v>
      </c>
    </row>
    <row r="810" spans="1:12" ht="21" customHeight="1">
      <c r="A810" s="5">
        <v>46255</v>
      </c>
      <c r="B810" s="7">
        <v>987.5</v>
      </c>
      <c r="C810" s="7">
        <v>790000</v>
      </c>
      <c r="D810" s="7">
        <v>975</v>
      </c>
      <c r="E810" s="7">
        <v>800</v>
      </c>
      <c r="F810" s="7">
        <v>975</v>
      </c>
      <c r="G810" s="7">
        <v>975</v>
      </c>
      <c r="H810" s="7">
        <v>0</v>
      </c>
      <c r="I810" s="7">
        <v>0</v>
      </c>
      <c r="J810" s="7"/>
      <c r="K810" s="1" t="s">
        <v>107</v>
      </c>
      <c r="L810" s="1" t="s">
        <v>983</v>
      </c>
    </row>
    <row r="811" spans="1:12" ht="21" customHeight="1">
      <c r="A811" s="5">
        <v>46258</v>
      </c>
      <c r="B811" s="7">
        <v>711</v>
      </c>
      <c r="C811" s="7">
        <v>1864000</v>
      </c>
      <c r="D811" s="7">
        <v>800</v>
      </c>
      <c r="E811" s="7">
        <v>724</v>
      </c>
      <c r="F811" s="7">
        <v>800</v>
      </c>
      <c r="G811" s="7">
        <v>672</v>
      </c>
      <c r="H811" s="7">
        <v>0</v>
      </c>
      <c r="I811" s="7">
        <v>0</v>
      </c>
      <c r="J811" s="7"/>
      <c r="K811" s="1" t="s">
        <v>107</v>
      </c>
      <c r="L811" s="1" t="s">
        <v>984</v>
      </c>
    </row>
    <row r="812" spans="1:12" ht="21" customHeight="1">
      <c r="A812" s="5">
        <v>46259</v>
      </c>
      <c r="B812" s="7">
        <v>660</v>
      </c>
      <c r="C812" s="7">
        <v>3193109</v>
      </c>
      <c r="D812" s="7">
        <v>724</v>
      </c>
      <c r="E812" s="7">
        <v>608</v>
      </c>
      <c r="F812" s="7">
        <v>739.87</v>
      </c>
      <c r="G812" s="7">
        <v>660</v>
      </c>
      <c r="H812" s="7">
        <v>0</v>
      </c>
      <c r="I812" s="7">
        <v>0</v>
      </c>
      <c r="J812" s="7"/>
      <c r="K812" s="1" t="s">
        <v>107</v>
      </c>
      <c r="L812" s="1" t="s">
        <v>985</v>
      </c>
    </row>
    <row r="813" spans="1:12" ht="21" customHeight="1">
      <c r="A813" s="5">
        <v>46260</v>
      </c>
      <c r="B813" s="7">
        <v>665</v>
      </c>
      <c r="C813" s="7">
        <v>2373800</v>
      </c>
      <c r="D813" s="7">
        <v>608</v>
      </c>
      <c r="E813" s="7">
        <v>690</v>
      </c>
      <c r="F813" s="7">
        <v>700</v>
      </c>
      <c r="G813" s="7">
        <v>608</v>
      </c>
      <c r="H813" s="7">
        <v>0</v>
      </c>
      <c r="I813" s="7">
        <v>0</v>
      </c>
      <c r="J813" s="7"/>
      <c r="K813" s="1" t="s">
        <v>107</v>
      </c>
      <c r="L813" s="1" t="s">
        <v>986</v>
      </c>
    </row>
    <row r="814" spans="1:12" ht="21" customHeight="1">
      <c r="A814" s="5">
        <v>46261</v>
      </c>
      <c r="B814" s="7">
        <v>785</v>
      </c>
      <c r="C814" s="7">
        <v>2053604.38</v>
      </c>
      <c r="D814" s="7">
        <v>690</v>
      </c>
      <c r="E814" s="7">
        <v>810</v>
      </c>
      <c r="F814" s="7">
        <v>780</v>
      </c>
      <c r="G814" s="7">
        <v>690</v>
      </c>
      <c r="H814" s="7">
        <v>0</v>
      </c>
      <c r="I814" s="7">
        <v>0</v>
      </c>
      <c r="J814" s="7"/>
      <c r="K814" s="1" t="s">
        <v>107</v>
      </c>
      <c r="L814" s="1" t="s">
        <v>987</v>
      </c>
    </row>
    <row r="815" spans="1:12" ht="21" customHeight="1">
      <c r="A815" s="5">
        <v>46262</v>
      </c>
      <c r="B815" s="7">
        <v>811.29</v>
      </c>
      <c r="C815" s="7">
        <v>913518</v>
      </c>
      <c r="D815" s="7">
        <v>810</v>
      </c>
      <c r="E815" s="7">
        <v>700.5</v>
      </c>
      <c r="F815" s="7">
        <v>850</v>
      </c>
      <c r="G815" s="7">
        <v>802.59</v>
      </c>
      <c r="H815" s="7">
        <v>0</v>
      </c>
      <c r="I815" s="7">
        <v>0</v>
      </c>
      <c r="J815" s="7"/>
      <c r="K815" s="1" t="s">
        <v>107</v>
      </c>
      <c r="L815" s="1" t="s">
        <v>988</v>
      </c>
    </row>
    <row r="816" spans="1:12" ht="21" customHeight="1">
      <c r="A816" s="5">
        <v>46265</v>
      </c>
      <c r="B816" s="7">
        <v>677.61</v>
      </c>
      <c r="C816" s="7">
        <v>1608724.62</v>
      </c>
      <c r="D816" s="7">
        <v>700.5</v>
      </c>
      <c r="E816" s="7">
        <v>698.9</v>
      </c>
      <c r="F816" s="7">
        <v>700.5</v>
      </c>
      <c r="G816" s="7">
        <v>626</v>
      </c>
      <c r="H816" s="7">
        <v>0</v>
      </c>
      <c r="I816" s="7">
        <v>0</v>
      </c>
      <c r="J816" s="7"/>
      <c r="K816" s="1" t="s">
        <v>107</v>
      </c>
      <c r="L816" s="1" t="s">
        <v>989</v>
      </c>
    </row>
    <row r="817" spans="1:12" ht="21" customHeight="1">
      <c r="A817" s="5">
        <v>46266</v>
      </c>
      <c r="B817" s="7">
        <v>660.35</v>
      </c>
      <c r="C817" s="7">
        <v>2586524.5</v>
      </c>
      <c r="D817" s="7">
        <v>698.9</v>
      </c>
      <c r="E817" s="7">
        <v>625</v>
      </c>
      <c r="F817" s="7">
        <v>698.9</v>
      </c>
      <c r="G817" s="7">
        <v>625</v>
      </c>
      <c r="H817" s="7">
        <v>0</v>
      </c>
      <c r="I817" s="7">
        <v>0</v>
      </c>
      <c r="J817" s="7"/>
      <c r="K817" s="1" t="s">
        <v>107</v>
      </c>
      <c r="L817" s="1" t="s">
        <v>990</v>
      </c>
    </row>
    <row r="818" spans="1:12" ht="21" customHeight="1">
      <c r="A818" s="5">
        <v>46267</v>
      </c>
      <c r="B818" s="7">
        <v>600</v>
      </c>
      <c r="C818" s="7">
        <v>2646613</v>
      </c>
      <c r="D818" s="7">
        <v>625</v>
      </c>
      <c r="E818" s="7">
        <v>550</v>
      </c>
      <c r="F818" s="7">
        <v>650</v>
      </c>
      <c r="G818" s="7">
        <v>600</v>
      </c>
      <c r="H818" s="7">
        <v>0</v>
      </c>
      <c r="I818" s="7">
        <v>0</v>
      </c>
      <c r="J818" s="7"/>
      <c r="K818" s="1" t="s">
        <v>107</v>
      </c>
      <c r="L818" s="1" t="s">
        <v>991</v>
      </c>
    </row>
    <row r="819" spans="1:12" ht="21" customHeight="1">
      <c r="A819" s="5">
        <v>46268</v>
      </c>
      <c r="B819" s="7">
        <v>650</v>
      </c>
      <c r="C819" s="7">
        <v>3813652.25</v>
      </c>
      <c r="D819" s="7">
        <v>550</v>
      </c>
      <c r="E819" s="7">
        <v>680</v>
      </c>
      <c r="F819" s="7">
        <v>690</v>
      </c>
      <c r="G819" s="7">
        <v>550</v>
      </c>
      <c r="H819" s="7">
        <v>0</v>
      </c>
      <c r="I819" s="7">
        <v>0</v>
      </c>
      <c r="J819" s="7"/>
      <c r="K819" s="1" t="s">
        <v>107</v>
      </c>
      <c r="L819" s="1" t="s">
        <v>992</v>
      </c>
    </row>
    <row r="820" spans="1:12" ht="21" customHeight="1">
      <c r="A820" s="5">
        <v>46269</v>
      </c>
      <c r="B820" s="7">
        <v>660</v>
      </c>
      <c r="C820" s="7">
        <v>5147195.5</v>
      </c>
      <c r="D820" s="7">
        <v>680</v>
      </c>
      <c r="E820" s="7">
        <v>625</v>
      </c>
      <c r="F820" s="7">
        <v>695.98</v>
      </c>
      <c r="G820" s="7">
        <v>640</v>
      </c>
      <c r="H820" s="7">
        <v>0</v>
      </c>
      <c r="I820" s="7">
        <v>0</v>
      </c>
      <c r="J820" s="7"/>
      <c r="K820" s="1" t="s">
        <v>107</v>
      </c>
      <c r="L820" s="1" t="s">
        <v>993</v>
      </c>
    </row>
    <row r="821" spans="1:12" ht="21" customHeight="1">
      <c r="A821" s="5">
        <v>46272</v>
      </c>
      <c r="B821" s="7">
        <v>625</v>
      </c>
      <c r="C821" s="7">
        <v>62500</v>
      </c>
      <c r="D821" s="7">
        <v>625</v>
      </c>
      <c r="E821" s="7">
        <v>650</v>
      </c>
      <c r="F821" s="7">
        <v>0</v>
      </c>
      <c r="G821" s="7">
        <v>0</v>
      </c>
      <c r="H821" s="7">
        <v>0</v>
      </c>
      <c r="I821" s="7">
        <v>0</v>
      </c>
      <c r="J821" s="7"/>
      <c r="K821" s="1" t="s">
        <v>107</v>
      </c>
      <c r="L821" s="1" t="s">
        <v>994</v>
      </c>
    </row>
    <row r="822" spans="1:12" ht="21" customHeight="1">
      <c r="A822" s="5">
        <v>46273</v>
      </c>
      <c r="B822" s="7">
        <v>643.01</v>
      </c>
      <c r="C822" s="7">
        <v>6452029</v>
      </c>
      <c r="D822" s="7">
        <v>650</v>
      </c>
      <c r="E822" s="7">
        <v>689.63</v>
      </c>
      <c r="F822" s="7">
        <v>688.07</v>
      </c>
      <c r="G822" s="7">
        <v>650</v>
      </c>
      <c r="H822" s="7">
        <v>0</v>
      </c>
      <c r="I822" s="7">
        <v>0</v>
      </c>
      <c r="J822" s="7"/>
      <c r="K822" s="1" t="s">
        <v>107</v>
      </c>
      <c r="L822" s="1" t="s">
        <v>995</v>
      </c>
    </row>
    <row r="823" spans="1:12" ht="21" customHeight="1">
      <c r="A823" s="5">
        <v>46274</v>
      </c>
      <c r="B823" s="7">
        <v>593.01</v>
      </c>
      <c r="C823" s="7">
        <v>3909676</v>
      </c>
      <c r="D823" s="7">
        <v>689.63</v>
      </c>
      <c r="E823" s="7">
        <v>603</v>
      </c>
      <c r="F823" s="7">
        <v>747.99</v>
      </c>
      <c r="G823" s="7">
        <v>590</v>
      </c>
      <c r="H823" s="7">
        <v>0</v>
      </c>
      <c r="I823" s="7">
        <v>0</v>
      </c>
      <c r="J823" s="7"/>
      <c r="K823" s="1" t="s">
        <v>107</v>
      </c>
      <c r="L823" s="1" t="s">
        <v>996</v>
      </c>
    </row>
    <row r="824" spans="1:12" ht="21" customHeight="1">
      <c r="A824" s="5">
        <v>46275</v>
      </c>
      <c r="B824" s="7">
        <v>569.29</v>
      </c>
      <c r="C824" s="7">
        <v>3364062.75</v>
      </c>
      <c r="D824" s="7">
        <v>603</v>
      </c>
      <c r="E824" s="7">
        <v>616.62</v>
      </c>
      <c r="F824" s="7">
        <v>615</v>
      </c>
      <c r="G824" s="7">
        <v>475.14</v>
      </c>
      <c r="H824" s="7">
        <v>0</v>
      </c>
      <c r="I824" s="7">
        <v>0</v>
      </c>
      <c r="J824" s="7"/>
      <c r="K824" s="1" t="s">
        <v>107</v>
      </c>
      <c r="L824" s="1" t="s">
        <v>997</v>
      </c>
    </row>
    <row r="825" spans="1:12" ht="21" customHeight="1">
      <c r="A825" s="5">
        <v>46276</v>
      </c>
      <c r="B825" s="7">
        <v>658.65</v>
      </c>
      <c r="C825" s="7">
        <v>1715158.62</v>
      </c>
      <c r="D825" s="7">
        <v>616.62</v>
      </c>
      <c r="E825" s="7">
        <v>661</v>
      </c>
      <c r="F825" s="7">
        <v>689</v>
      </c>
      <c r="G825" s="7">
        <v>600</v>
      </c>
      <c r="H825" s="7">
        <v>0</v>
      </c>
      <c r="I825" s="7">
        <v>0</v>
      </c>
      <c r="J825" s="7"/>
      <c r="K825" s="1" t="s">
        <v>107</v>
      </c>
      <c r="L825" s="1" t="s">
        <v>998</v>
      </c>
    </row>
    <row r="826" spans="1:12" ht="21" customHeight="1">
      <c r="A826" s="5">
        <v>46279</v>
      </c>
      <c r="B826" s="7">
        <v>775.5</v>
      </c>
      <c r="C826" s="7">
        <v>2145817.25</v>
      </c>
      <c r="D826" s="7">
        <v>661</v>
      </c>
      <c r="E826" s="7">
        <v>799.5</v>
      </c>
      <c r="F826" s="7">
        <v>775.5</v>
      </c>
      <c r="G826" s="7">
        <v>661</v>
      </c>
      <c r="H826" s="7">
        <v>0</v>
      </c>
      <c r="I826" s="7">
        <v>0</v>
      </c>
      <c r="J826" s="7"/>
      <c r="K826" s="1" t="s">
        <v>107</v>
      </c>
      <c r="L826" s="1" t="s">
        <v>999</v>
      </c>
    </row>
    <row r="827" spans="1:12" ht="21" customHeight="1">
      <c r="A827" s="5">
        <v>46280</v>
      </c>
      <c r="B827" s="7">
        <v>860.85</v>
      </c>
      <c r="C827" s="7">
        <v>1079927</v>
      </c>
      <c r="D827" s="7">
        <v>799.5</v>
      </c>
      <c r="E827" s="7">
        <v>840</v>
      </c>
      <c r="F827" s="7">
        <v>879.55</v>
      </c>
      <c r="G827" s="7">
        <v>799.5</v>
      </c>
      <c r="H827" s="7">
        <v>0</v>
      </c>
      <c r="I827" s="7">
        <v>0</v>
      </c>
      <c r="J827" s="7"/>
      <c r="K827" s="1" t="s">
        <v>107</v>
      </c>
      <c r="L827" s="1" t="s">
        <v>1000</v>
      </c>
    </row>
    <row r="828" spans="1:12" ht="21" customHeight="1">
      <c r="A828" s="5">
        <v>46281</v>
      </c>
      <c r="B828" s="7">
        <v>857</v>
      </c>
      <c r="C828" s="7">
        <v>4665704</v>
      </c>
      <c r="D828" s="7">
        <v>840</v>
      </c>
      <c r="E828" s="7">
        <v>1150</v>
      </c>
      <c r="F828" s="7">
        <v>916</v>
      </c>
      <c r="G828" s="7">
        <v>753.12</v>
      </c>
      <c r="H828" s="7">
        <v>0</v>
      </c>
      <c r="I828" s="7">
        <v>0</v>
      </c>
      <c r="J828" s="7"/>
      <c r="K828" s="1" t="s">
        <v>107</v>
      </c>
      <c r="L828" s="1" t="s">
        <v>1001</v>
      </c>
    </row>
    <row r="829" spans="1:12" ht="21" customHeight="1">
      <c r="A829" s="5">
        <v>46255</v>
      </c>
      <c r="B829" s="7">
        <v>1150</v>
      </c>
      <c r="C829" s="7">
        <v>230000</v>
      </c>
      <c r="D829" s="7">
        <v>1150</v>
      </c>
      <c r="E829" s="7">
        <v>978</v>
      </c>
      <c r="F829" s="7">
        <v>1150</v>
      </c>
      <c r="G829" s="7">
        <v>1150</v>
      </c>
      <c r="H829" s="7">
        <v>0</v>
      </c>
      <c r="I829" s="7">
        <v>0</v>
      </c>
      <c r="J829" s="7"/>
      <c r="K829" s="1" t="s">
        <v>112</v>
      </c>
      <c r="L829" s="1" t="s">
        <v>1002</v>
      </c>
    </row>
    <row r="830" spans="1:12" ht="21" customHeight="1">
      <c r="A830" s="5">
        <v>46258</v>
      </c>
      <c r="B830" s="7">
        <v>871</v>
      </c>
      <c r="C830" s="7">
        <v>10129480</v>
      </c>
      <c r="D830" s="7">
        <v>978</v>
      </c>
      <c r="E830" s="7">
        <v>900</v>
      </c>
      <c r="F830" s="7">
        <v>1000</v>
      </c>
      <c r="G830" s="7">
        <v>866</v>
      </c>
      <c r="H830" s="7">
        <v>0</v>
      </c>
      <c r="I830" s="7">
        <v>0</v>
      </c>
      <c r="J830" s="7"/>
      <c r="K830" s="1" t="s">
        <v>112</v>
      </c>
      <c r="L830" s="1" t="s">
        <v>1003</v>
      </c>
    </row>
    <row r="831" spans="1:12" ht="21" customHeight="1">
      <c r="A831" s="5">
        <v>46259</v>
      </c>
      <c r="B831" s="7">
        <v>771</v>
      </c>
      <c r="C831" s="7">
        <v>2489300</v>
      </c>
      <c r="D831" s="7">
        <v>900</v>
      </c>
      <c r="E831" s="7">
        <v>800</v>
      </c>
      <c r="F831" s="7">
        <v>900</v>
      </c>
      <c r="G831" s="7">
        <v>840</v>
      </c>
      <c r="H831" s="7">
        <v>0</v>
      </c>
      <c r="I831" s="7">
        <v>0</v>
      </c>
      <c r="J831" s="7"/>
      <c r="K831" s="1" t="s">
        <v>112</v>
      </c>
      <c r="L831" s="1" t="s">
        <v>1004</v>
      </c>
    </row>
    <row r="832" spans="1:12" ht="21" customHeight="1">
      <c r="A832" s="5">
        <v>46260</v>
      </c>
      <c r="B832" s="7">
        <v>800</v>
      </c>
      <c r="C832" s="7">
        <v>800000</v>
      </c>
      <c r="D832" s="7">
        <v>800</v>
      </c>
      <c r="E832" s="7">
        <v>770</v>
      </c>
      <c r="F832" s="7">
        <v>0</v>
      </c>
      <c r="G832" s="7">
        <v>0</v>
      </c>
      <c r="H832" s="7">
        <v>0</v>
      </c>
      <c r="I832" s="7">
        <v>0</v>
      </c>
      <c r="J832" s="7"/>
      <c r="K832" s="1" t="s">
        <v>112</v>
      </c>
      <c r="L832" s="1" t="s">
        <v>1005</v>
      </c>
    </row>
    <row r="833" spans="1:12" ht="21" customHeight="1">
      <c r="A833" s="5">
        <v>46261</v>
      </c>
      <c r="B833" s="7">
        <v>905</v>
      </c>
      <c r="C833" s="7">
        <v>879515.5</v>
      </c>
      <c r="D833" s="7">
        <v>770</v>
      </c>
      <c r="E833" s="7">
        <v>770</v>
      </c>
      <c r="F833" s="7">
        <v>910</v>
      </c>
      <c r="G833" s="7">
        <v>770</v>
      </c>
      <c r="H833" s="7">
        <v>0</v>
      </c>
      <c r="I833" s="7">
        <v>0</v>
      </c>
      <c r="J833" s="7"/>
      <c r="K833" s="1" t="s">
        <v>112</v>
      </c>
      <c r="L833" s="1" t="s">
        <v>1006</v>
      </c>
    </row>
    <row r="834" spans="1:12" ht="21" customHeight="1">
      <c r="A834" s="5">
        <v>46262</v>
      </c>
      <c r="B834" s="7">
        <v>905</v>
      </c>
      <c r="C834" s="7">
        <v>0</v>
      </c>
      <c r="D834" s="7">
        <v>770</v>
      </c>
      <c r="E834" s="7">
        <v>968</v>
      </c>
      <c r="F834" s="7">
        <v>910</v>
      </c>
      <c r="G834" s="7">
        <v>770</v>
      </c>
      <c r="H834" s="7">
        <v>0</v>
      </c>
      <c r="I834" s="7">
        <v>0</v>
      </c>
      <c r="J834" s="7"/>
      <c r="K834" s="1" t="s">
        <v>112</v>
      </c>
      <c r="L834" s="1" t="s">
        <v>1007</v>
      </c>
    </row>
    <row r="835" spans="1:12" ht="21" customHeight="1">
      <c r="A835" s="5">
        <v>46265</v>
      </c>
      <c r="B835" s="7">
        <v>790.81</v>
      </c>
      <c r="C835" s="7">
        <v>7598978</v>
      </c>
      <c r="D835" s="7">
        <v>968</v>
      </c>
      <c r="E835" s="7">
        <v>858.77</v>
      </c>
      <c r="F835" s="7">
        <v>968</v>
      </c>
      <c r="G835" s="7">
        <v>731.89</v>
      </c>
      <c r="H835" s="7">
        <v>0</v>
      </c>
      <c r="I835" s="7">
        <v>0</v>
      </c>
      <c r="J835" s="7"/>
      <c r="K835" s="1" t="s">
        <v>112</v>
      </c>
      <c r="L835" s="1" t="s">
        <v>1008</v>
      </c>
    </row>
    <row r="836" spans="1:12" ht="21" customHeight="1">
      <c r="A836" s="5">
        <v>46266</v>
      </c>
      <c r="B836" s="7">
        <v>798.65</v>
      </c>
      <c r="C836" s="7">
        <v>2430883.25</v>
      </c>
      <c r="D836" s="7">
        <v>858.77</v>
      </c>
      <c r="E836" s="7">
        <v>726</v>
      </c>
      <c r="F836" s="7">
        <v>940.81</v>
      </c>
      <c r="G836" s="7">
        <v>750.05</v>
      </c>
      <c r="H836" s="7">
        <v>0</v>
      </c>
      <c r="I836" s="7">
        <v>0</v>
      </c>
      <c r="J836" s="7"/>
      <c r="K836" s="1" t="s">
        <v>112</v>
      </c>
      <c r="L836" s="1" t="s">
        <v>1009</v>
      </c>
    </row>
    <row r="837" spans="1:12" ht="21" customHeight="1">
      <c r="A837" s="5">
        <v>46267</v>
      </c>
      <c r="B837" s="7">
        <v>726</v>
      </c>
      <c r="C837" s="7">
        <v>363000.5</v>
      </c>
      <c r="D837" s="7">
        <v>726</v>
      </c>
      <c r="E837" s="7">
        <v>605</v>
      </c>
      <c r="F837" s="7">
        <v>0</v>
      </c>
      <c r="G837" s="7">
        <v>0</v>
      </c>
      <c r="H837" s="7">
        <v>0</v>
      </c>
      <c r="I837" s="7">
        <v>0</v>
      </c>
      <c r="J837" s="7"/>
      <c r="K837" s="1" t="s">
        <v>112</v>
      </c>
      <c r="L837" s="1" t="s">
        <v>1010</v>
      </c>
    </row>
    <row r="838" spans="1:12" ht="21" customHeight="1">
      <c r="A838" s="5">
        <v>46268</v>
      </c>
      <c r="B838" s="7">
        <v>898.99</v>
      </c>
      <c r="C838" s="7">
        <v>392399</v>
      </c>
      <c r="D838" s="7">
        <v>605</v>
      </c>
      <c r="E838" s="7">
        <v>790</v>
      </c>
      <c r="F838" s="7">
        <v>605</v>
      </c>
      <c r="G838" s="7">
        <v>605</v>
      </c>
      <c r="H838" s="7">
        <v>0</v>
      </c>
      <c r="I838" s="7">
        <v>0</v>
      </c>
      <c r="J838" s="7"/>
      <c r="K838" s="1" t="s">
        <v>112</v>
      </c>
      <c r="L838" s="1" t="s">
        <v>1011</v>
      </c>
    </row>
    <row r="839" spans="1:12" ht="21" customHeight="1">
      <c r="A839" s="5">
        <v>46269</v>
      </c>
      <c r="B839" s="7">
        <v>780</v>
      </c>
      <c r="C839" s="7">
        <v>235000</v>
      </c>
      <c r="D839" s="7">
        <v>790</v>
      </c>
      <c r="E839" s="7">
        <v>790</v>
      </c>
      <c r="F839" s="7">
        <v>790</v>
      </c>
      <c r="G839" s="7">
        <v>790</v>
      </c>
      <c r="H839" s="7">
        <v>0</v>
      </c>
      <c r="I839" s="7">
        <v>0</v>
      </c>
      <c r="J839" s="7"/>
      <c r="K839" s="1" t="s">
        <v>112</v>
      </c>
      <c r="L839" s="1" t="s">
        <v>1012</v>
      </c>
    </row>
    <row r="840" spans="1:12" ht="21" customHeight="1">
      <c r="A840" s="5">
        <v>46272</v>
      </c>
      <c r="B840" s="7">
        <v>780</v>
      </c>
      <c r="C840" s="7">
        <v>0</v>
      </c>
      <c r="D840" s="7">
        <v>790</v>
      </c>
      <c r="E840" s="7">
        <v>790</v>
      </c>
      <c r="F840" s="7">
        <v>790</v>
      </c>
      <c r="G840" s="7">
        <v>790</v>
      </c>
      <c r="H840" s="7">
        <v>0</v>
      </c>
      <c r="I840" s="7">
        <v>0</v>
      </c>
      <c r="J840" s="7"/>
      <c r="K840" s="1" t="s">
        <v>112</v>
      </c>
      <c r="L840" s="1" t="s">
        <v>1013</v>
      </c>
    </row>
    <row r="841" spans="1:12" ht="21" customHeight="1">
      <c r="A841" s="5">
        <v>46273</v>
      </c>
      <c r="B841" s="7">
        <v>780</v>
      </c>
      <c r="C841" s="7">
        <v>0</v>
      </c>
      <c r="D841" s="7">
        <v>790</v>
      </c>
      <c r="E841" s="7">
        <v>790</v>
      </c>
      <c r="F841" s="7">
        <v>790</v>
      </c>
      <c r="G841" s="7">
        <v>790</v>
      </c>
      <c r="H841" s="7">
        <v>0</v>
      </c>
      <c r="I841" s="7">
        <v>0</v>
      </c>
      <c r="J841" s="7"/>
      <c r="K841" s="1" t="s">
        <v>112</v>
      </c>
      <c r="L841" s="1" t="s">
        <v>1014</v>
      </c>
    </row>
    <row r="842" spans="1:12" ht="21" customHeight="1">
      <c r="A842" s="5">
        <v>46274</v>
      </c>
      <c r="B842" s="7">
        <v>780</v>
      </c>
      <c r="C842" s="7">
        <v>0</v>
      </c>
      <c r="D842" s="7">
        <v>790</v>
      </c>
      <c r="E842" s="7">
        <v>720</v>
      </c>
      <c r="F842" s="7">
        <v>790</v>
      </c>
      <c r="G842" s="7">
        <v>790</v>
      </c>
      <c r="H842" s="7">
        <v>0</v>
      </c>
      <c r="I842" s="7">
        <v>0</v>
      </c>
      <c r="J842" s="7"/>
      <c r="K842" s="1" t="s">
        <v>112</v>
      </c>
      <c r="L842" s="1" t="s">
        <v>1015</v>
      </c>
    </row>
    <row r="843" spans="1:12" ht="21" customHeight="1">
      <c r="A843" s="5">
        <v>46275</v>
      </c>
      <c r="B843" s="7">
        <v>720</v>
      </c>
      <c r="C843" s="7">
        <v>144000</v>
      </c>
      <c r="D843" s="7">
        <v>720</v>
      </c>
      <c r="E843" s="7">
        <v>720</v>
      </c>
      <c r="F843" s="7">
        <v>0</v>
      </c>
      <c r="G843" s="7">
        <v>0</v>
      </c>
      <c r="H843" s="7">
        <v>0</v>
      </c>
      <c r="I843" s="7">
        <v>0</v>
      </c>
      <c r="J843" s="7"/>
      <c r="K843" s="1" t="s">
        <v>112</v>
      </c>
      <c r="L843" s="1" t="s">
        <v>1016</v>
      </c>
    </row>
    <row r="844" spans="1:12" ht="21" customHeight="1">
      <c r="A844" s="5">
        <v>46276</v>
      </c>
      <c r="B844" s="7">
        <v>720</v>
      </c>
      <c r="C844" s="7">
        <v>0</v>
      </c>
      <c r="D844" s="7">
        <v>720</v>
      </c>
      <c r="E844" s="7">
        <v>830</v>
      </c>
      <c r="F844" s="7">
        <v>720</v>
      </c>
      <c r="G844" s="7">
        <v>720</v>
      </c>
      <c r="H844" s="7">
        <v>0</v>
      </c>
      <c r="I844" s="7">
        <v>0</v>
      </c>
      <c r="J844" s="7"/>
      <c r="K844" s="1" t="s">
        <v>112</v>
      </c>
      <c r="L844" s="1" t="s">
        <v>1017</v>
      </c>
    </row>
    <row r="845" spans="1:12" ht="21" customHeight="1">
      <c r="A845" s="5">
        <v>46279</v>
      </c>
      <c r="B845" s="7">
        <v>955</v>
      </c>
      <c r="C845" s="7">
        <v>3038134</v>
      </c>
      <c r="D845" s="7">
        <v>830</v>
      </c>
      <c r="E845" s="7">
        <v>990.5</v>
      </c>
      <c r="F845" s="7">
        <v>983.59</v>
      </c>
      <c r="G845" s="7">
        <v>830</v>
      </c>
      <c r="H845" s="7">
        <v>0</v>
      </c>
      <c r="I845" s="7">
        <v>0</v>
      </c>
      <c r="J845" s="7"/>
      <c r="K845" s="1" t="s">
        <v>112</v>
      </c>
      <c r="L845" s="1" t="s">
        <v>1018</v>
      </c>
    </row>
    <row r="846" spans="1:12" ht="21" customHeight="1">
      <c r="A846" s="5">
        <v>46280</v>
      </c>
      <c r="B846" s="7">
        <v>1064.72</v>
      </c>
      <c r="C846" s="7">
        <v>2107901.5</v>
      </c>
      <c r="D846" s="7">
        <v>990.5</v>
      </c>
      <c r="E846" s="7">
        <v>1020</v>
      </c>
      <c r="F846" s="7">
        <v>1088.22</v>
      </c>
      <c r="G846" s="7">
        <v>967.62</v>
      </c>
      <c r="H846" s="7">
        <v>0</v>
      </c>
      <c r="I846" s="7">
        <v>0</v>
      </c>
      <c r="J846" s="7"/>
      <c r="K846" s="1" t="s">
        <v>112</v>
      </c>
      <c r="L846" s="1" t="s">
        <v>1019</v>
      </c>
    </row>
    <row r="847" spans="1:12" ht="21" customHeight="1">
      <c r="A847" s="5">
        <v>46281</v>
      </c>
      <c r="B847" s="7">
        <v>1000</v>
      </c>
      <c r="C847" s="7">
        <v>302000</v>
      </c>
      <c r="D847" s="7">
        <v>1020</v>
      </c>
      <c r="E847" s="7">
        <v>1490</v>
      </c>
      <c r="F847" s="7">
        <v>1020</v>
      </c>
      <c r="G847" s="7">
        <v>1020</v>
      </c>
      <c r="H847" s="7">
        <v>0</v>
      </c>
      <c r="I847" s="7">
        <v>0</v>
      </c>
      <c r="J847" s="7"/>
      <c r="K847" s="1" t="s">
        <v>112</v>
      </c>
      <c r="L847" s="1" t="s">
        <v>1020</v>
      </c>
    </row>
    <row r="848" spans="1:12" ht="21" customHeight="1">
      <c r="A848" s="5">
        <v>46255</v>
      </c>
      <c r="B848" s="7">
        <v>1337.5</v>
      </c>
      <c r="C848" s="7">
        <v>1426500</v>
      </c>
      <c r="D848" s="7">
        <v>1490</v>
      </c>
      <c r="E848" s="7">
        <v>1105</v>
      </c>
      <c r="F848" s="7">
        <v>1490</v>
      </c>
      <c r="G848" s="7">
        <v>1325</v>
      </c>
      <c r="H848" s="7">
        <v>0</v>
      </c>
      <c r="I848" s="7">
        <v>0</v>
      </c>
      <c r="J848" s="7"/>
      <c r="K848" s="1" t="s">
        <v>117</v>
      </c>
      <c r="L848" s="1" t="s">
        <v>1021</v>
      </c>
    </row>
    <row r="849" spans="1:12" ht="21" customHeight="1">
      <c r="A849" s="5">
        <v>46258</v>
      </c>
      <c r="B849" s="7">
        <v>1000</v>
      </c>
      <c r="C849" s="7">
        <v>2361522</v>
      </c>
      <c r="D849" s="7">
        <v>1105</v>
      </c>
      <c r="E849" s="7">
        <v>1020</v>
      </c>
      <c r="F849" s="7">
        <v>1105</v>
      </c>
      <c r="G849" s="7">
        <v>1000.1</v>
      </c>
      <c r="H849" s="7">
        <v>0</v>
      </c>
      <c r="I849" s="7">
        <v>0</v>
      </c>
      <c r="J849" s="7"/>
      <c r="K849" s="1" t="s">
        <v>117</v>
      </c>
      <c r="L849" s="1" t="s">
        <v>1022</v>
      </c>
    </row>
    <row r="850" spans="1:12" ht="21" customHeight="1">
      <c r="A850" s="5">
        <v>46259</v>
      </c>
      <c r="B850" s="7">
        <v>1024</v>
      </c>
      <c r="C850" s="7">
        <v>2905407.5</v>
      </c>
      <c r="D850" s="7">
        <v>1020</v>
      </c>
      <c r="E850" s="7">
        <v>879</v>
      </c>
      <c r="F850" s="7">
        <v>1040</v>
      </c>
      <c r="G850" s="7">
        <v>955</v>
      </c>
      <c r="H850" s="7">
        <v>0</v>
      </c>
      <c r="I850" s="7">
        <v>0</v>
      </c>
      <c r="J850" s="7"/>
      <c r="K850" s="1" t="s">
        <v>117</v>
      </c>
      <c r="L850" s="1" t="s">
        <v>1023</v>
      </c>
    </row>
    <row r="851" spans="1:12" ht="21" customHeight="1">
      <c r="A851" s="5">
        <v>46260</v>
      </c>
      <c r="B851" s="7">
        <v>990</v>
      </c>
      <c r="C851" s="7">
        <v>6944098.5</v>
      </c>
      <c r="D851" s="7">
        <v>879</v>
      </c>
      <c r="E851" s="7">
        <v>1075</v>
      </c>
      <c r="F851" s="7">
        <v>999</v>
      </c>
      <c r="G851" s="7">
        <v>879</v>
      </c>
      <c r="H851" s="7">
        <v>0</v>
      </c>
      <c r="I851" s="7">
        <v>0</v>
      </c>
      <c r="J851" s="7"/>
      <c r="K851" s="1" t="s">
        <v>117</v>
      </c>
      <c r="L851" s="1" t="s">
        <v>1024</v>
      </c>
    </row>
    <row r="852" spans="1:12" ht="21" customHeight="1">
      <c r="A852" s="5">
        <v>46261</v>
      </c>
      <c r="B852" s="7">
        <v>1127.1400000000001</v>
      </c>
      <c r="C852" s="7">
        <v>19368288</v>
      </c>
      <c r="D852" s="7">
        <v>1075</v>
      </c>
      <c r="E852" s="7">
        <v>1166</v>
      </c>
      <c r="F852" s="7">
        <v>1155</v>
      </c>
      <c r="G852" s="7">
        <v>1055</v>
      </c>
      <c r="H852" s="7">
        <v>0</v>
      </c>
      <c r="I852" s="7">
        <v>0</v>
      </c>
      <c r="J852" s="7"/>
      <c r="K852" s="1" t="s">
        <v>117</v>
      </c>
      <c r="L852" s="1" t="s">
        <v>1025</v>
      </c>
    </row>
    <row r="853" spans="1:12" ht="21" customHeight="1">
      <c r="A853" s="5">
        <v>46262</v>
      </c>
      <c r="B853" s="7">
        <v>1225</v>
      </c>
      <c r="C853" s="7">
        <v>2458600.25</v>
      </c>
      <c r="D853" s="7">
        <v>1166</v>
      </c>
      <c r="E853" s="7">
        <v>1107.95</v>
      </c>
      <c r="F853" s="7">
        <v>1259</v>
      </c>
      <c r="G853" s="7">
        <v>1166</v>
      </c>
      <c r="H853" s="7">
        <v>0</v>
      </c>
      <c r="I853" s="7">
        <v>0</v>
      </c>
      <c r="J853" s="7"/>
      <c r="K853" s="1" t="s">
        <v>117</v>
      </c>
      <c r="L853" s="1" t="s">
        <v>1026</v>
      </c>
    </row>
    <row r="854" spans="1:12" ht="21" customHeight="1">
      <c r="A854" s="5">
        <v>46265</v>
      </c>
      <c r="B854" s="7">
        <v>950</v>
      </c>
      <c r="C854" s="7">
        <v>2310116.5</v>
      </c>
      <c r="D854" s="7">
        <v>1107.95</v>
      </c>
      <c r="E854" s="7">
        <v>877.66</v>
      </c>
      <c r="F854" s="7">
        <v>1107.95</v>
      </c>
      <c r="G854" s="7">
        <v>880.45</v>
      </c>
      <c r="H854" s="7">
        <v>0</v>
      </c>
      <c r="I854" s="7">
        <v>0</v>
      </c>
      <c r="J854" s="7"/>
      <c r="K854" s="1" t="s">
        <v>117</v>
      </c>
      <c r="L854" s="1" t="s">
        <v>1027</v>
      </c>
    </row>
    <row r="855" spans="1:12" ht="21" customHeight="1">
      <c r="A855" s="5">
        <v>46266</v>
      </c>
      <c r="B855" s="7">
        <v>960</v>
      </c>
      <c r="C855" s="7">
        <v>562751.31000000006</v>
      </c>
      <c r="D855" s="7">
        <v>877.66</v>
      </c>
      <c r="E855" s="7">
        <v>910</v>
      </c>
      <c r="F855" s="7">
        <v>961.15</v>
      </c>
      <c r="G855" s="7">
        <v>877.66</v>
      </c>
      <c r="H855" s="7">
        <v>0</v>
      </c>
      <c r="I855" s="7">
        <v>0</v>
      </c>
      <c r="J855" s="7"/>
      <c r="K855" s="1" t="s">
        <v>117</v>
      </c>
      <c r="L855" s="1" t="s">
        <v>1028</v>
      </c>
    </row>
    <row r="856" spans="1:12" ht="21" customHeight="1">
      <c r="A856" s="5">
        <v>46267</v>
      </c>
      <c r="B856" s="7">
        <v>910</v>
      </c>
      <c r="C856" s="7">
        <v>455000</v>
      </c>
      <c r="D856" s="7">
        <v>910</v>
      </c>
      <c r="E856" s="7">
        <v>1000</v>
      </c>
      <c r="F856" s="7">
        <v>910</v>
      </c>
      <c r="G856" s="7">
        <v>910</v>
      </c>
      <c r="H856" s="7">
        <v>0</v>
      </c>
      <c r="I856" s="7">
        <v>0</v>
      </c>
      <c r="J856" s="7"/>
      <c r="K856" s="1" t="s">
        <v>117</v>
      </c>
      <c r="L856" s="1" t="s">
        <v>1029</v>
      </c>
    </row>
    <row r="857" spans="1:12" ht="21" customHeight="1">
      <c r="A857" s="5">
        <v>46268</v>
      </c>
      <c r="B857" s="7">
        <v>1000</v>
      </c>
      <c r="C857" s="7">
        <v>298999.90999999997</v>
      </c>
      <c r="D857" s="7">
        <v>1000</v>
      </c>
      <c r="E857" s="7">
        <v>1000</v>
      </c>
      <c r="F857" s="7">
        <v>1000</v>
      </c>
      <c r="G857" s="7">
        <v>990</v>
      </c>
      <c r="H857" s="7">
        <v>0</v>
      </c>
      <c r="I857" s="7">
        <v>0</v>
      </c>
      <c r="J857" s="7"/>
      <c r="K857" s="1" t="s">
        <v>117</v>
      </c>
      <c r="L857" s="1" t="s">
        <v>1030</v>
      </c>
    </row>
    <row r="858" spans="1:12" ht="21" customHeight="1">
      <c r="A858" s="5">
        <v>46269</v>
      </c>
      <c r="B858" s="7">
        <v>1000</v>
      </c>
      <c r="C858" s="7">
        <v>200000</v>
      </c>
      <c r="D858" s="7">
        <v>1000</v>
      </c>
      <c r="E858" s="7">
        <v>1000</v>
      </c>
      <c r="F858" s="7">
        <v>1000</v>
      </c>
      <c r="G858" s="7">
        <v>1000</v>
      </c>
      <c r="H858" s="7">
        <v>0</v>
      </c>
      <c r="I858" s="7">
        <v>0</v>
      </c>
      <c r="J858" s="7"/>
      <c r="K858" s="1" t="s">
        <v>117</v>
      </c>
      <c r="L858" s="1" t="s">
        <v>1031</v>
      </c>
    </row>
    <row r="859" spans="1:12" ht="21" customHeight="1">
      <c r="A859" s="5">
        <v>46272</v>
      </c>
      <c r="B859" s="7">
        <v>1000</v>
      </c>
      <c r="C859" s="7">
        <v>0</v>
      </c>
      <c r="D859" s="7">
        <v>1000</v>
      </c>
      <c r="E859" s="7">
        <v>990</v>
      </c>
      <c r="F859" s="7">
        <v>1000</v>
      </c>
      <c r="G859" s="7">
        <v>1000</v>
      </c>
      <c r="H859" s="7">
        <v>0</v>
      </c>
      <c r="I859" s="7">
        <v>0</v>
      </c>
      <c r="J859" s="7"/>
      <c r="K859" s="1" t="s">
        <v>117</v>
      </c>
      <c r="L859" s="1" t="s">
        <v>1032</v>
      </c>
    </row>
    <row r="860" spans="1:12" ht="21" customHeight="1">
      <c r="A860" s="5">
        <v>46273</v>
      </c>
      <c r="B860" s="7">
        <v>960</v>
      </c>
      <c r="C860" s="7">
        <v>498793</v>
      </c>
      <c r="D860" s="7">
        <v>990</v>
      </c>
      <c r="E860" s="7">
        <v>1100</v>
      </c>
      <c r="F860" s="7">
        <v>1100</v>
      </c>
      <c r="G860" s="7">
        <v>947.93</v>
      </c>
      <c r="H860" s="7">
        <v>0</v>
      </c>
      <c r="I860" s="7">
        <v>0</v>
      </c>
      <c r="J860" s="7"/>
      <c r="K860" s="1" t="s">
        <v>117</v>
      </c>
      <c r="L860" s="1" t="s">
        <v>1033</v>
      </c>
    </row>
    <row r="861" spans="1:12" ht="21" customHeight="1">
      <c r="A861" s="5">
        <v>46274</v>
      </c>
      <c r="B861" s="7">
        <v>900</v>
      </c>
      <c r="C861" s="7">
        <v>200000</v>
      </c>
      <c r="D861" s="7">
        <v>1100</v>
      </c>
      <c r="E861" s="7">
        <v>850</v>
      </c>
      <c r="F861" s="7">
        <v>1100</v>
      </c>
      <c r="G861" s="7">
        <v>1100</v>
      </c>
      <c r="H861" s="7">
        <v>0</v>
      </c>
      <c r="I861" s="7">
        <v>0</v>
      </c>
      <c r="J861" s="7"/>
      <c r="K861" s="1" t="s">
        <v>117</v>
      </c>
      <c r="L861" s="1" t="s">
        <v>1034</v>
      </c>
    </row>
    <row r="862" spans="1:12" ht="21" customHeight="1">
      <c r="A862" s="5">
        <v>46275</v>
      </c>
      <c r="B862" s="7">
        <v>835</v>
      </c>
      <c r="C862" s="7">
        <v>167000</v>
      </c>
      <c r="D862" s="7">
        <v>850</v>
      </c>
      <c r="E862" s="7">
        <v>900</v>
      </c>
      <c r="F862" s="7">
        <v>850</v>
      </c>
      <c r="G862" s="7">
        <v>850</v>
      </c>
      <c r="H862" s="7">
        <v>0</v>
      </c>
      <c r="I862" s="7">
        <v>0</v>
      </c>
      <c r="J862" s="7"/>
      <c r="K862" s="1" t="s">
        <v>117</v>
      </c>
      <c r="L862" s="1" t="s">
        <v>1035</v>
      </c>
    </row>
    <row r="863" spans="1:12" ht="21" customHeight="1">
      <c r="A863" s="5">
        <v>46276</v>
      </c>
      <c r="B863" s="7">
        <v>1017.5</v>
      </c>
      <c r="C863" s="7">
        <v>393500</v>
      </c>
      <c r="D863" s="7">
        <v>900</v>
      </c>
      <c r="E863" s="7">
        <v>1090</v>
      </c>
      <c r="F863" s="7">
        <v>1000</v>
      </c>
      <c r="G863" s="7">
        <v>900</v>
      </c>
      <c r="H863" s="7">
        <v>0</v>
      </c>
      <c r="I863" s="7">
        <v>0</v>
      </c>
      <c r="J863" s="7"/>
      <c r="K863" s="1" t="s">
        <v>117</v>
      </c>
      <c r="L863" s="1" t="s">
        <v>1036</v>
      </c>
    </row>
    <row r="864" spans="1:12" ht="21" customHeight="1">
      <c r="A864" s="5">
        <v>46279</v>
      </c>
      <c r="B864" s="7">
        <v>1160</v>
      </c>
      <c r="C864" s="7">
        <v>3754252.75</v>
      </c>
      <c r="D864" s="7">
        <v>1090</v>
      </c>
      <c r="E864" s="7">
        <v>1109.1099999999999</v>
      </c>
      <c r="F864" s="7">
        <v>1160</v>
      </c>
      <c r="G864" s="7">
        <v>1090</v>
      </c>
      <c r="H864" s="7">
        <v>0</v>
      </c>
      <c r="I864" s="7">
        <v>0</v>
      </c>
      <c r="J864" s="7"/>
      <c r="K864" s="1" t="s">
        <v>117</v>
      </c>
      <c r="L864" s="1" t="s">
        <v>1037</v>
      </c>
    </row>
    <row r="865" spans="1:12" ht="21" customHeight="1">
      <c r="A865" s="5">
        <v>46280</v>
      </c>
      <c r="B865" s="7">
        <v>1230</v>
      </c>
      <c r="C865" s="7">
        <v>21339940</v>
      </c>
      <c r="D865" s="7">
        <v>1109.1099999999999</v>
      </c>
      <c r="E865" s="7">
        <v>1109.1099999999999</v>
      </c>
      <c r="F865" s="7">
        <v>1250</v>
      </c>
      <c r="G865" s="7">
        <v>1109</v>
      </c>
      <c r="H865" s="7">
        <v>0</v>
      </c>
      <c r="I865" s="7">
        <v>0</v>
      </c>
      <c r="J865" s="7"/>
      <c r="K865" s="1" t="s">
        <v>117</v>
      </c>
      <c r="L865" s="1" t="s">
        <v>1038</v>
      </c>
    </row>
    <row r="866" spans="1:12" ht="21" customHeight="1">
      <c r="A866" s="5">
        <v>46281</v>
      </c>
      <c r="B866" s="7">
        <v>1230</v>
      </c>
      <c r="C866" s="7">
        <v>0</v>
      </c>
      <c r="D866" s="7">
        <v>1109.1099999999999</v>
      </c>
      <c r="E866" s="7">
        <v>1580</v>
      </c>
      <c r="F866" s="7">
        <v>1250</v>
      </c>
      <c r="G866" s="7">
        <v>1109</v>
      </c>
      <c r="H866" s="7">
        <v>0</v>
      </c>
      <c r="I866" s="7">
        <v>0</v>
      </c>
      <c r="J866" s="7"/>
      <c r="K866" s="1" t="s">
        <v>117</v>
      </c>
      <c r="L866" s="1" t="s">
        <v>1039</v>
      </c>
    </row>
    <row r="867" spans="1:12" ht="21" customHeight="1">
      <c r="A867" s="5">
        <v>46255</v>
      </c>
      <c r="B867" s="7">
        <v>1580</v>
      </c>
      <c r="C867" s="7">
        <v>474000</v>
      </c>
      <c r="D867" s="7">
        <v>1580</v>
      </c>
      <c r="E867" s="7">
        <v>1700</v>
      </c>
      <c r="F867" s="7">
        <v>1580</v>
      </c>
      <c r="G867" s="7">
        <v>1580</v>
      </c>
      <c r="H867" s="7">
        <v>0</v>
      </c>
      <c r="I867" s="7">
        <v>0</v>
      </c>
      <c r="J867" s="7"/>
      <c r="K867" s="1" t="s">
        <v>122</v>
      </c>
      <c r="L867" s="1" t="s">
        <v>1040</v>
      </c>
    </row>
    <row r="868" spans="1:12" ht="21" customHeight="1">
      <c r="A868" s="5">
        <v>46258</v>
      </c>
      <c r="B868" s="7">
        <v>1310</v>
      </c>
      <c r="C868" s="7">
        <v>9934083</v>
      </c>
      <c r="D868" s="7">
        <v>1700</v>
      </c>
      <c r="E868" s="7">
        <v>1280</v>
      </c>
      <c r="F868" s="7">
        <v>1700</v>
      </c>
      <c r="G868" s="7">
        <v>1260</v>
      </c>
      <c r="H868" s="7">
        <v>0</v>
      </c>
      <c r="I868" s="7">
        <v>0</v>
      </c>
      <c r="J868" s="7"/>
      <c r="K868" s="1" t="s">
        <v>122</v>
      </c>
      <c r="L868" s="1" t="s">
        <v>1041</v>
      </c>
    </row>
    <row r="869" spans="1:12" ht="21" customHeight="1">
      <c r="A869" s="5">
        <v>46259</v>
      </c>
      <c r="B869" s="7">
        <v>1176.8399999999999</v>
      </c>
      <c r="C869" s="7">
        <v>2028466</v>
      </c>
      <c r="D869" s="7">
        <v>1280</v>
      </c>
      <c r="E869" s="7">
        <v>1180</v>
      </c>
      <c r="F869" s="7">
        <v>1310</v>
      </c>
      <c r="G869" s="7">
        <v>1181.8399999999999</v>
      </c>
      <c r="H869" s="7">
        <v>0</v>
      </c>
      <c r="I869" s="7">
        <v>0</v>
      </c>
      <c r="J869" s="7"/>
      <c r="K869" s="1" t="s">
        <v>122</v>
      </c>
      <c r="L869" s="1" t="s">
        <v>1042</v>
      </c>
    </row>
    <row r="870" spans="1:12" ht="21" customHeight="1">
      <c r="A870" s="5">
        <v>46260</v>
      </c>
      <c r="B870" s="7">
        <v>1274.9000000000001</v>
      </c>
      <c r="C870" s="7">
        <v>1536505</v>
      </c>
      <c r="D870" s="7">
        <v>1180</v>
      </c>
      <c r="E870" s="7">
        <v>1240</v>
      </c>
      <c r="F870" s="7">
        <v>1220</v>
      </c>
      <c r="G870" s="7">
        <v>1082.1099999999999</v>
      </c>
      <c r="H870" s="7">
        <v>0</v>
      </c>
      <c r="I870" s="7">
        <v>0</v>
      </c>
      <c r="J870" s="7"/>
      <c r="K870" s="1" t="s">
        <v>122</v>
      </c>
      <c r="L870" s="1" t="s">
        <v>1043</v>
      </c>
    </row>
    <row r="871" spans="1:12" ht="21" customHeight="1">
      <c r="A871" s="5">
        <v>46261</v>
      </c>
      <c r="B871" s="7">
        <v>1291.94</v>
      </c>
      <c r="C871" s="7">
        <v>2470367</v>
      </c>
      <c r="D871" s="7">
        <v>1240</v>
      </c>
      <c r="E871" s="7">
        <v>1240</v>
      </c>
      <c r="F871" s="7">
        <v>1437.33</v>
      </c>
      <c r="G871" s="7">
        <v>1240</v>
      </c>
      <c r="H871" s="7">
        <v>0</v>
      </c>
      <c r="I871" s="7">
        <v>0</v>
      </c>
      <c r="J871" s="7"/>
      <c r="K871" s="1" t="s">
        <v>122</v>
      </c>
      <c r="L871" s="1" t="s">
        <v>1044</v>
      </c>
    </row>
    <row r="872" spans="1:12" ht="21" customHeight="1">
      <c r="A872" s="5">
        <v>46262</v>
      </c>
      <c r="B872" s="7">
        <v>1291.94</v>
      </c>
      <c r="C872" s="7">
        <v>0</v>
      </c>
      <c r="D872" s="7">
        <v>1240</v>
      </c>
      <c r="E872" s="7">
        <v>1260</v>
      </c>
      <c r="F872" s="7">
        <v>1437.33</v>
      </c>
      <c r="G872" s="7">
        <v>1240</v>
      </c>
      <c r="H872" s="7">
        <v>0</v>
      </c>
      <c r="I872" s="7">
        <v>0</v>
      </c>
      <c r="J872" s="7"/>
      <c r="K872" s="1" t="s">
        <v>122</v>
      </c>
      <c r="L872" s="1" t="s">
        <v>1045</v>
      </c>
    </row>
    <row r="873" spans="1:12" ht="21" customHeight="1">
      <c r="A873" s="5">
        <v>46265</v>
      </c>
      <c r="B873" s="7">
        <v>1260</v>
      </c>
      <c r="C873" s="7">
        <v>252000</v>
      </c>
      <c r="D873" s="7">
        <v>1260</v>
      </c>
      <c r="E873" s="7">
        <v>1260</v>
      </c>
      <c r="F873" s="7">
        <v>0</v>
      </c>
      <c r="G873" s="7">
        <v>0</v>
      </c>
      <c r="H873" s="7">
        <v>0</v>
      </c>
      <c r="I873" s="7">
        <v>0</v>
      </c>
      <c r="J873" s="7"/>
      <c r="K873" s="1" t="s">
        <v>122</v>
      </c>
      <c r="L873" s="1" t="s">
        <v>1046</v>
      </c>
    </row>
    <row r="874" spans="1:12" ht="21" customHeight="1">
      <c r="A874" s="5">
        <v>46266</v>
      </c>
      <c r="B874" s="7">
        <v>1260</v>
      </c>
      <c r="C874" s="7">
        <v>0</v>
      </c>
      <c r="D874" s="7">
        <v>1260</v>
      </c>
      <c r="E874" s="7">
        <v>1250</v>
      </c>
      <c r="F874" s="7">
        <v>1260</v>
      </c>
      <c r="G874" s="7">
        <v>1260</v>
      </c>
      <c r="H874" s="7">
        <v>0</v>
      </c>
      <c r="I874" s="7">
        <v>0</v>
      </c>
      <c r="J874" s="7"/>
      <c r="K874" s="1" t="s">
        <v>122</v>
      </c>
      <c r="L874" s="1" t="s">
        <v>1047</v>
      </c>
    </row>
    <row r="875" spans="1:12" ht="21" customHeight="1">
      <c r="A875" s="5">
        <v>46267</v>
      </c>
      <c r="B875" s="7">
        <v>1250</v>
      </c>
      <c r="C875" s="7">
        <v>125000</v>
      </c>
      <c r="D875" s="7">
        <v>1250</v>
      </c>
      <c r="E875" s="7">
        <v>1190</v>
      </c>
      <c r="F875" s="7">
        <v>0</v>
      </c>
      <c r="G875" s="7">
        <v>0</v>
      </c>
      <c r="H875" s="7">
        <v>0</v>
      </c>
      <c r="I875" s="7">
        <v>0</v>
      </c>
      <c r="J875" s="7"/>
      <c r="K875" s="1" t="s">
        <v>122</v>
      </c>
      <c r="L875" s="1" t="s">
        <v>1048</v>
      </c>
    </row>
    <row r="876" spans="1:12" ht="21" customHeight="1">
      <c r="A876" s="5">
        <v>46268</v>
      </c>
      <c r="B876" s="7">
        <v>1270</v>
      </c>
      <c r="C876" s="7">
        <v>373000</v>
      </c>
      <c r="D876" s="7">
        <v>1190</v>
      </c>
      <c r="E876" s="7">
        <v>1350</v>
      </c>
      <c r="F876" s="7">
        <v>1190</v>
      </c>
      <c r="G876" s="7">
        <v>1190</v>
      </c>
      <c r="H876" s="7">
        <v>0</v>
      </c>
      <c r="I876" s="7">
        <v>0</v>
      </c>
      <c r="J876" s="7"/>
      <c r="K876" s="1" t="s">
        <v>122</v>
      </c>
      <c r="L876" s="1" t="s">
        <v>1049</v>
      </c>
    </row>
    <row r="877" spans="1:12" ht="21" customHeight="1">
      <c r="A877" s="5">
        <v>46269</v>
      </c>
      <c r="B877" s="7">
        <v>1350</v>
      </c>
      <c r="C877" s="7">
        <v>675000</v>
      </c>
      <c r="D877" s="7">
        <v>1350</v>
      </c>
      <c r="E877" s="7">
        <v>1350</v>
      </c>
      <c r="F877" s="7">
        <v>1350</v>
      </c>
      <c r="G877" s="7">
        <v>1350</v>
      </c>
      <c r="H877" s="7">
        <v>0</v>
      </c>
      <c r="I877" s="7">
        <v>0</v>
      </c>
      <c r="J877" s="7"/>
      <c r="K877" s="1" t="s">
        <v>122</v>
      </c>
      <c r="L877" s="1" t="s">
        <v>1050</v>
      </c>
    </row>
    <row r="878" spans="1:12" ht="21" customHeight="1">
      <c r="A878" s="5">
        <v>46272</v>
      </c>
      <c r="B878" s="7">
        <v>1350</v>
      </c>
      <c r="C878" s="7">
        <v>0</v>
      </c>
      <c r="D878" s="7">
        <v>1350</v>
      </c>
      <c r="E878" s="7">
        <v>1350</v>
      </c>
      <c r="F878" s="7">
        <v>1350</v>
      </c>
      <c r="G878" s="7">
        <v>1350</v>
      </c>
      <c r="H878" s="7">
        <v>0</v>
      </c>
      <c r="I878" s="7">
        <v>0</v>
      </c>
      <c r="J878" s="7"/>
      <c r="K878" s="1" t="s">
        <v>122</v>
      </c>
      <c r="L878" s="1" t="s">
        <v>1051</v>
      </c>
    </row>
    <row r="879" spans="1:12" ht="21" customHeight="1">
      <c r="A879" s="5">
        <v>46273</v>
      </c>
      <c r="B879" s="7">
        <v>1350</v>
      </c>
      <c r="C879" s="7">
        <v>0</v>
      </c>
      <c r="D879" s="7">
        <v>1350</v>
      </c>
      <c r="E879" s="7">
        <v>1234</v>
      </c>
      <c r="F879" s="7">
        <v>1350</v>
      </c>
      <c r="G879" s="7">
        <v>1350</v>
      </c>
      <c r="H879" s="7">
        <v>0</v>
      </c>
      <c r="I879" s="7">
        <v>0</v>
      </c>
      <c r="J879" s="7"/>
      <c r="K879" s="1" t="s">
        <v>122</v>
      </c>
      <c r="L879" s="1" t="s">
        <v>1052</v>
      </c>
    </row>
    <row r="880" spans="1:12" ht="21" customHeight="1">
      <c r="A880" s="5">
        <v>46274</v>
      </c>
      <c r="B880" s="7">
        <v>1234</v>
      </c>
      <c r="C880" s="7">
        <v>617000</v>
      </c>
      <c r="D880" s="7">
        <v>1234</v>
      </c>
      <c r="E880" s="7">
        <v>1100</v>
      </c>
      <c r="F880" s="7">
        <v>1234</v>
      </c>
      <c r="G880" s="7">
        <v>1234</v>
      </c>
      <c r="H880" s="7">
        <v>0</v>
      </c>
      <c r="I880" s="7">
        <v>0</v>
      </c>
      <c r="J880" s="7"/>
      <c r="K880" s="1" t="s">
        <v>122</v>
      </c>
      <c r="L880" s="1" t="s">
        <v>1053</v>
      </c>
    </row>
    <row r="881" spans="1:12" ht="21" customHeight="1">
      <c r="A881" s="5">
        <v>46275</v>
      </c>
      <c r="B881" s="7">
        <v>1160</v>
      </c>
      <c r="C881" s="7">
        <v>458000</v>
      </c>
      <c r="D881" s="7">
        <v>1100</v>
      </c>
      <c r="E881" s="7">
        <v>1300</v>
      </c>
      <c r="F881" s="7">
        <v>1160</v>
      </c>
      <c r="G881" s="7">
        <v>1100</v>
      </c>
      <c r="H881" s="7">
        <v>0</v>
      </c>
      <c r="I881" s="7">
        <v>0</v>
      </c>
      <c r="J881" s="7"/>
      <c r="K881" s="1" t="s">
        <v>122</v>
      </c>
      <c r="L881" s="1" t="s">
        <v>1054</v>
      </c>
    </row>
    <row r="882" spans="1:12" ht="21" customHeight="1">
      <c r="A882" s="5">
        <v>46276</v>
      </c>
      <c r="B882" s="7">
        <v>1264.67</v>
      </c>
      <c r="C882" s="7">
        <v>7291063.5</v>
      </c>
      <c r="D882" s="7">
        <v>1300</v>
      </c>
      <c r="E882" s="7">
        <v>1238.27</v>
      </c>
      <c r="F882" s="7">
        <v>1369.89</v>
      </c>
      <c r="G882" s="7">
        <v>1200</v>
      </c>
      <c r="H882" s="7">
        <v>0</v>
      </c>
      <c r="I882" s="7">
        <v>0</v>
      </c>
      <c r="J882" s="7"/>
      <c r="K882" s="1" t="s">
        <v>122</v>
      </c>
      <c r="L882" s="1" t="s">
        <v>1055</v>
      </c>
    </row>
    <row r="883" spans="1:12" ht="21" customHeight="1">
      <c r="A883" s="5">
        <v>46279</v>
      </c>
      <c r="B883" s="7">
        <v>1327.03</v>
      </c>
      <c r="C883" s="7">
        <v>3026934</v>
      </c>
      <c r="D883" s="7">
        <v>1238.27</v>
      </c>
      <c r="E883" s="7">
        <v>1520</v>
      </c>
      <c r="F883" s="7">
        <v>1469.79</v>
      </c>
      <c r="G883" s="7">
        <v>1238.27</v>
      </c>
      <c r="H883" s="7">
        <v>0</v>
      </c>
      <c r="I883" s="7">
        <v>0</v>
      </c>
      <c r="J883" s="7"/>
      <c r="K883" s="1" t="s">
        <v>122</v>
      </c>
      <c r="L883" s="1" t="s">
        <v>1056</v>
      </c>
    </row>
    <row r="884" spans="1:12" ht="21" customHeight="1">
      <c r="A884" s="5">
        <v>46280</v>
      </c>
      <c r="B884" s="7">
        <v>1520</v>
      </c>
      <c r="C884" s="7">
        <v>760000</v>
      </c>
      <c r="D884" s="7">
        <v>1520</v>
      </c>
      <c r="E884" s="7">
        <v>1520</v>
      </c>
      <c r="F884" s="7">
        <v>1520</v>
      </c>
      <c r="G884" s="7">
        <v>1520</v>
      </c>
      <c r="H884" s="7">
        <v>0</v>
      </c>
      <c r="I884" s="7">
        <v>0</v>
      </c>
      <c r="J884" s="7"/>
      <c r="K884" s="1" t="s">
        <v>122</v>
      </c>
      <c r="L884" s="1" t="s">
        <v>1057</v>
      </c>
    </row>
    <row r="885" spans="1:12" ht="21" customHeight="1">
      <c r="A885" s="5">
        <v>46281</v>
      </c>
      <c r="B885" s="7">
        <v>1520</v>
      </c>
      <c r="C885" s="7">
        <v>0</v>
      </c>
      <c r="D885" s="7">
        <v>1520</v>
      </c>
      <c r="E885" s="7">
        <v>1060</v>
      </c>
      <c r="F885" s="7">
        <v>1520</v>
      </c>
      <c r="G885" s="7">
        <v>1520</v>
      </c>
      <c r="H885" s="7">
        <v>0</v>
      </c>
      <c r="I885" s="7">
        <v>0</v>
      </c>
      <c r="J885" s="7"/>
      <c r="K885" s="1" t="s">
        <v>122</v>
      </c>
      <c r="L885" s="1" t="s">
        <v>1058</v>
      </c>
    </row>
    <row r="886" spans="1:12" ht="21" customHeight="1">
      <c r="A886" s="5">
        <v>46255</v>
      </c>
      <c r="B886" s="7">
        <v>1173.55</v>
      </c>
      <c r="C886" s="7">
        <v>0</v>
      </c>
      <c r="D886" s="7">
        <v>1060</v>
      </c>
      <c r="E886" s="7">
        <v>1060</v>
      </c>
      <c r="F886" s="7">
        <v>1343.98</v>
      </c>
      <c r="G886" s="7">
        <v>1060</v>
      </c>
      <c r="H886" s="7">
        <v>0</v>
      </c>
      <c r="I886" s="7">
        <v>0</v>
      </c>
      <c r="J886" s="7"/>
      <c r="K886" s="1" t="s">
        <v>128</v>
      </c>
      <c r="L886" s="1" t="s">
        <v>1059</v>
      </c>
    </row>
    <row r="887" spans="1:12" ht="21" customHeight="1">
      <c r="A887" s="5">
        <v>46258</v>
      </c>
      <c r="B887" s="7">
        <v>1173.55</v>
      </c>
      <c r="C887" s="7">
        <v>0</v>
      </c>
      <c r="D887" s="7">
        <v>1060</v>
      </c>
      <c r="E887" s="7">
        <v>1432.13</v>
      </c>
      <c r="F887" s="7">
        <v>1343.98</v>
      </c>
      <c r="G887" s="7">
        <v>1060</v>
      </c>
      <c r="H887" s="7">
        <v>0</v>
      </c>
      <c r="I887" s="7">
        <v>0</v>
      </c>
      <c r="J887" s="7"/>
      <c r="K887" s="1" t="s">
        <v>128</v>
      </c>
      <c r="L887" s="1" t="s">
        <v>1060</v>
      </c>
    </row>
    <row r="888" spans="1:12" ht="21" customHeight="1">
      <c r="A888" s="5">
        <v>46259</v>
      </c>
      <c r="B888" s="7">
        <v>1460</v>
      </c>
      <c r="C888" s="7">
        <v>727213</v>
      </c>
      <c r="D888" s="7">
        <v>1432.13</v>
      </c>
      <c r="E888" s="7">
        <v>1600</v>
      </c>
      <c r="F888" s="7">
        <v>1460</v>
      </c>
      <c r="G888" s="7">
        <v>1432.13</v>
      </c>
      <c r="H888" s="7">
        <v>0</v>
      </c>
      <c r="I888" s="7">
        <v>0</v>
      </c>
      <c r="J888" s="7"/>
      <c r="K888" s="1" t="s">
        <v>128</v>
      </c>
      <c r="L888" s="1" t="s">
        <v>1061</v>
      </c>
    </row>
    <row r="889" spans="1:12" ht="21" customHeight="1">
      <c r="A889" s="5">
        <v>46260</v>
      </c>
      <c r="B889" s="7">
        <v>1630</v>
      </c>
      <c r="C889" s="7">
        <v>485999.69</v>
      </c>
      <c r="D889" s="7">
        <v>1600</v>
      </c>
      <c r="E889" s="7">
        <v>1700</v>
      </c>
      <c r="F889" s="7">
        <v>1630</v>
      </c>
      <c r="G889" s="7">
        <v>1600</v>
      </c>
      <c r="H889" s="7">
        <v>0</v>
      </c>
      <c r="I889" s="7">
        <v>0</v>
      </c>
      <c r="J889" s="7"/>
      <c r="K889" s="1" t="s">
        <v>128</v>
      </c>
      <c r="L889" s="1" t="s">
        <v>1062</v>
      </c>
    </row>
    <row r="890" spans="1:12" ht="21" customHeight="1">
      <c r="A890" s="5">
        <v>46261</v>
      </c>
      <c r="B890" s="7">
        <v>1725</v>
      </c>
      <c r="C890" s="7">
        <v>4265179.5</v>
      </c>
      <c r="D890" s="7">
        <v>1700</v>
      </c>
      <c r="E890" s="7">
        <v>1850</v>
      </c>
      <c r="F890" s="7">
        <v>1722.5</v>
      </c>
      <c r="G890" s="7">
        <v>1515</v>
      </c>
      <c r="H890" s="7">
        <v>0</v>
      </c>
      <c r="I890" s="7">
        <v>0</v>
      </c>
      <c r="J890" s="7"/>
      <c r="K890" s="1" t="s">
        <v>128</v>
      </c>
      <c r="L890" s="1" t="s">
        <v>1063</v>
      </c>
    </row>
    <row r="891" spans="1:12" ht="21" customHeight="1">
      <c r="A891" s="5">
        <v>46262</v>
      </c>
      <c r="B891" s="7">
        <v>1850</v>
      </c>
      <c r="C891" s="7">
        <v>370000</v>
      </c>
      <c r="D891" s="7">
        <v>1850</v>
      </c>
      <c r="E891" s="7">
        <v>1500</v>
      </c>
      <c r="F891" s="7">
        <v>0</v>
      </c>
      <c r="G891" s="7">
        <v>0</v>
      </c>
      <c r="H891" s="7">
        <v>0</v>
      </c>
      <c r="I891" s="7">
        <v>0</v>
      </c>
      <c r="J891" s="7"/>
      <c r="K891" s="1" t="s">
        <v>128</v>
      </c>
      <c r="L891" s="1" t="s">
        <v>1064</v>
      </c>
    </row>
    <row r="892" spans="1:12" ht="21" customHeight="1">
      <c r="A892" s="5">
        <v>46265</v>
      </c>
      <c r="B892" s="7">
        <v>1650</v>
      </c>
      <c r="C892" s="7">
        <v>315000</v>
      </c>
      <c r="D892" s="7">
        <v>1500</v>
      </c>
      <c r="E892" s="7">
        <v>1500</v>
      </c>
      <c r="F892" s="7">
        <v>1500</v>
      </c>
      <c r="G892" s="7">
        <v>1500</v>
      </c>
      <c r="H892" s="7">
        <v>0</v>
      </c>
      <c r="I892" s="7">
        <v>0</v>
      </c>
      <c r="J892" s="7"/>
      <c r="K892" s="1" t="s">
        <v>128</v>
      </c>
      <c r="L892" s="1" t="s">
        <v>1065</v>
      </c>
    </row>
    <row r="893" spans="1:12" ht="21" customHeight="1">
      <c r="A893" s="5">
        <v>46266</v>
      </c>
      <c r="B893" s="7">
        <v>1650</v>
      </c>
      <c r="C893" s="7">
        <v>0</v>
      </c>
      <c r="D893" s="7">
        <v>1500</v>
      </c>
      <c r="E893" s="7">
        <v>1555.11</v>
      </c>
      <c r="F893" s="7">
        <v>1500</v>
      </c>
      <c r="G893" s="7">
        <v>1500</v>
      </c>
      <c r="H893" s="7">
        <v>0</v>
      </c>
      <c r="I893" s="7">
        <v>0</v>
      </c>
      <c r="J893" s="7"/>
      <c r="K893" s="1" t="s">
        <v>128</v>
      </c>
      <c r="L893" s="1" t="s">
        <v>1066</v>
      </c>
    </row>
    <row r="894" spans="1:12" ht="21" customHeight="1">
      <c r="A894" s="5">
        <v>46267</v>
      </c>
      <c r="B894" s="7">
        <v>1555.11</v>
      </c>
      <c r="C894" s="7">
        <v>155511</v>
      </c>
      <c r="D894" s="7">
        <v>1555.11</v>
      </c>
      <c r="E894" s="7">
        <v>1555.11</v>
      </c>
      <c r="F894" s="7">
        <v>0</v>
      </c>
      <c r="G894" s="7">
        <v>0</v>
      </c>
      <c r="H894" s="7">
        <v>0</v>
      </c>
      <c r="I894" s="7">
        <v>0</v>
      </c>
      <c r="J894" s="7"/>
      <c r="K894" s="1" t="s">
        <v>128</v>
      </c>
      <c r="L894" s="1" t="s">
        <v>1067</v>
      </c>
    </row>
    <row r="895" spans="1:12" ht="21" customHeight="1">
      <c r="A895" s="5">
        <v>46268</v>
      </c>
      <c r="B895" s="7">
        <v>1555.11</v>
      </c>
      <c r="C895" s="7">
        <v>0</v>
      </c>
      <c r="D895" s="7">
        <v>1555.11</v>
      </c>
      <c r="E895" s="7">
        <v>1555.11</v>
      </c>
      <c r="F895" s="7">
        <v>1555.11</v>
      </c>
      <c r="G895" s="7">
        <v>1555.11</v>
      </c>
      <c r="H895" s="7">
        <v>0</v>
      </c>
      <c r="I895" s="7">
        <v>0</v>
      </c>
      <c r="J895" s="7"/>
      <c r="K895" s="1" t="s">
        <v>128</v>
      </c>
      <c r="L895" s="1" t="s">
        <v>1068</v>
      </c>
    </row>
    <row r="896" spans="1:12" ht="21" customHeight="1">
      <c r="A896" s="5">
        <v>46269</v>
      </c>
      <c r="B896" s="7">
        <v>1555.11</v>
      </c>
      <c r="C896" s="7">
        <v>0</v>
      </c>
      <c r="D896" s="7">
        <v>1555.11</v>
      </c>
      <c r="E896" s="7">
        <v>1555.11</v>
      </c>
      <c r="F896" s="7">
        <v>1555.11</v>
      </c>
      <c r="G896" s="7">
        <v>1555.11</v>
      </c>
      <c r="H896" s="7">
        <v>0</v>
      </c>
      <c r="I896" s="7">
        <v>0</v>
      </c>
      <c r="J896" s="7"/>
      <c r="K896" s="1" t="s">
        <v>128</v>
      </c>
      <c r="L896" s="1" t="s">
        <v>1069</v>
      </c>
    </row>
    <row r="897" spans="1:12" ht="21" customHeight="1">
      <c r="A897" s="5">
        <v>46272</v>
      </c>
      <c r="B897" s="7">
        <v>1555.11</v>
      </c>
      <c r="C897" s="7">
        <v>0</v>
      </c>
      <c r="D897" s="7">
        <v>1555.11</v>
      </c>
      <c r="E897" s="7">
        <v>1462.61</v>
      </c>
      <c r="F897" s="7">
        <v>1555.11</v>
      </c>
      <c r="G897" s="7">
        <v>1555.11</v>
      </c>
      <c r="H897" s="7">
        <v>0</v>
      </c>
      <c r="I897" s="7">
        <v>0</v>
      </c>
      <c r="J897" s="7"/>
      <c r="K897" s="1" t="s">
        <v>128</v>
      </c>
      <c r="L897" s="1" t="s">
        <v>1070</v>
      </c>
    </row>
    <row r="898" spans="1:12" ht="21" customHeight="1">
      <c r="A898" s="5">
        <v>46273</v>
      </c>
      <c r="B898" s="7">
        <v>1463.59</v>
      </c>
      <c r="C898" s="7">
        <v>876669</v>
      </c>
      <c r="D898" s="7">
        <v>1462.61</v>
      </c>
      <c r="E898" s="7">
        <v>1499</v>
      </c>
      <c r="F898" s="7">
        <v>1463.59</v>
      </c>
      <c r="G898" s="7">
        <v>1452.64</v>
      </c>
      <c r="H898" s="7">
        <v>0</v>
      </c>
      <c r="I898" s="7">
        <v>0</v>
      </c>
      <c r="J898" s="7"/>
      <c r="K898" s="1" t="s">
        <v>128</v>
      </c>
      <c r="L898" s="1" t="s">
        <v>1071</v>
      </c>
    </row>
    <row r="899" spans="1:12" ht="21" customHeight="1">
      <c r="A899" s="5">
        <v>46274</v>
      </c>
      <c r="B899" s="7">
        <v>1559.27</v>
      </c>
      <c r="C899" s="7">
        <v>461754</v>
      </c>
      <c r="D899" s="7">
        <v>1499</v>
      </c>
      <c r="E899" s="7">
        <v>1357.53</v>
      </c>
      <c r="F899" s="7">
        <v>1499</v>
      </c>
      <c r="G899" s="7">
        <v>1499</v>
      </c>
      <c r="H899" s="7">
        <v>0</v>
      </c>
      <c r="I899" s="7">
        <v>0</v>
      </c>
      <c r="J899" s="7"/>
      <c r="K899" s="1" t="s">
        <v>128</v>
      </c>
      <c r="L899" s="1" t="s">
        <v>1072</v>
      </c>
    </row>
    <row r="900" spans="1:12" ht="21" customHeight="1">
      <c r="A900" s="5">
        <v>46275</v>
      </c>
      <c r="B900" s="7">
        <v>1483.75</v>
      </c>
      <c r="C900" s="7">
        <v>5957463</v>
      </c>
      <c r="D900" s="7">
        <v>1357.53</v>
      </c>
      <c r="E900" s="7">
        <v>1600</v>
      </c>
      <c r="F900" s="7">
        <v>1488.24</v>
      </c>
      <c r="G900" s="7">
        <v>1357.53</v>
      </c>
      <c r="H900" s="7">
        <v>0</v>
      </c>
      <c r="I900" s="7">
        <v>0</v>
      </c>
      <c r="J900" s="7"/>
      <c r="K900" s="1" t="s">
        <v>128</v>
      </c>
      <c r="L900" s="1" t="s">
        <v>1073</v>
      </c>
    </row>
    <row r="901" spans="1:12" ht="21" customHeight="1">
      <c r="A901" s="5">
        <v>46276</v>
      </c>
      <c r="B901" s="7">
        <v>1600</v>
      </c>
      <c r="C901" s="7">
        <v>160000</v>
      </c>
      <c r="D901" s="7">
        <v>1600</v>
      </c>
      <c r="E901" s="7">
        <v>1789.44</v>
      </c>
      <c r="F901" s="7">
        <v>0</v>
      </c>
      <c r="G901" s="7">
        <v>0</v>
      </c>
      <c r="H901" s="7">
        <v>0</v>
      </c>
      <c r="I901" s="7">
        <v>0</v>
      </c>
      <c r="J901" s="7"/>
      <c r="K901" s="1" t="s">
        <v>128</v>
      </c>
      <c r="L901" s="1" t="s">
        <v>1074</v>
      </c>
    </row>
    <row r="902" spans="1:12" ht="21" customHeight="1">
      <c r="A902" s="5">
        <v>46279</v>
      </c>
      <c r="B902" s="7">
        <v>1789.44</v>
      </c>
      <c r="C902" s="7">
        <v>178944.09</v>
      </c>
      <c r="D902" s="7">
        <v>1789.44</v>
      </c>
      <c r="E902" s="7">
        <v>1648.65</v>
      </c>
      <c r="F902" s="7">
        <v>0</v>
      </c>
      <c r="G902" s="7">
        <v>0</v>
      </c>
      <c r="H902" s="7">
        <v>0</v>
      </c>
      <c r="I902" s="7">
        <v>0</v>
      </c>
      <c r="J902" s="7"/>
      <c r="K902" s="1" t="s">
        <v>128</v>
      </c>
      <c r="L902" s="1" t="s">
        <v>1075</v>
      </c>
    </row>
    <row r="903" spans="1:12" ht="21" customHeight="1">
      <c r="A903" s="5">
        <v>46280</v>
      </c>
      <c r="B903" s="7">
        <v>1648.65</v>
      </c>
      <c r="C903" s="7">
        <v>164865</v>
      </c>
      <c r="D903" s="7">
        <v>1648.65</v>
      </c>
      <c r="E903" s="7">
        <v>1648.65</v>
      </c>
      <c r="F903" s="7">
        <v>0</v>
      </c>
      <c r="G903" s="7">
        <v>0</v>
      </c>
      <c r="H903" s="7">
        <v>0</v>
      </c>
      <c r="I903" s="7">
        <v>0</v>
      </c>
      <c r="J903" s="7"/>
      <c r="K903" s="1" t="s">
        <v>128</v>
      </c>
      <c r="L903" s="1" t="s">
        <v>1076</v>
      </c>
    </row>
    <row r="904" spans="1:12" ht="21" customHeight="1">
      <c r="A904" s="5">
        <v>46281</v>
      </c>
      <c r="B904" s="7">
        <v>1648.65</v>
      </c>
      <c r="C904" s="7">
        <v>0</v>
      </c>
      <c r="D904" s="7">
        <v>1648.65</v>
      </c>
      <c r="E904" s="7">
        <v>2022.5</v>
      </c>
      <c r="F904" s="7">
        <v>1648.65</v>
      </c>
      <c r="G904" s="7">
        <v>1648.65</v>
      </c>
      <c r="H904" s="7">
        <v>0</v>
      </c>
      <c r="I904" s="7">
        <v>0</v>
      </c>
      <c r="J904" s="7"/>
      <c r="K904" s="1" t="s">
        <v>128</v>
      </c>
      <c r="L904" s="1" t="s">
        <v>1077</v>
      </c>
    </row>
    <row r="905" spans="1:12" ht="21" customHeight="1">
      <c r="A905" s="5">
        <v>46261</v>
      </c>
      <c r="B905" s="7">
        <v>2022.5</v>
      </c>
      <c r="C905" s="7">
        <v>2430033.5</v>
      </c>
      <c r="D905" s="7">
        <v>2022.5</v>
      </c>
      <c r="E905" s="7">
        <v>2022.5</v>
      </c>
      <c r="F905" s="7">
        <v>2037.67</v>
      </c>
      <c r="G905" s="7">
        <v>2022.5</v>
      </c>
      <c r="H905" s="7">
        <v>0</v>
      </c>
      <c r="I905" s="7">
        <v>0</v>
      </c>
      <c r="J905" s="7"/>
      <c r="K905" s="1" t="s">
        <v>133</v>
      </c>
      <c r="L905" s="1" t="s">
        <v>1078</v>
      </c>
    </row>
    <row r="906" spans="1:12" ht="21" customHeight="1">
      <c r="A906" s="5">
        <v>46262</v>
      </c>
      <c r="B906" s="7">
        <v>2022.5</v>
      </c>
      <c r="C906" s="7">
        <v>0</v>
      </c>
      <c r="D906" s="7">
        <v>2022.5</v>
      </c>
      <c r="E906" s="7">
        <v>2022.5</v>
      </c>
      <c r="F906" s="7">
        <v>2037.67</v>
      </c>
      <c r="G906" s="7">
        <v>2022.5</v>
      </c>
      <c r="H906" s="7">
        <v>0</v>
      </c>
      <c r="I906" s="7">
        <v>0</v>
      </c>
      <c r="J906" s="7"/>
      <c r="K906" s="1" t="s">
        <v>133</v>
      </c>
      <c r="L906" s="1" t="s">
        <v>1079</v>
      </c>
    </row>
    <row r="907" spans="1:12" ht="21" customHeight="1">
      <c r="A907" s="5">
        <v>46265</v>
      </c>
      <c r="B907" s="7">
        <v>2022.5</v>
      </c>
      <c r="C907" s="7">
        <v>0</v>
      </c>
      <c r="D907" s="7">
        <v>2022.5</v>
      </c>
      <c r="E907" s="7">
        <v>2022.5</v>
      </c>
      <c r="F907" s="7">
        <v>2037.67</v>
      </c>
      <c r="G907" s="7">
        <v>2022.5</v>
      </c>
      <c r="H907" s="7">
        <v>0</v>
      </c>
      <c r="I907" s="7">
        <v>0</v>
      </c>
      <c r="J907" s="7"/>
      <c r="K907" s="1" t="s">
        <v>133</v>
      </c>
      <c r="L907" s="1" t="s">
        <v>1080</v>
      </c>
    </row>
    <row r="908" spans="1:12" ht="21" customHeight="1">
      <c r="A908" s="5">
        <v>46266</v>
      </c>
      <c r="B908" s="7">
        <v>2022.5</v>
      </c>
      <c r="C908" s="7">
        <v>0</v>
      </c>
      <c r="D908" s="7">
        <v>2022.5</v>
      </c>
      <c r="E908" s="7">
        <v>2022.5</v>
      </c>
      <c r="F908" s="7">
        <v>2037.67</v>
      </c>
      <c r="G908" s="7">
        <v>2022.5</v>
      </c>
      <c r="H908" s="7">
        <v>0</v>
      </c>
      <c r="I908" s="7">
        <v>0</v>
      </c>
      <c r="J908" s="7"/>
      <c r="K908" s="1" t="s">
        <v>133</v>
      </c>
      <c r="L908" s="1" t="s">
        <v>1081</v>
      </c>
    </row>
    <row r="909" spans="1:12" ht="21" customHeight="1">
      <c r="A909" s="5">
        <v>46267</v>
      </c>
      <c r="B909" s="7">
        <v>2022.5</v>
      </c>
      <c r="C909" s="7">
        <v>0</v>
      </c>
      <c r="D909" s="7">
        <v>2022.5</v>
      </c>
      <c r="E909" s="7">
        <v>2022.5</v>
      </c>
      <c r="F909" s="7">
        <v>2037.67</v>
      </c>
      <c r="G909" s="7">
        <v>2022.5</v>
      </c>
      <c r="H909" s="7">
        <v>0</v>
      </c>
      <c r="I909" s="7">
        <v>0</v>
      </c>
      <c r="J909" s="7"/>
      <c r="K909" s="1" t="s">
        <v>133</v>
      </c>
      <c r="L909" s="1" t="s">
        <v>1082</v>
      </c>
    </row>
    <row r="910" spans="1:12" ht="21" customHeight="1">
      <c r="A910" s="5">
        <v>46268</v>
      </c>
      <c r="B910" s="7">
        <v>2022.5</v>
      </c>
      <c r="C910" s="7">
        <v>0</v>
      </c>
      <c r="D910" s="7">
        <v>2022.5</v>
      </c>
      <c r="E910" s="7">
        <v>2022.5</v>
      </c>
      <c r="F910" s="7">
        <v>2037.67</v>
      </c>
      <c r="G910" s="7">
        <v>2022.5</v>
      </c>
      <c r="H910" s="7">
        <v>0</v>
      </c>
      <c r="I910" s="7">
        <v>0</v>
      </c>
      <c r="J910" s="7"/>
      <c r="K910" s="1" t="s">
        <v>133</v>
      </c>
      <c r="L910" s="1" t="s">
        <v>1083</v>
      </c>
    </row>
    <row r="911" spans="1:12" ht="21" customHeight="1">
      <c r="A911" s="5">
        <v>46269</v>
      </c>
      <c r="B911" s="7">
        <v>2022.5</v>
      </c>
      <c r="C911" s="7">
        <v>0</v>
      </c>
      <c r="D911" s="7">
        <v>2022.5</v>
      </c>
      <c r="E911" s="7">
        <v>2022.5</v>
      </c>
      <c r="F911" s="7">
        <v>2037.67</v>
      </c>
      <c r="G911" s="7">
        <v>2022.5</v>
      </c>
      <c r="H911" s="7">
        <v>0</v>
      </c>
      <c r="I911" s="7">
        <v>0</v>
      </c>
      <c r="J911" s="7"/>
      <c r="K911" s="1" t="s">
        <v>133</v>
      </c>
      <c r="L911" s="1" t="s">
        <v>1084</v>
      </c>
    </row>
    <row r="912" spans="1:12" ht="21" customHeight="1">
      <c r="A912" s="5">
        <v>46272</v>
      </c>
      <c r="B912" s="7">
        <v>2022.5</v>
      </c>
      <c r="C912" s="7">
        <v>0</v>
      </c>
      <c r="D912" s="7">
        <v>2022.5</v>
      </c>
      <c r="E912" s="7">
        <v>2022.5</v>
      </c>
      <c r="F912" s="7">
        <v>2037.67</v>
      </c>
      <c r="G912" s="7">
        <v>2022.5</v>
      </c>
      <c r="H912" s="7">
        <v>0</v>
      </c>
      <c r="I912" s="7">
        <v>0</v>
      </c>
      <c r="J912" s="7"/>
      <c r="K912" s="1" t="s">
        <v>133</v>
      </c>
      <c r="L912" s="1" t="s">
        <v>1085</v>
      </c>
    </row>
    <row r="913" spans="1:12" ht="21" customHeight="1">
      <c r="A913" s="5">
        <v>46273</v>
      </c>
      <c r="B913" s="7">
        <v>2022.5</v>
      </c>
      <c r="C913" s="7">
        <v>0</v>
      </c>
      <c r="D913" s="7">
        <v>2022.5</v>
      </c>
      <c r="E913" s="7">
        <v>2022.5</v>
      </c>
      <c r="F913" s="7">
        <v>2037.67</v>
      </c>
      <c r="G913" s="7">
        <v>2022.5</v>
      </c>
      <c r="H913" s="7">
        <v>0</v>
      </c>
      <c r="I913" s="7">
        <v>0</v>
      </c>
      <c r="J913" s="7"/>
      <c r="K913" s="1" t="s">
        <v>133</v>
      </c>
      <c r="L913" s="1" t="s">
        <v>1086</v>
      </c>
    </row>
    <row r="914" spans="1:12" ht="21" customHeight="1">
      <c r="A914" s="5">
        <v>46274</v>
      </c>
      <c r="B914" s="7">
        <v>2022.5</v>
      </c>
      <c r="C914" s="7">
        <v>0</v>
      </c>
      <c r="D914" s="7">
        <v>2022.5</v>
      </c>
      <c r="E914" s="7">
        <v>2022.5</v>
      </c>
      <c r="F914" s="7">
        <v>2037.67</v>
      </c>
      <c r="G914" s="7">
        <v>2022.5</v>
      </c>
      <c r="H914" s="7">
        <v>0</v>
      </c>
      <c r="I914" s="7">
        <v>0</v>
      </c>
      <c r="J914" s="7"/>
      <c r="K914" s="1" t="s">
        <v>133</v>
      </c>
      <c r="L914" s="1" t="s">
        <v>1087</v>
      </c>
    </row>
    <row r="915" spans="1:12" ht="21" customHeight="1">
      <c r="A915" s="5">
        <v>46275</v>
      </c>
      <c r="B915" s="7">
        <v>2022.5</v>
      </c>
      <c r="C915" s="7">
        <v>0</v>
      </c>
      <c r="D915" s="7">
        <v>2022.5</v>
      </c>
      <c r="E915" s="7">
        <v>2022.5</v>
      </c>
      <c r="F915" s="7">
        <v>2037.67</v>
      </c>
      <c r="G915" s="7">
        <v>2022.5</v>
      </c>
      <c r="H915" s="7">
        <v>0</v>
      </c>
      <c r="I915" s="7">
        <v>0</v>
      </c>
      <c r="J915" s="7"/>
      <c r="K915" s="1" t="s">
        <v>133</v>
      </c>
      <c r="L915" s="1" t="s">
        <v>1088</v>
      </c>
    </row>
    <row r="916" spans="1:12" ht="21" customHeight="1">
      <c r="A916" s="5">
        <v>46276</v>
      </c>
      <c r="B916" s="7">
        <v>2022.5</v>
      </c>
      <c r="C916" s="7">
        <v>0</v>
      </c>
      <c r="D916" s="7">
        <v>2022.5</v>
      </c>
      <c r="E916" s="7">
        <v>2022.5</v>
      </c>
      <c r="F916" s="7">
        <v>2037.67</v>
      </c>
      <c r="G916" s="7">
        <v>2022.5</v>
      </c>
      <c r="H916" s="7">
        <v>0</v>
      </c>
      <c r="I916" s="7">
        <v>0</v>
      </c>
      <c r="J916" s="7"/>
      <c r="K916" s="1" t="s">
        <v>133</v>
      </c>
      <c r="L916" s="1" t="s">
        <v>1089</v>
      </c>
    </row>
    <row r="917" spans="1:12" ht="21" customHeight="1">
      <c r="A917" s="5">
        <v>46279</v>
      </c>
      <c r="B917" s="7">
        <v>2022.5</v>
      </c>
      <c r="C917" s="7">
        <v>0</v>
      </c>
      <c r="D917" s="7">
        <v>2022.5</v>
      </c>
      <c r="E917" s="7">
        <v>2022.5</v>
      </c>
      <c r="F917" s="7">
        <v>2037.67</v>
      </c>
      <c r="G917" s="7">
        <v>2022.5</v>
      </c>
      <c r="H917" s="7">
        <v>0</v>
      </c>
      <c r="I917" s="7">
        <v>0</v>
      </c>
      <c r="J917" s="7"/>
      <c r="K917" s="1" t="s">
        <v>133</v>
      </c>
      <c r="L917" s="1" t="s">
        <v>1090</v>
      </c>
    </row>
    <row r="918" spans="1:12" ht="21" customHeight="1">
      <c r="A918" s="5">
        <v>46280</v>
      </c>
      <c r="B918" s="7">
        <v>2022.5</v>
      </c>
      <c r="C918" s="7">
        <v>0</v>
      </c>
      <c r="D918" s="7">
        <v>2022.5</v>
      </c>
      <c r="E918" s="7">
        <v>2022.5</v>
      </c>
      <c r="F918" s="7">
        <v>2037.67</v>
      </c>
      <c r="G918" s="7">
        <v>2022.5</v>
      </c>
      <c r="H918" s="7">
        <v>0</v>
      </c>
      <c r="I918" s="7">
        <v>0</v>
      </c>
      <c r="J918" s="7"/>
      <c r="K918" s="1" t="s">
        <v>133</v>
      </c>
      <c r="L918" s="1" t="s">
        <v>1091</v>
      </c>
    </row>
    <row r="919" spans="1:12" ht="21" customHeight="1">
      <c r="A919" s="5">
        <v>46281</v>
      </c>
      <c r="B919" s="7">
        <v>2022.5</v>
      </c>
      <c r="C919" s="7">
        <v>0</v>
      </c>
      <c r="D919" s="7">
        <v>2022.5</v>
      </c>
      <c r="E919" s="7">
        <v>2000</v>
      </c>
      <c r="F919" s="7">
        <v>2037.67</v>
      </c>
      <c r="G919" s="7">
        <v>2022.5</v>
      </c>
      <c r="H919" s="7">
        <v>0</v>
      </c>
      <c r="I919" s="7">
        <v>0</v>
      </c>
      <c r="J919" s="7"/>
      <c r="K919" s="1" t="s">
        <v>133</v>
      </c>
      <c r="L919" s="1" t="s">
        <v>1092</v>
      </c>
    </row>
    <row r="920" spans="1:12" ht="21" customHeight="1">
      <c r="A920" s="5">
        <v>46273</v>
      </c>
      <c r="B920" s="7">
        <v>2000</v>
      </c>
      <c r="C920" s="7">
        <v>200000</v>
      </c>
      <c r="D920" s="7">
        <v>2000</v>
      </c>
      <c r="E920" s="7">
        <v>2000</v>
      </c>
      <c r="F920" s="7">
        <v>0</v>
      </c>
      <c r="G920" s="7">
        <v>0</v>
      </c>
      <c r="H920" s="7">
        <v>0</v>
      </c>
      <c r="I920" s="7">
        <v>0</v>
      </c>
      <c r="J920" s="7"/>
      <c r="K920" s="1" t="s">
        <v>139</v>
      </c>
      <c r="L920" s="1" t="s">
        <v>1093</v>
      </c>
    </row>
    <row r="921" spans="1:12" ht="21" customHeight="1">
      <c r="A921" s="5">
        <v>46274</v>
      </c>
      <c r="B921" s="7">
        <v>2000</v>
      </c>
      <c r="C921" s="7">
        <v>0</v>
      </c>
      <c r="D921" s="7">
        <v>2000</v>
      </c>
      <c r="E921" s="7">
        <v>2000</v>
      </c>
      <c r="F921" s="7">
        <v>2000</v>
      </c>
      <c r="G921" s="7">
        <v>2000</v>
      </c>
      <c r="H921" s="7">
        <v>0</v>
      </c>
      <c r="I921" s="7">
        <v>0</v>
      </c>
      <c r="J921" s="7"/>
      <c r="K921" s="1" t="s">
        <v>139</v>
      </c>
      <c r="L921" s="1" t="s">
        <v>1094</v>
      </c>
    </row>
    <row r="922" spans="1:12" ht="21" customHeight="1">
      <c r="A922" s="5">
        <v>46275</v>
      </c>
      <c r="B922" s="7">
        <v>2000</v>
      </c>
      <c r="C922" s="7">
        <v>0</v>
      </c>
      <c r="D922" s="7">
        <v>2000</v>
      </c>
      <c r="E922" s="7">
        <v>1895</v>
      </c>
      <c r="F922" s="7">
        <v>2000</v>
      </c>
      <c r="G922" s="7">
        <v>2000</v>
      </c>
      <c r="H922" s="7">
        <v>0</v>
      </c>
      <c r="I922" s="7">
        <v>0</v>
      </c>
      <c r="J922" s="7"/>
      <c r="K922" s="1" t="s">
        <v>139</v>
      </c>
      <c r="L922" s="1" t="s">
        <v>1095</v>
      </c>
    </row>
    <row r="923" spans="1:12" ht="21" customHeight="1">
      <c r="A923" s="5">
        <v>46276</v>
      </c>
      <c r="B923" s="7">
        <v>1895</v>
      </c>
      <c r="C923" s="7">
        <v>189500</v>
      </c>
      <c r="D923" s="7">
        <v>1895</v>
      </c>
      <c r="E923" s="7">
        <v>2041.57</v>
      </c>
      <c r="F923" s="7">
        <v>0</v>
      </c>
      <c r="G923" s="7">
        <v>0</v>
      </c>
      <c r="H923" s="7">
        <v>0</v>
      </c>
      <c r="I923" s="7">
        <v>0</v>
      </c>
      <c r="J923" s="7"/>
      <c r="K923" s="1" t="s">
        <v>139</v>
      </c>
      <c r="L923" s="1" t="s">
        <v>1096</v>
      </c>
    </row>
    <row r="924" spans="1:12" ht="21" customHeight="1">
      <c r="A924" s="5">
        <v>46279</v>
      </c>
      <c r="B924" s="7">
        <v>2041.57</v>
      </c>
      <c r="C924" s="7">
        <v>408314</v>
      </c>
      <c r="D924" s="7">
        <v>2041.57</v>
      </c>
      <c r="E924" s="7">
        <v>2041.57</v>
      </c>
      <c r="F924" s="7">
        <v>0</v>
      </c>
      <c r="G924" s="7">
        <v>0</v>
      </c>
      <c r="H924" s="7">
        <v>0</v>
      </c>
      <c r="I924" s="7">
        <v>0</v>
      </c>
      <c r="J924" s="7"/>
      <c r="K924" s="1" t="s">
        <v>139</v>
      </c>
      <c r="L924" s="1" t="s">
        <v>1097</v>
      </c>
    </row>
    <row r="925" spans="1:12" ht="21" customHeight="1">
      <c r="A925" s="5">
        <v>46280</v>
      </c>
      <c r="B925" s="7">
        <v>2041.57</v>
      </c>
      <c r="C925" s="7">
        <v>0</v>
      </c>
      <c r="D925" s="7">
        <v>2041.57</v>
      </c>
      <c r="E925" s="7">
        <v>2168.75</v>
      </c>
      <c r="F925" s="7">
        <v>2041.57</v>
      </c>
      <c r="G925" s="7">
        <v>2041.57</v>
      </c>
      <c r="H925" s="7">
        <v>0</v>
      </c>
      <c r="I925" s="7">
        <v>0</v>
      </c>
      <c r="J925" s="7"/>
      <c r="K925" s="1" t="s">
        <v>139</v>
      </c>
      <c r="L925" s="1" t="s">
        <v>1098</v>
      </c>
    </row>
    <row r="926" spans="1:12" ht="21" customHeight="1">
      <c r="A926" s="5">
        <v>46281</v>
      </c>
      <c r="B926" s="7">
        <v>2268.5100000000002</v>
      </c>
      <c r="C926" s="7">
        <v>660601</v>
      </c>
      <c r="D926" s="7">
        <v>2168.75</v>
      </c>
      <c r="E926" s="7"/>
      <c r="F926" s="7">
        <v>2168.75</v>
      </c>
      <c r="G926" s="7">
        <v>2168.75</v>
      </c>
      <c r="H926" s="7">
        <v>0</v>
      </c>
      <c r="I926" s="7">
        <v>0</v>
      </c>
      <c r="J926" s="7"/>
      <c r="K926" s="1" t="s">
        <v>139</v>
      </c>
      <c r="L926" s="1" t="s">
        <v>1099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5"/>
  <sheetViews>
    <sheetView showGridLines="0" workbookViewId="0"/>
  </sheetViews>
  <sheetFormatPr defaultRowHeight="13.8"/>
  <cols>
    <col min="1" max="1" width="28" customWidth="1"/>
    <col min="2" max="8" width="17" customWidth="1"/>
  </cols>
  <sheetData>
    <row r="1" spans="1:8" ht="21" customHeight="1">
      <c r="A1" s="1"/>
      <c r="B1" s="1"/>
      <c r="C1" s="1"/>
      <c r="D1" s="1"/>
      <c r="E1" s="1"/>
      <c r="F1" s="1"/>
      <c r="G1" s="1"/>
      <c r="H1" s="1"/>
    </row>
    <row r="2" spans="1:8" ht="21" customHeight="1">
      <c r="A2" s="2" t="s">
        <v>1100</v>
      </c>
      <c r="B2" s="1"/>
      <c r="C2" s="1"/>
      <c r="D2" s="1"/>
      <c r="E2" s="1"/>
      <c r="F2" s="1"/>
      <c r="G2" s="1"/>
      <c r="H2" s="1"/>
    </row>
    <row r="3" spans="1:8" ht="21" customHeight="1">
      <c r="A3" s="3"/>
      <c r="B3" s="3"/>
      <c r="C3" s="3"/>
      <c r="D3" s="3"/>
      <c r="E3" s="3"/>
      <c r="F3" s="3"/>
      <c r="G3" s="3"/>
      <c r="H3" s="3"/>
    </row>
    <row r="4" spans="1:8" ht="21" customHeight="1">
      <c r="A4" s="1"/>
      <c r="B4" s="1"/>
      <c r="C4" s="1"/>
      <c r="D4" s="1"/>
      <c r="E4" s="1"/>
      <c r="F4" s="1"/>
      <c r="G4" s="1"/>
      <c r="H4" s="1"/>
    </row>
    <row r="5" spans="1:8" ht="21" customHeight="1">
      <c r="A5" s="1" t="s">
        <v>1101</v>
      </c>
      <c r="B5" s="10">
        <v>46311</v>
      </c>
      <c r="C5" s="1"/>
      <c r="D5" s="1" t="s">
        <v>1102</v>
      </c>
      <c r="E5" s="1"/>
      <c r="F5" s="1"/>
      <c r="G5" s="1"/>
      <c r="H5" s="1"/>
    </row>
    <row r="6" spans="1:8" ht="21" customHeight="1">
      <c r="A6" s="1" t="s">
        <v>1103</v>
      </c>
      <c r="B6" s="11">
        <v>0.3</v>
      </c>
      <c r="C6" s="1"/>
      <c r="D6" s="1" t="s">
        <v>1104</v>
      </c>
      <c r="E6" s="1"/>
      <c r="F6" s="1"/>
      <c r="G6" s="1"/>
      <c r="H6" s="1"/>
    </row>
    <row r="7" spans="1:8" ht="21" customHeight="1">
      <c r="A7" s="1" t="s">
        <v>1105</v>
      </c>
      <c r="B7" s="11">
        <v>0</v>
      </c>
      <c r="C7" s="1"/>
      <c r="D7" s="1" t="s">
        <v>1106</v>
      </c>
      <c r="E7" s="1"/>
      <c r="F7" s="1"/>
      <c r="G7" s="1"/>
      <c r="H7" s="1"/>
    </row>
    <row r="8" spans="1:8" ht="21" customHeight="1">
      <c r="A8" s="1" t="s">
        <v>1107</v>
      </c>
      <c r="B8" s="12">
        <v>100</v>
      </c>
      <c r="C8" s="1"/>
      <c r="D8" s="1" t="s">
        <v>1108</v>
      </c>
      <c r="E8" s="1"/>
      <c r="F8" s="1"/>
      <c r="G8" s="1"/>
      <c r="H8" s="1"/>
    </row>
    <row r="9" spans="1:8" ht="21" customHeight="1">
      <c r="A9" s="1" t="s">
        <v>1109</v>
      </c>
      <c r="B9" s="12">
        <v>365</v>
      </c>
      <c r="C9" s="1"/>
      <c r="D9" s="1" t="s">
        <v>1110</v>
      </c>
      <c r="E9" s="1"/>
      <c r="F9" s="1"/>
      <c r="G9" s="1"/>
      <c r="H9" s="1"/>
    </row>
    <row r="10" spans="1:8" ht="21" customHeight="1">
      <c r="A10" s="1" t="s">
        <v>1111</v>
      </c>
      <c r="B10" s="12">
        <v>252</v>
      </c>
      <c r="C10" s="1"/>
      <c r="D10" s="1" t="s">
        <v>1112</v>
      </c>
      <c r="E10" s="1"/>
      <c r="F10" s="1"/>
      <c r="G10" s="1"/>
      <c r="H10" s="1"/>
    </row>
    <row r="11" spans="1:8" ht="21" customHeight="1">
      <c r="A11" s="1" t="s">
        <v>1113</v>
      </c>
      <c r="B11" s="12" t="s">
        <v>1114</v>
      </c>
      <c r="C11" s="1"/>
      <c r="D11" s="1" t="s">
        <v>1115</v>
      </c>
      <c r="E11" s="1"/>
      <c r="F11" s="1"/>
      <c r="G11" s="1"/>
      <c r="H11" s="1"/>
    </row>
    <row r="12" spans="1:8" ht="21" customHeight="1">
      <c r="A12" s="1" t="s">
        <v>1116</v>
      </c>
      <c r="B12" s="12" t="s">
        <v>1117</v>
      </c>
      <c r="C12" s="1"/>
      <c r="D12" s="1" t="s">
        <v>1118</v>
      </c>
      <c r="E12" s="1"/>
      <c r="F12" s="1"/>
      <c r="G12" s="1"/>
      <c r="H12" s="1"/>
    </row>
    <row r="13" spans="1:8" ht="21" customHeight="1">
      <c r="A13" s="1" t="s">
        <v>1119</v>
      </c>
      <c r="B13" s="12" t="s">
        <v>1120</v>
      </c>
      <c r="C13" s="1"/>
      <c r="D13" s="1" t="s">
        <v>1121</v>
      </c>
      <c r="E13" s="1"/>
      <c r="F13" s="1"/>
      <c r="G13" s="1"/>
      <c r="H13" s="1"/>
    </row>
    <row r="14" spans="1:8" ht="21" customHeight="1">
      <c r="A14" s="1" t="s">
        <v>1122</v>
      </c>
      <c r="B14" s="12" t="s">
        <v>1123</v>
      </c>
      <c r="C14" s="1"/>
      <c r="D14" s="1" t="s">
        <v>1124</v>
      </c>
      <c r="E14" s="1"/>
      <c r="F14" s="1"/>
      <c r="G14" s="1"/>
      <c r="H14" s="1"/>
    </row>
    <row r="15" spans="1:8" ht="21" customHeight="1">
      <c r="A15" s="1" t="s">
        <v>1125</v>
      </c>
      <c r="B15" s="12" t="s">
        <v>1126</v>
      </c>
      <c r="C15" s="1"/>
      <c r="D15" s="1" t="s">
        <v>1127</v>
      </c>
      <c r="E15" s="1"/>
      <c r="F15" s="1"/>
      <c r="G15" s="1"/>
      <c r="H15" s="1"/>
    </row>
    <row r="16" spans="1:8" ht="21" customHeight="1">
      <c r="A16" s="1" t="s">
        <v>1128</v>
      </c>
      <c r="B16" s="12" t="s">
        <v>1129</v>
      </c>
      <c r="C16" s="1"/>
      <c r="D16" s="1" t="s">
        <v>1130</v>
      </c>
      <c r="E16" s="1"/>
      <c r="F16" s="1"/>
      <c r="G16" s="1"/>
      <c r="H16" s="1"/>
    </row>
    <row r="17" spans="1:8" ht="21" customHeight="1">
      <c r="A17" s="1" t="s">
        <v>1131</v>
      </c>
      <c r="B17" s="12" t="s">
        <v>1132</v>
      </c>
      <c r="C17" s="1"/>
      <c r="D17" s="1" t="s">
        <v>1133</v>
      </c>
      <c r="E17" s="1"/>
      <c r="F17" s="1"/>
      <c r="G17" s="1"/>
      <c r="H17" s="1"/>
    </row>
    <row r="18" spans="1:8" ht="21" customHeight="1">
      <c r="A18" s="1" t="s">
        <v>1134</v>
      </c>
      <c r="B18" s="12" t="s">
        <v>1135</v>
      </c>
      <c r="C18" s="1"/>
      <c r="D18" s="1" t="s">
        <v>1136</v>
      </c>
      <c r="E18" s="1"/>
      <c r="F18" s="1"/>
      <c r="G18" s="1"/>
      <c r="H18" s="1"/>
    </row>
    <row r="19" spans="1:8" ht="21" customHeight="1">
      <c r="A19" s="1" t="s">
        <v>1137</v>
      </c>
      <c r="B19" s="1" t="s">
        <v>1138</v>
      </c>
      <c r="C19" s="1"/>
      <c r="D19" s="1" t="s">
        <v>1139</v>
      </c>
      <c r="E19" s="1"/>
      <c r="F19" s="1"/>
      <c r="G19" s="1"/>
      <c r="H19" s="1"/>
    </row>
    <row r="20" spans="1:8" ht="21" customHeight="1">
      <c r="A20" s="1" t="s">
        <v>1140</v>
      </c>
      <c r="B20" s="1" t="s">
        <v>1141</v>
      </c>
      <c r="C20" s="1"/>
      <c r="D20" s="1" t="s">
        <v>1142</v>
      </c>
      <c r="E20" s="1"/>
      <c r="F20" s="1"/>
      <c r="G20" s="1"/>
      <c r="H20" s="1"/>
    </row>
    <row r="21" spans="1:8" ht="21" customHeight="1">
      <c r="A21" s="1" t="s">
        <v>1143</v>
      </c>
      <c r="B21" s="1" t="s">
        <v>1144</v>
      </c>
      <c r="C21" s="1"/>
      <c r="D21" s="1" t="s">
        <v>1145</v>
      </c>
      <c r="E21" s="1"/>
      <c r="F21" s="1"/>
      <c r="G21" s="1"/>
      <c r="H21" s="1"/>
    </row>
    <row r="22" spans="1:8" ht="21" customHeight="1">
      <c r="A22" s="1" t="s">
        <v>1146</v>
      </c>
      <c r="B22" s="1" t="s">
        <v>1147</v>
      </c>
      <c r="C22" s="1"/>
      <c r="D22" s="1" t="s">
        <v>1148</v>
      </c>
      <c r="E22" s="1"/>
      <c r="F22" s="1"/>
      <c r="G22" s="1"/>
      <c r="H22" s="1"/>
    </row>
    <row r="23" spans="1:8" ht="21" customHeight="1">
      <c r="A23" s="1" t="s">
        <v>1149</v>
      </c>
      <c r="B23" s="1" t="s">
        <v>1150</v>
      </c>
      <c r="C23" s="1"/>
      <c r="D23" s="1" t="s">
        <v>1151</v>
      </c>
      <c r="E23" s="1"/>
      <c r="F23" s="1"/>
      <c r="G23" s="1"/>
      <c r="H23" s="1"/>
    </row>
    <row r="24" spans="1:8" ht="21" customHeight="1">
      <c r="A24" s="1" t="s">
        <v>1152</v>
      </c>
      <c r="B24" s="1" t="s">
        <v>1153</v>
      </c>
      <c r="C24" s="1"/>
      <c r="D24" s="1" t="s">
        <v>1154</v>
      </c>
      <c r="E24" s="1"/>
      <c r="F24" s="1"/>
      <c r="G24" s="1"/>
      <c r="H24" s="1"/>
    </row>
    <row r="25" spans="1:8" ht="21" customHeight="1">
      <c r="A25" s="1" t="s">
        <v>1155</v>
      </c>
      <c r="B25" s="1" t="s">
        <v>1156</v>
      </c>
      <c r="C25" s="1"/>
      <c r="D25" s="1" t="s">
        <v>1157</v>
      </c>
      <c r="E25" s="1"/>
      <c r="F25" s="1"/>
      <c r="G25" s="1"/>
      <c r="H25" s="1"/>
    </row>
    <row r="26" spans="1:8" ht="21" customHeight="1">
      <c r="A26" s="1" t="s">
        <v>1158</v>
      </c>
      <c r="B26" s="1" t="s">
        <v>1159</v>
      </c>
      <c r="C26" s="1"/>
      <c r="D26" s="1" t="s">
        <v>1160</v>
      </c>
      <c r="E26" s="1"/>
      <c r="F26" s="1"/>
      <c r="G26" s="1"/>
      <c r="H26" s="1"/>
    </row>
    <row r="27" spans="1:8" ht="21" customHeight="1">
      <c r="A27" s="1" t="s">
        <v>1161</v>
      </c>
      <c r="B27" s="1" t="s">
        <v>1162</v>
      </c>
      <c r="C27" s="1"/>
      <c r="D27" s="1" t="s">
        <v>1163</v>
      </c>
      <c r="E27" s="1"/>
      <c r="F27" s="1"/>
      <c r="G27" s="1"/>
      <c r="H27" s="1"/>
    </row>
    <row r="28" spans="1:8" ht="21" customHeight="1">
      <c r="A28" s="1" t="s">
        <v>1164</v>
      </c>
      <c r="B28" s="1" t="s">
        <v>1165</v>
      </c>
      <c r="C28" s="1"/>
      <c r="D28" s="1" t="s">
        <v>1166</v>
      </c>
      <c r="E28" s="1"/>
      <c r="F28" s="1"/>
      <c r="G28" s="1"/>
      <c r="H28" s="1"/>
    </row>
    <row r="29" spans="1:8" ht="21" customHeight="1">
      <c r="A29" s="1" t="s">
        <v>1167</v>
      </c>
      <c r="B29" s="1"/>
      <c r="C29" s="1"/>
      <c r="D29" s="1" t="s">
        <v>1168</v>
      </c>
      <c r="E29" s="1"/>
      <c r="F29" s="1"/>
      <c r="G29" s="1"/>
      <c r="H29" s="1"/>
    </row>
    <row r="30" spans="1:8" ht="21" customHeight="1">
      <c r="A30" s="1" t="s">
        <v>1169</v>
      </c>
      <c r="B30" s="1"/>
      <c r="C30" s="1"/>
      <c r="D30" s="1" t="s">
        <v>1170</v>
      </c>
      <c r="E30" s="1"/>
      <c r="F30" s="1"/>
      <c r="G30" s="1"/>
      <c r="H30" s="1"/>
    </row>
    <row r="31" spans="1:8" ht="21" customHeight="1">
      <c r="A31" s="1" t="s">
        <v>1171</v>
      </c>
      <c r="B31" s="1"/>
      <c r="C31" s="1"/>
      <c r="D31" s="1" t="s">
        <v>1172</v>
      </c>
      <c r="E31" s="1"/>
      <c r="F31" s="1"/>
      <c r="G31" s="1"/>
      <c r="H31" s="1"/>
    </row>
    <row r="32" spans="1:8" ht="21" customHeight="1">
      <c r="A32" s="1"/>
      <c r="B32" s="1"/>
      <c r="C32" s="1"/>
      <c r="D32" s="1"/>
      <c r="E32" s="1"/>
      <c r="F32" s="1"/>
      <c r="G32" s="1"/>
      <c r="H32" s="1"/>
    </row>
    <row r="33" spans="1:8" ht="21" customHeight="1">
      <c r="A33" s="1"/>
      <c r="B33" s="1"/>
      <c r="C33" s="1"/>
      <c r="D33" s="1"/>
      <c r="E33" s="1"/>
      <c r="F33" s="1"/>
      <c r="G33" s="1"/>
      <c r="H33" s="1"/>
    </row>
    <row r="34" spans="1:8" ht="21" customHeight="1">
      <c r="A34" s="1"/>
      <c r="B34" s="1"/>
      <c r="C34" s="1"/>
      <c r="D34" s="1"/>
      <c r="E34" s="1"/>
      <c r="F34" s="1"/>
      <c r="G34" s="1"/>
      <c r="H34" s="1"/>
    </row>
    <row r="35" spans="1:8" ht="40.049999999999997" customHeight="1">
      <c r="A35" s="6" t="s">
        <v>22</v>
      </c>
      <c r="B35" s="6" t="s">
        <v>1173</v>
      </c>
      <c r="C35" s="6" t="s">
        <v>1174</v>
      </c>
      <c r="D35" s="6" t="s">
        <v>83</v>
      </c>
      <c r="E35" s="6" t="s">
        <v>82</v>
      </c>
      <c r="F35" s="6" t="s">
        <v>81</v>
      </c>
      <c r="G35" s="1"/>
      <c r="H35" s="1"/>
    </row>
    <row r="36" spans="1:8" ht="21" customHeight="1">
      <c r="A36" s="8">
        <v>46174</v>
      </c>
      <c r="B36" s="7">
        <v>7640</v>
      </c>
      <c r="C36" s="7">
        <v>7490</v>
      </c>
      <c r="D36" s="7">
        <v>7725</v>
      </c>
      <c r="E36" s="7">
        <v>7405</v>
      </c>
      <c r="F36" s="7">
        <v>28360044544</v>
      </c>
      <c r="G36" s="1"/>
      <c r="H36" s="1"/>
    </row>
    <row r="37" spans="1:8" ht="21" customHeight="1">
      <c r="A37" s="8">
        <v>46175</v>
      </c>
      <c r="B37" s="7">
        <v>7585</v>
      </c>
      <c r="C37" s="7">
        <v>7645</v>
      </c>
      <c r="D37" s="7">
        <v>7645</v>
      </c>
      <c r="E37" s="7">
        <v>7425</v>
      </c>
      <c r="F37" s="7">
        <v>22263787520</v>
      </c>
      <c r="G37" s="1"/>
      <c r="H37" s="1"/>
    </row>
    <row r="38" spans="1:8" ht="21" customHeight="1">
      <c r="A38" s="8">
        <v>46176</v>
      </c>
      <c r="B38" s="7">
        <v>7350</v>
      </c>
      <c r="C38" s="7">
        <v>7520</v>
      </c>
      <c r="D38" s="7">
        <v>7575</v>
      </c>
      <c r="E38" s="7">
        <v>7310</v>
      </c>
      <c r="F38" s="7">
        <v>17648420864</v>
      </c>
      <c r="G38" s="1"/>
      <c r="H38" s="1"/>
    </row>
    <row r="39" spans="1:8" ht="21" customHeight="1">
      <c r="A39" s="8">
        <v>46177</v>
      </c>
      <c r="B39" s="7">
        <v>7340</v>
      </c>
      <c r="C39" s="7">
        <v>7350</v>
      </c>
      <c r="D39" s="7">
        <v>7485</v>
      </c>
      <c r="E39" s="7">
        <v>7265</v>
      </c>
      <c r="F39" s="7">
        <v>18536675328</v>
      </c>
      <c r="G39" s="1"/>
      <c r="H39" s="1"/>
    </row>
    <row r="40" spans="1:8" ht="21" customHeight="1">
      <c r="A40" s="8">
        <v>46178</v>
      </c>
      <c r="B40" s="7">
        <v>7205</v>
      </c>
      <c r="C40" s="7">
        <v>7340</v>
      </c>
      <c r="D40" s="7">
        <v>7400</v>
      </c>
      <c r="E40" s="7">
        <v>7135</v>
      </c>
      <c r="F40" s="7">
        <v>23260377088</v>
      </c>
      <c r="G40" s="1"/>
      <c r="H40" s="1"/>
    </row>
    <row r="41" spans="1:8" ht="21" customHeight="1">
      <c r="A41" s="8">
        <v>46181</v>
      </c>
      <c r="B41" s="7">
        <v>7340</v>
      </c>
      <c r="C41" s="7">
        <v>7300</v>
      </c>
      <c r="D41" s="7">
        <v>7460</v>
      </c>
      <c r="E41" s="7">
        <v>7150</v>
      </c>
      <c r="F41" s="7">
        <v>27055659008</v>
      </c>
      <c r="G41" s="1"/>
      <c r="H41" s="1"/>
    </row>
    <row r="42" spans="1:8" ht="21" customHeight="1">
      <c r="A42" s="8">
        <v>46182</v>
      </c>
      <c r="B42" s="7">
        <v>7545</v>
      </c>
      <c r="C42" s="7">
        <v>7350</v>
      </c>
      <c r="D42" s="7">
        <v>7650</v>
      </c>
      <c r="E42" s="7">
        <v>7310</v>
      </c>
      <c r="F42" s="7">
        <v>41855709184</v>
      </c>
      <c r="G42" s="1"/>
      <c r="H42" s="1"/>
    </row>
    <row r="43" spans="1:8" ht="21" customHeight="1">
      <c r="A43" s="8">
        <v>46183</v>
      </c>
      <c r="B43" s="7">
        <v>7485</v>
      </c>
      <c r="C43" s="7">
        <v>7540</v>
      </c>
      <c r="D43" s="7">
        <v>7635</v>
      </c>
      <c r="E43" s="7">
        <v>7435</v>
      </c>
      <c r="F43" s="7">
        <v>28395188224</v>
      </c>
      <c r="G43" s="1"/>
      <c r="H43" s="1"/>
    </row>
    <row r="44" spans="1:8" ht="21" customHeight="1">
      <c r="A44" s="8">
        <v>46184</v>
      </c>
      <c r="B44" s="7">
        <v>8270</v>
      </c>
      <c r="C44" s="7">
        <v>7680</v>
      </c>
      <c r="D44" s="7">
        <v>8320</v>
      </c>
      <c r="E44" s="7">
        <v>7680</v>
      </c>
      <c r="F44" s="7">
        <v>89861103616</v>
      </c>
      <c r="G44" s="1"/>
      <c r="H44" s="1"/>
    </row>
    <row r="45" spans="1:8" ht="21" customHeight="1">
      <c r="A45" s="8">
        <v>46185</v>
      </c>
      <c r="B45" s="7">
        <v>8210</v>
      </c>
      <c r="C45" s="7">
        <v>8300</v>
      </c>
      <c r="D45" s="7">
        <v>8450</v>
      </c>
      <c r="E45" s="7">
        <v>8170</v>
      </c>
      <c r="F45" s="7">
        <v>46344859648</v>
      </c>
      <c r="G45" s="1"/>
      <c r="H45" s="1"/>
    </row>
    <row r="46" spans="1:8" ht="21" customHeight="1">
      <c r="A46" s="8">
        <v>46189</v>
      </c>
      <c r="B46" s="7">
        <v>8160</v>
      </c>
      <c r="C46" s="7">
        <v>8230</v>
      </c>
      <c r="D46" s="7">
        <v>8400</v>
      </c>
      <c r="E46" s="7">
        <v>8105</v>
      </c>
      <c r="F46" s="7">
        <v>28046338048</v>
      </c>
      <c r="G46" s="1"/>
      <c r="H46" s="1"/>
    </row>
    <row r="47" spans="1:8" ht="21" customHeight="1">
      <c r="A47" s="8">
        <v>46190</v>
      </c>
      <c r="B47" s="7">
        <v>8365</v>
      </c>
      <c r="C47" s="7">
        <v>8160</v>
      </c>
      <c r="D47" s="7">
        <v>8715</v>
      </c>
      <c r="E47" s="7">
        <v>8140</v>
      </c>
      <c r="F47" s="7">
        <v>42074746880</v>
      </c>
      <c r="G47" s="1"/>
      <c r="H47" s="1"/>
    </row>
    <row r="48" spans="1:8" ht="21" customHeight="1">
      <c r="A48" s="8">
        <v>46191</v>
      </c>
      <c r="B48" s="7">
        <v>8500</v>
      </c>
      <c r="C48" s="7">
        <v>8570</v>
      </c>
      <c r="D48" s="7">
        <v>8725</v>
      </c>
      <c r="E48" s="7">
        <v>8430</v>
      </c>
      <c r="F48" s="7">
        <v>29427111936</v>
      </c>
      <c r="G48" s="1"/>
      <c r="H48" s="1"/>
    </row>
    <row r="49" spans="1:8" ht="21" customHeight="1">
      <c r="A49" s="8">
        <v>46192</v>
      </c>
      <c r="B49" s="7">
        <v>8260</v>
      </c>
      <c r="C49" s="7">
        <v>8480</v>
      </c>
      <c r="D49" s="7">
        <v>8480</v>
      </c>
      <c r="E49" s="7">
        <v>8150</v>
      </c>
      <c r="F49" s="7">
        <v>18375294976</v>
      </c>
      <c r="G49" s="1"/>
      <c r="H49" s="1"/>
    </row>
    <row r="50" spans="1:8" ht="21" customHeight="1">
      <c r="A50" s="8">
        <v>46195</v>
      </c>
      <c r="B50" s="7">
        <v>8165</v>
      </c>
      <c r="C50" s="7">
        <v>8395</v>
      </c>
      <c r="D50" s="7">
        <v>8515</v>
      </c>
      <c r="E50" s="7">
        <v>8050</v>
      </c>
      <c r="F50" s="7">
        <v>13427326976</v>
      </c>
      <c r="G50" s="1"/>
      <c r="H50" s="1"/>
    </row>
    <row r="51" spans="1:8" ht="21" customHeight="1">
      <c r="A51" s="8">
        <v>46196</v>
      </c>
      <c r="B51" s="7">
        <v>7960</v>
      </c>
      <c r="C51" s="7">
        <v>8040</v>
      </c>
      <c r="D51" s="7">
        <v>8040</v>
      </c>
      <c r="E51" s="7">
        <v>7900</v>
      </c>
      <c r="F51" s="7">
        <v>13731221504</v>
      </c>
      <c r="G51" s="1"/>
      <c r="H51" s="1"/>
    </row>
    <row r="52" spans="1:8" ht="21" customHeight="1">
      <c r="A52" s="8">
        <v>46197</v>
      </c>
      <c r="B52" s="7">
        <v>7625</v>
      </c>
      <c r="C52" s="7">
        <v>7860</v>
      </c>
      <c r="D52" s="7">
        <v>7950</v>
      </c>
      <c r="E52" s="7">
        <v>7575</v>
      </c>
      <c r="F52" s="7">
        <v>20190779392</v>
      </c>
      <c r="G52" s="1"/>
      <c r="H52" s="1"/>
    </row>
    <row r="53" spans="1:8" ht="21" customHeight="1">
      <c r="A53" s="8">
        <v>46198</v>
      </c>
      <c r="B53" s="7">
        <v>7605</v>
      </c>
      <c r="C53" s="7">
        <v>7690</v>
      </c>
      <c r="D53" s="7">
        <v>7760</v>
      </c>
      <c r="E53" s="7">
        <v>7550</v>
      </c>
      <c r="F53" s="7">
        <v>6982208000</v>
      </c>
      <c r="G53" s="1"/>
      <c r="H53" s="1"/>
    </row>
    <row r="54" spans="1:8" ht="21" customHeight="1">
      <c r="A54" s="8">
        <v>46199</v>
      </c>
      <c r="B54" s="7">
        <v>7715</v>
      </c>
      <c r="C54" s="7">
        <v>7650</v>
      </c>
      <c r="D54" s="7">
        <v>7840</v>
      </c>
      <c r="E54" s="7">
        <v>7600</v>
      </c>
      <c r="F54" s="7">
        <v>13295663104</v>
      </c>
      <c r="G54" s="1"/>
      <c r="H54" s="1"/>
    </row>
    <row r="55" spans="1:8" ht="21" customHeight="1">
      <c r="A55" s="8">
        <v>46202</v>
      </c>
      <c r="B55" s="7">
        <v>7885</v>
      </c>
      <c r="C55" s="7">
        <v>7800</v>
      </c>
      <c r="D55" s="7">
        <v>8065</v>
      </c>
      <c r="E55" s="7">
        <v>7770</v>
      </c>
      <c r="F55" s="7">
        <v>16052533248</v>
      </c>
      <c r="G55" s="1"/>
      <c r="H55" s="1"/>
    </row>
    <row r="56" spans="1:8" ht="21" customHeight="1">
      <c r="A56" s="8">
        <v>46203</v>
      </c>
      <c r="B56" s="7">
        <v>7790</v>
      </c>
      <c r="C56" s="7">
        <v>8035</v>
      </c>
      <c r="D56" s="7">
        <v>8055</v>
      </c>
      <c r="E56" s="7">
        <v>7730</v>
      </c>
      <c r="F56" s="7">
        <v>22779033600</v>
      </c>
      <c r="G56" s="1"/>
      <c r="H56" s="1"/>
    </row>
    <row r="57" spans="1:8" ht="21" customHeight="1">
      <c r="A57" s="8">
        <v>46204</v>
      </c>
      <c r="B57" s="7">
        <v>7685</v>
      </c>
      <c r="C57" s="7">
        <v>7810</v>
      </c>
      <c r="D57" s="7">
        <v>7900</v>
      </c>
      <c r="E57" s="7">
        <v>7510</v>
      </c>
      <c r="F57" s="7">
        <v>17359714304</v>
      </c>
      <c r="G57" s="1"/>
      <c r="H57" s="1"/>
    </row>
    <row r="58" spans="1:8" ht="21" customHeight="1">
      <c r="A58" s="8">
        <v>46205</v>
      </c>
      <c r="B58" s="7">
        <v>7910</v>
      </c>
      <c r="C58" s="7">
        <v>7710</v>
      </c>
      <c r="D58" s="7">
        <v>7950</v>
      </c>
      <c r="E58" s="7">
        <v>7710</v>
      </c>
      <c r="F58" s="7">
        <v>15021685760</v>
      </c>
      <c r="G58" s="1"/>
      <c r="H58" s="1"/>
    </row>
    <row r="59" spans="1:8" ht="21" customHeight="1">
      <c r="A59" s="8">
        <v>46206</v>
      </c>
      <c r="B59" s="7">
        <v>7970</v>
      </c>
      <c r="C59" s="7">
        <v>7950</v>
      </c>
      <c r="D59" s="7">
        <v>7995</v>
      </c>
      <c r="E59" s="7">
        <v>7890</v>
      </c>
      <c r="F59" s="7">
        <v>1895501568</v>
      </c>
      <c r="G59" s="1"/>
      <c r="H59" s="1"/>
    </row>
    <row r="60" spans="1:8" ht="21" customHeight="1">
      <c r="A60" s="8">
        <v>46209</v>
      </c>
      <c r="B60" s="7">
        <v>8320</v>
      </c>
      <c r="C60" s="7">
        <v>8000</v>
      </c>
      <c r="D60" s="7">
        <v>8375</v>
      </c>
      <c r="E60" s="7">
        <v>7960</v>
      </c>
      <c r="F60" s="7">
        <v>21321086976</v>
      </c>
      <c r="G60" s="1"/>
      <c r="H60" s="1"/>
    </row>
    <row r="61" spans="1:8" ht="21" customHeight="1">
      <c r="A61" s="8">
        <v>46210</v>
      </c>
      <c r="B61" s="7">
        <v>8045</v>
      </c>
      <c r="C61" s="7">
        <v>8320</v>
      </c>
      <c r="D61" s="7">
        <v>8390</v>
      </c>
      <c r="E61" s="7">
        <v>8010</v>
      </c>
      <c r="F61" s="7">
        <v>13244759040</v>
      </c>
      <c r="G61" s="1"/>
      <c r="H61" s="1"/>
    </row>
    <row r="62" spans="1:8" ht="21" customHeight="1">
      <c r="A62" s="8">
        <v>46211</v>
      </c>
      <c r="B62" s="7">
        <v>7880</v>
      </c>
      <c r="C62" s="7">
        <v>7940</v>
      </c>
      <c r="D62" s="7">
        <v>8095</v>
      </c>
      <c r="E62" s="7">
        <v>7805</v>
      </c>
      <c r="F62" s="7">
        <v>17314961408</v>
      </c>
      <c r="G62" s="1"/>
      <c r="H62" s="1"/>
    </row>
    <row r="63" spans="1:8" ht="21" customHeight="1">
      <c r="A63" s="8">
        <v>46213</v>
      </c>
      <c r="B63" s="7">
        <v>8335</v>
      </c>
      <c r="C63" s="7">
        <v>7950</v>
      </c>
      <c r="D63" s="7">
        <v>8375</v>
      </c>
      <c r="E63" s="7">
        <v>7770</v>
      </c>
      <c r="F63" s="7">
        <v>15859684352</v>
      </c>
      <c r="G63" s="1"/>
      <c r="H63" s="1"/>
    </row>
    <row r="64" spans="1:8" ht="21" customHeight="1">
      <c r="A64" s="8">
        <v>46216</v>
      </c>
      <c r="B64" s="7">
        <v>8080</v>
      </c>
      <c r="C64" s="7">
        <v>8385</v>
      </c>
      <c r="D64" s="7">
        <v>8385</v>
      </c>
      <c r="E64" s="7">
        <v>8060</v>
      </c>
      <c r="F64" s="7">
        <v>15407140864</v>
      </c>
      <c r="G64" s="1"/>
      <c r="H64" s="1"/>
    </row>
    <row r="65" spans="1:8" ht="21" customHeight="1">
      <c r="A65" s="8">
        <v>46217</v>
      </c>
      <c r="B65" s="7">
        <v>7910</v>
      </c>
      <c r="C65" s="7">
        <v>8100</v>
      </c>
      <c r="D65" s="7">
        <v>8270</v>
      </c>
      <c r="E65" s="7">
        <v>7895</v>
      </c>
      <c r="F65" s="7">
        <v>16802713600</v>
      </c>
      <c r="G65" s="1"/>
      <c r="H65" s="1"/>
    </row>
    <row r="66" spans="1:8" ht="21" customHeight="1">
      <c r="A66" s="8">
        <v>46218</v>
      </c>
      <c r="B66" s="7">
        <v>8205</v>
      </c>
      <c r="C66" s="7">
        <v>7980</v>
      </c>
      <c r="D66" s="7">
        <v>8275</v>
      </c>
      <c r="E66" s="7">
        <v>7880</v>
      </c>
      <c r="F66" s="7">
        <v>11666479104</v>
      </c>
      <c r="G66" s="1"/>
      <c r="H66" s="1"/>
    </row>
    <row r="67" spans="1:8" ht="21" customHeight="1">
      <c r="A67" s="8">
        <v>46219</v>
      </c>
      <c r="B67" s="7">
        <v>7865</v>
      </c>
      <c r="C67" s="7">
        <v>8250</v>
      </c>
      <c r="D67" s="7">
        <v>8250</v>
      </c>
      <c r="E67" s="7">
        <v>7805</v>
      </c>
      <c r="F67" s="7">
        <v>17886533632</v>
      </c>
      <c r="G67" s="1"/>
      <c r="H67" s="1"/>
    </row>
    <row r="68" spans="1:8" ht="21" customHeight="1">
      <c r="A68" s="8">
        <v>46220</v>
      </c>
      <c r="B68" s="7">
        <v>7860</v>
      </c>
      <c r="C68" s="7">
        <v>7870</v>
      </c>
      <c r="D68" s="7">
        <v>7875</v>
      </c>
      <c r="E68" s="7">
        <v>7630</v>
      </c>
      <c r="F68" s="7">
        <v>15873362944</v>
      </c>
      <c r="G68" s="1"/>
      <c r="H68" s="1"/>
    </row>
    <row r="69" spans="1:8" ht="21" customHeight="1">
      <c r="A69" s="8">
        <v>46223</v>
      </c>
      <c r="B69" s="7">
        <v>7845</v>
      </c>
      <c r="C69" s="7">
        <v>7870</v>
      </c>
      <c r="D69" s="7">
        <v>7955</v>
      </c>
      <c r="E69" s="7">
        <v>7720</v>
      </c>
      <c r="F69" s="7">
        <v>11068800000</v>
      </c>
      <c r="G69" s="1"/>
      <c r="H69" s="1"/>
    </row>
    <row r="70" spans="1:8" ht="21" customHeight="1">
      <c r="A70" s="8">
        <v>46224</v>
      </c>
      <c r="B70" s="7">
        <v>7965</v>
      </c>
      <c r="C70" s="7">
        <v>7930</v>
      </c>
      <c r="D70" s="7">
        <v>8085</v>
      </c>
      <c r="E70" s="7">
        <v>7870</v>
      </c>
      <c r="F70" s="7">
        <v>10532041728</v>
      </c>
      <c r="G70" s="1"/>
      <c r="H70" s="1"/>
    </row>
    <row r="71" spans="1:8" ht="21" customHeight="1">
      <c r="A71" s="8">
        <v>46225</v>
      </c>
      <c r="B71" s="7">
        <v>8275</v>
      </c>
      <c r="C71" s="7">
        <v>8025</v>
      </c>
      <c r="D71" s="7">
        <v>8315</v>
      </c>
      <c r="E71" s="7">
        <v>8025</v>
      </c>
      <c r="F71" s="7">
        <v>29296150528</v>
      </c>
      <c r="G71" s="1"/>
      <c r="H71" s="1"/>
    </row>
    <row r="72" spans="1:8" ht="21" customHeight="1">
      <c r="A72" s="8">
        <v>46226</v>
      </c>
      <c r="B72" s="7">
        <v>7945</v>
      </c>
      <c r="C72" s="7">
        <v>8250</v>
      </c>
      <c r="D72" s="7">
        <v>8280</v>
      </c>
      <c r="E72" s="7">
        <v>7930</v>
      </c>
      <c r="F72" s="7">
        <v>16096606208</v>
      </c>
      <c r="G72" s="1"/>
      <c r="H72" s="1"/>
    </row>
    <row r="73" spans="1:8" ht="21" customHeight="1">
      <c r="A73" s="8">
        <v>46227</v>
      </c>
      <c r="B73" s="7">
        <v>7890</v>
      </c>
      <c r="C73" s="7">
        <v>7940</v>
      </c>
      <c r="D73" s="7">
        <v>8215</v>
      </c>
      <c r="E73" s="7">
        <v>7795</v>
      </c>
      <c r="F73" s="7">
        <v>23109275648</v>
      </c>
      <c r="G73" s="1"/>
      <c r="H73" s="1"/>
    </row>
    <row r="74" spans="1:8" ht="21" customHeight="1">
      <c r="A74" s="8">
        <v>46230</v>
      </c>
      <c r="B74" s="7">
        <v>7960</v>
      </c>
      <c r="C74" s="7">
        <v>7930</v>
      </c>
      <c r="D74" s="7">
        <v>8050</v>
      </c>
      <c r="E74" s="7">
        <v>7905</v>
      </c>
      <c r="F74" s="7">
        <v>7465235968</v>
      </c>
      <c r="G74" s="1"/>
      <c r="H74" s="1"/>
    </row>
    <row r="75" spans="1:8" ht="21" customHeight="1">
      <c r="A75" s="8">
        <v>46231</v>
      </c>
      <c r="B75" s="7">
        <v>7855</v>
      </c>
      <c r="C75" s="7">
        <v>7940</v>
      </c>
      <c r="D75" s="7">
        <v>7940</v>
      </c>
      <c r="E75" s="7">
        <v>7690</v>
      </c>
      <c r="F75" s="7">
        <v>20881920000</v>
      </c>
      <c r="G75" s="1"/>
      <c r="H75" s="1"/>
    </row>
    <row r="76" spans="1:8" ht="21" customHeight="1">
      <c r="A76" s="8">
        <v>46232</v>
      </c>
      <c r="B76" s="7">
        <v>7795</v>
      </c>
      <c r="C76" s="7">
        <v>7810</v>
      </c>
      <c r="D76" s="7">
        <v>7980</v>
      </c>
      <c r="E76" s="7">
        <v>7680</v>
      </c>
      <c r="F76" s="7">
        <v>13825177600</v>
      </c>
      <c r="G76" s="1"/>
      <c r="H76" s="1"/>
    </row>
    <row r="77" spans="1:8" ht="21" customHeight="1">
      <c r="A77" s="8">
        <v>46233</v>
      </c>
      <c r="B77" s="7">
        <v>8015</v>
      </c>
      <c r="C77" s="7">
        <v>7790</v>
      </c>
      <c r="D77" s="7">
        <v>8040</v>
      </c>
      <c r="E77" s="7">
        <v>7710</v>
      </c>
      <c r="F77" s="7">
        <v>16636412928</v>
      </c>
      <c r="G77" s="1"/>
      <c r="H77" s="1"/>
    </row>
    <row r="78" spans="1:8" ht="21" customHeight="1">
      <c r="A78" s="8">
        <v>46234</v>
      </c>
      <c r="B78" s="7">
        <v>7890</v>
      </c>
      <c r="C78" s="7">
        <v>8050</v>
      </c>
      <c r="D78" s="7">
        <v>8195</v>
      </c>
      <c r="E78" s="7">
        <v>7825</v>
      </c>
      <c r="F78" s="7">
        <v>17074728960</v>
      </c>
      <c r="G78" s="1"/>
      <c r="H78" s="1"/>
    </row>
    <row r="79" spans="1:8" ht="21" customHeight="1">
      <c r="A79" s="8">
        <v>46237</v>
      </c>
      <c r="B79" s="7">
        <v>7970</v>
      </c>
      <c r="C79" s="7">
        <v>7890</v>
      </c>
      <c r="D79" s="7">
        <v>8050</v>
      </c>
      <c r="E79" s="7">
        <v>7850</v>
      </c>
      <c r="F79" s="7">
        <v>10335778816</v>
      </c>
      <c r="G79" s="1"/>
      <c r="H79" s="1"/>
    </row>
    <row r="80" spans="1:8" ht="21" customHeight="1">
      <c r="A80" s="8">
        <v>46238</v>
      </c>
      <c r="B80" s="7">
        <v>7740</v>
      </c>
      <c r="C80" s="7">
        <v>7970</v>
      </c>
      <c r="D80" s="7">
        <v>8055</v>
      </c>
      <c r="E80" s="7">
        <v>7710</v>
      </c>
      <c r="F80" s="7">
        <v>25763831808</v>
      </c>
      <c r="G80" s="1"/>
      <c r="H80" s="1"/>
    </row>
    <row r="81" spans="1:8" ht="21" customHeight="1">
      <c r="A81" s="8">
        <v>46239</v>
      </c>
      <c r="B81" s="7">
        <v>7640</v>
      </c>
      <c r="C81" s="7">
        <v>7770</v>
      </c>
      <c r="D81" s="7">
        <v>7840</v>
      </c>
      <c r="E81" s="7">
        <v>7595</v>
      </c>
      <c r="F81" s="7">
        <v>13705123840</v>
      </c>
      <c r="G81" s="1"/>
      <c r="H81" s="1"/>
    </row>
    <row r="82" spans="1:8" ht="21" customHeight="1">
      <c r="A82" s="8">
        <v>46240</v>
      </c>
      <c r="B82" s="7">
        <v>7375</v>
      </c>
      <c r="C82" s="7">
        <v>7640</v>
      </c>
      <c r="D82" s="7">
        <v>7670</v>
      </c>
      <c r="E82" s="7">
        <v>7355</v>
      </c>
      <c r="F82" s="7">
        <v>13564500992</v>
      </c>
      <c r="G82" s="1"/>
      <c r="H82" s="1"/>
    </row>
    <row r="83" spans="1:8" ht="21" customHeight="1">
      <c r="A83" s="8">
        <v>46241</v>
      </c>
      <c r="B83" s="7">
        <v>7315</v>
      </c>
      <c r="C83" s="7">
        <v>7380</v>
      </c>
      <c r="D83" s="7">
        <v>7540</v>
      </c>
      <c r="E83" s="7">
        <v>7215</v>
      </c>
      <c r="F83" s="7">
        <v>14393594880</v>
      </c>
      <c r="G83" s="1"/>
      <c r="H83" s="1"/>
    </row>
    <row r="84" spans="1:8" ht="21" customHeight="1">
      <c r="A84" s="8">
        <v>46244</v>
      </c>
      <c r="B84" s="7">
        <v>7360</v>
      </c>
      <c r="C84" s="7">
        <v>7320</v>
      </c>
      <c r="D84" s="7">
        <v>7385</v>
      </c>
      <c r="E84" s="7">
        <v>7220</v>
      </c>
      <c r="F84" s="7">
        <v>10491222016</v>
      </c>
      <c r="G84" s="1"/>
      <c r="H84" s="1"/>
    </row>
    <row r="85" spans="1:8" ht="21" customHeight="1">
      <c r="A85" s="8">
        <v>46245</v>
      </c>
      <c r="B85" s="7">
        <v>7035</v>
      </c>
      <c r="C85" s="7">
        <v>7390</v>
      </c>
      <c r="D85" s="7">
        <v>7520</v>
      </c>
      <c r="E85" s="7">
        <v>6955</v>
      </c>
      <c r="F85" s="7">
        <v>30202550272</v>
      </c>
      <c r="G85" s="1"/>
      <c r="H85" s="1"/>
    </row>
    <row r="86" spans="1:8" ht="21" customHeight="1">
      <c r="A86" s="8">
        <v>46246</v>
      </c>
      <c r="B86" s="7">
        <v>7020</v>
      </c>
      <c r="C86" s="7">
        <v>7065</v>
      </c>
      <c r="D86" s="7">
        <v>7115</v>
      </c>
      <c r="E86" s="7">
        <v>6920</v>
      </c>
      <c r="F86" s="7">
        <v>21305856000</v>
      </c>
      <c r="G86" s="1"/>
      <c r="H86" s="1"/>
    </row>
    <row r="87" spans="1:8" ht="21" customHeight="1">
      <c r="A87" s="8">
        <v>46247</v>
      </c>
      <c r="B87" s="7">
        <v>7095</v>
      </c>
      <c r="C87" s="7">
        <v>7055</v>
      </c>
      <c r="D87" s="7">
        <v>7200</v>
      </c>
      <c r="E87" s="7">
        <v>6935</v>
      </c>
      <c r="F87" s="7">
        <v>17628995584</v>
      </c>
      <c r="G87" s="1"/>
      <c r="H87" s="1"/>
    </row>
    <row r="88" spans="1:8" ht="21" customHeight="1">
      <c r="A88" s="8">
        <v>46248</v>
      </c>
      <c r="B88" s="7">
        <v>6850</v>
      </c>
      <c r="C88" s="7">
        <v>7150</v>
      </c>
      <c r="D88" s="7">
        <v>7170</v>
      </c>
      <c r="E88" s="7">
        <v>6835</v>
      </c>
      <c r="F88" s="7">
        <v>12133601280</v>
      </c>
      <c r="G88" s="1"/>
      <c r="H88" s="1"/>
    </row>
    <row r="89" spans="1:8" ht="21" customHeight="1">
      <c r="A89" s="8">
        <v>46252</v>
      </c>
      <c r="B89" s="7">
        <v>6650</v>
      </c>
      <c r="C89" s="7">
        <v>6850</v>
      </c>
      <c r="D89" s="7">
        <v>6960</v>
      </c>
      <c r="E89" s="7">
        <v>6605</v>
      </c>
      <c r="F89" s="7">
        <v>14919097344</v>
      </c>
      <c r="G89" s="1"/>
      <c r="H89" s="1"/>
    </row>
    <row r="90" spans="1:8" ht="21" customHeight="1">
      <c r="A90" s="8">
        <v>46253</v>
      </c>
      <c r="B90" s="7">
        <v>6550</v>
      </c>
      <c r="C90" s="7">
        <v>6650</v>
      </c>
      <c r="D90" s="7">
        <v>6760</v>
      </c>
      <c r="E90" s="7">
        <v>6455</v>
      </c>
      <c r="F90" s="7">
        <v>17968824320</v>
      </c>
      <c r="G90" s="1"/>
      <c r="H90" s="1"/>
    </row>
    <row r="91" spans="1:8" ht="21" customHeight="1">
      <c r="A91" s="8">
        <v>46254</v>
      </c>
      <c r="B91" s="7">
        <v>6515</v>
      </c>
      <c r="C91" s="7">
        <v>6555</v>
      </c>
      <c r="D91" s="7">
        <v>6695</v>
      </c>
      <c r="E91" s="7">
        <v>6450</v>
      </c>
      <c r="F91" s="7">
        <v>20530089984</v>
      </c>
      <c r="G91" s="1"/>
      <c r="H91" s="1"/>
    </row>
    <row r="92" spans="1:8" ht="21" customHeight="1">
      <c r="A92" s="8">
        <v>46255</v>
      </c>
      <c r="B92" s="7">
        <v>6620</v>
      </c>
      <c r="C92" s="7">
        <v>6530</v>
      </c>
      <c r="D92" s="7">
        <v>6745</v>
      </c>
      <c r="E92" s="7">
        <v>6530</v>
      </c>
      <c r="F92" s="7">
        <v>37403992064</v>
      </c>
      <c r="G92" s="1"/>
      <c r="H92" s="1"/>
    </row>
    <row r="93" spans="1:8" ht="21" customHeight="1">
      <c r="A93" s="8">
        <v>46258</v>
      </c>
      <c r="B93" s="7">
        <v>6950</v>
      </c>
      <c r="C93" s="7">
        <v>6620</v>
      </c>
      <c r="D93" s="7">
        <v>7040</v>
      </c>
      <c r="E93" s="7">
        <v>6560</v>
      </c>
      <c r="F93" s="7">
        <v>27147565056</v>
      </c>
      <c r="G93" s="1"/>
      <c r="H93" s="1"/>
    </row>
    <row r="94" spans="1:8" ht="21" customHeight="1">
      <c r="A94" s="8">
        <v>46259</v>
      </c>
      <c r="B94" s="7">
        <v>7075</v>
      </c>
      <c r="C94" s="7">
        <v>6965</v>
      </c>
      <c r="D94" s="7">
        <v>7095</v>
      </c>
      <c r="E94" s="7">
        <v>6835</v>
      </c>
      <c r="F94" s="7">
        <v>18223050752</v>
      </c>
      <c r="G94" s="1"/>
      <c r="H94" s="1"/>
    </row>
    <row r="95" spans="1:8" ht="21" customHeight="1">
      <c r="A95" s="8">
        <v>46260</v>
      </c>
      <c r="B95" s="7">
        <v>7045</v>
      </c>
      <c r="C95" s="7">
        <v>7070</v>
      </c>
      <c r="D95" s="7">
        <v>7230</v>
      </c>
      <c r="E95" s="7">
        <v>6975</v>
      </c>
      <c r="F95" s="7">
        <v>13321033728</v>
      </c>
      <c r="G95" s="1"/>
      <c r="H95" s="1"/>
    </row>
    <row r="96" spans="1:8" ht="21" customHeight="1">
      <c r="A96" s="8">
        <v>46261</v>
      </c>
      <c r="B96" s="7">
        <v>6880</v>
      </c>
      <c r="C96" s="7">
        <v>7070</v>
      </c>
      <c r="D96" s="7">
        <v>7120</v>
      </c>
      <c r="E96" s="7">
        <v>6840</v>
      </c>
      <c r="F96" s="7">
        <v>9751334912</v>
      </c>
      <c r="G96" s="1"/>
      <c r="H96" s="1"/>
    </row>
    <row r="97" spans="1:8" ht="21" customHeight="1">
      <c r="A97" s="8">
        <v>46262</v>
      </c>
      <c r="B97" s="7">
        <v>6810</v>
      </c>
      <c r="C97" s="7">
        <v>6880</v>
      </c>
      <c r="D97" s="7">
        <v>6930</v>
      </c>
      <c r="E97" s="7">
        <v>6710</v>
      </c>
      <c r="F97" s="7">
        <v>9589026816</v>
      </c>
      <c r="G97" s="1"/>
      <c r="H97" s="1"/>
    </row>
    <row r="98" spans="1:8" ht="21" customHeight="1">
      <c r="A98" s="8">
        <v>46265</v>
      </c>
      <c r="B98" s="7">
        <v>7015</v>
      </c>
      <c r="C98" s="7">
        <v>6800</v>
      </c>
      <c r="D98" s="7">
        <v>7110</v>
      </c>
      <c r="E98" s="7">
        <v>6800</v>
      </c>
      <c r="F98" s="7">
        <v>17207844864</v>
      </c>
      <c r="G98" s="1"/>
      <c r="H98" s="1"/>
    </row>
    <row r="99" spans="1:8" ht="21" customHeight="1">
      <c r="A99" s="8">
        <v>46266</v>
      </c>
      <c r="B99" s="7">
        <v>7060</v>
      </c>
      <c r="C99" s="7">
        <v>6985</v>
      </c>
      <c r="D99" s="7">
        <v>7175</v>
      </c>
      <c r="E99" s="7">
        <v>6865</v>
      </c>
      <c r="F99" s="7">
        <v>11943705600</v>
      </c>
      <c r="G99" s="1"/>
      <c r="H99" s="1"/>
    </row>
    <row r="100" spans="1:8" ht="21" customHeight="1">
      <c r="A100" s="8">
        <v>46267</v>
      </c>
      <c r="B100" s="7">
        <v>7170</v>
      </c>
      <c r="C100" s="7">
        <v>7100</v>
      </c>
      <c r="D100" s="7">
        <v>7180</v>
      </c>
      <c r="E100" s="7">
        <v>7030</v>
      </c>
      <c r="F100" s="7">
        <v>10330931200</v>
      </c>
      <c r="G100" s="1"/>
      <c r="H100" s="1"/>
    </row>
    <row r="101" spans="1:8" ht="21" customHeight="1">
      <c r="A101" s="8">
        <v>46268</v>
      </c>
      <c r="B101" s="7">
        <v>7075</v>
      </c>
      <c r="C101" s="7">
        <v>7210</v>
      </c>
      <c r="D101" s="7">
        <v>7320</v>
      </c>
      <c r="E101" s="7">
        <v>7005</v>
      </c>
      <c r="F101" s="7">
        <v>11059331072</v>
      </c>
      <c r="G101" s="1"/>
      <c r="H101" s="1"/>
    </row>
    <row r="102" spans="1:8" ht="21" customHeight="1">
      <c r="A102" s="8">
        <v>46269</v>
      </c>
      <c r="B102" s="7">
        <v>7005</v>
      </c>
      <c r="C102" s="7">
        <v>7075</v>
      </c>
      <c r="D102" s="7">
        <v>7125</v>
      </c>
      <c r="E102" s="7">
        <v>6950</v>
      </c>
      <c r="F102" s="7">
        <v>5255578624</v>
      </c>
      <c r="G102" s="1"/>
      <c r="H102" s="1"/>
    </row>
    <row r="103" spans="1:8" ht="21" customHeight="1">
      <c r="A103" s="8">
        <v>46272</v>
      </c>
      <c r="B103" s="7">
        <v>6935</v>
      </c>
      <c r="C103" s="7">
        <v>7040</v>
      </c>
      <c r="D103" s="7">
        <v>7070</v>
      </c>
      <c r="E103" s="7">
        <v>6870</v>
      </c>
      <c r="F103" s="7">
        <v>1858620288</v>
      </c>
      <c r="G103" s="1"/>
      <c r="H103" s="1"/>
    </row>
    <row r="104" spans="1:8" ht="21" customHeight="1">
      <c r="A104" s="8">
        <v>46273</v>
      </c>
      <c r="B104" s="7">
        <v>7015</v>
      </c>
      <c r="C104" s="7">
        <v>6925</v>
      </c>
      <c r="D104" s="7">
        <v>7095</v>
      </c>
      <c r="E104" s="7">
        <v>6900</v>
      </c>
      <c r="F104" s="7">
        <v>8690566144</v>
      </c>
      <c r="G104" s="1"/>
      <c r="H104" s="1"/>
    </row>
    <row r="105" spans="1:8" ht="21" customHeight="1">
      <c r="A105" s="8">
        <v>46274</v>
      </c>
      <c r="B105" s="7">
        <v>7085</v>
      </c>
      <c r="C105" s="7">
        <v>7020</v>
      </c>
      <c r="D105" s="7">
        <v>7130</v>
      </c>
      <c r="E105" s="7">
        <v>6880</v>
      </c>
      <c r="F105" s="7">
        <v>9038316544</v>
      </c>
      <c r="G105" s="1"/>
      <c r="H105" s="1"/>
    </row>
    <row r="106" spans="1:8" ht="21" customHeight="1">
      <c r="A106" s="8">
        <v>46275</v>
      </c>
      <c r="B106" s="7">
        <v>7145</v>
      </c>
      <c r="C106" s="7">
        <v>7050</v>
      </c>
      <c r="D106" s="7">
        <v>7265</v>
      </c>
      <c r="E106" s="7">
        <v>7005</v>
      </c>
      <c r="F106" s="7">
        <v>12089066496</v>
      </c>
      <c r="G106" s="1"/>
      <c r="H106" s="1"/>
    </row>
    <row r="107" spans="1:8" ht="21" customHeight="1">
      <c r="A107" s="8">
        <v>46276</v>
      </c>
      <c r="B107" s="7">
        <v>7000</v>
      </c>
      <c r="C107" s="7">
        <v>7150</v>
      </c>
      <c r="D107" s="7">
        <v>7220</v>
      </c>
      <c r="E107" s="7">
        <v>6910</v>
      </c>
      <c r="F107" s="7">
        <v>8695358464</v>
      </c>
      <c r="G107" s="1"/>
      <c r="H107" s="1"/>
    </row>
    <row r="108" spans="1:8" ht="21" customHeight="1">
      <c r="A108" s="8">
        <v>46279</v>
      </c>
      <c r="B108" s="7">
        <v>6840</v>
      </c>
      <c r="C108" s="7">
        <v>6980</v>
      </c>
      <c r="D108" s="7">
        <v>7015</v>
      </c>
      <c r="E108" s="7">
        <v>6810</v>
      </c>
      <c r="F108" s="7">
        <v>12132106240</v>
      </c>
      <c r="G108" s="1"/>
      <c r="H108" s="1"/>
    </row>
    <row r="109" spans="1:8" ht="21" customHeight="1">
      <c r="A109" s="8">
        <v>46280</v>
      </c>
      <c r="B109" s="7">
        <v>6725</v>
      </c>
      <c r="C109" s="7">
        <v>6840</v>
      </c>
      <c r="D109" s="7">
        <v>6910</v>
      </c>
      <c r="E109" s="7">
        <v>6700</v>
      </c>
      <c r="F109" s="7">
        <v>11244275712</v>
      </c>
      <c r="G109" s="1"/>
      <c r="H109" s="1"/>
    </row>
    <row r="110" spans="1:8" ht="21" customHeight="1">
      <c r="A110" s="8">
        <v>46281</v>
      </c>
      <c r="B110" s="7">
        <v>6760</v>
      </c>
      <c r="C110" s="7">
        <v>6705</v>
      </c>
      <c r="D110" s="7">
        <v>6830</v>
      </c>
      <c r="E110" s="7">
        <v>6660</v>
      </c>
      <c r="F110" s="7">
        <v>6813778432</v>
      </c>
      <c r="G110" s="1"/>
      <c r="H110" s="1"/>
    </row>
    <row r="111" spans="1:8" ht="21" customHeight="1">
      <c r="A111" s="1"/>
      <c r="B111" s="1"/>
      <c r="C111" s="1"/>
      <c r="D111" s="1"/>
      <c r="E111" s="1"/>
      <c r="F111" s="1"/>
      <c r="G111" s="1"/>
      <c r="H111" s="1"/>
    </row>
    <row r="112" spans="1:8" ht="21" customHeight="1">
      <c r="A112" s="1"/>
      <c r="B112" s="1"/>
      <c r="C112" s="1"/>
      <c r="D112" s="1"/>
      <c r="E112" s="1"/>
      <c r="F112" s="1"/>
      <c r="G112" s="1"/>
      <c r="H112" s="1"/>
    </row>
    <row r="113" spans="1:8" ht="21" customHeight="1">
      <c r="A113" s="1"/>
      <c r="B113" s="1"/>
      <c r="C113" s="1"/>
      <c r="D113" s="1"/>
      <c r="E113" s="1"/>
      <c r="F113" s="1"/>
      <c r="G113" s="1"/>
      <c r="H113" s="1"/>
    </row>
    <row r="114" spans="1:8" ht="21" customHeight="1">
      <c r="A114" s="1"/>
      <c r="B114" s="1"/>
      <c r="C114" s="1"/>
      <c r="D114" s="1"/>
      <c r="E114" s="1"/>
      <c r="F114" s="1"/>
      <c r="G114" s="1"/>
      <c r="H114" s="1"/>
    </row>
    <row r="115" spans="1:8" ht="21" customHeight="1">
      <c r="A115" s="1"/>
      <c r="B115" s="1"/>
      <c r="C115" s="1"/>
      <c r="D115" s="1"/>
      <c r="E115" s="1"/>
      <c r="F115" s="1"/>
      <c r="G115" s="1"/>
      <c r="H115" s="1"/>
    </row>
    <row r="116" spans="1:8" ht="21" customHeight="1">
      <c r="A116" s="1"/>
      <c r="B116" s="1"/>
      <c r="C116" s="1"/>
      <c r="D116" s="1"/>
      <c r="E116" s="1"/>
      <c r="F116" s="1"/>
      <c r="G116" s="1"/>
      <c r="H116" s="1"/>
    </row>
    <row r="117" spans="1:8" ht="21" customHeight="1">
      <c r="A117" s="1"/>
      <c r="B117" s="1"/>
      <c r="C117" s="1"/>
      <c r="D117" s="1"/>
      <c r="E117" s="1"/>
      <c r="F117" s="1"/>
      <c r="G117" s="1"/>
      <c r="H117" s="1"/>
    </row>
    <row r="118" spans="1:8" ht="21" customHeight="1">
      <c r="A118" s="1"/>
      <c r="B118" s="1"/>
      <c r="C118" s="1"/>
      <c r="D118" s="1"/>
      <c r="E118" s="1"/>
      <c r="F118" s="1"/>
      <c r="G118" s="1"/>
      <c r="H118" s="1"/>
    </row>
    <row r="119" spans="1:8" ht="21" customHeight="1">
      <c r="A119" s="1"/>
      <c r="B119" s="1"/>
      <c r="C119" s="1"/>
      <c r="D119" s="1"/>
      <c r="E119" s="1"/>
      <c r="F119" s="1"/>
      <c r="G119" s="1"/>
      <c r="H119" s="1"/>
    </row>
    <row r="120" spans="1:8" ht="21" customHeight="1">
      <c r="A120" s="1"/>
      <c r="B120" s="1"/>
      <c r="C120" s="1"/>
      <c r="D120" s="1"/>
      <c r="E120" s="1"/>
      <c r="F120" s="1"/>
      <c r="G120" s="1"/>
      <c r="H120" s="1"/>
    </row>
    <row r="121" spans="1:8" ht="21" customHeight="1">
      <c r="A121" s="1"/>
      <c r="B121" s="1"/>
      <c r="C121" s="1"/>
      <c r="D121" s="1"/>
      <c r="E121" s="1"/>
      <c r="F121" s="1"/>
      <c r="G121" s="1"/>
      <c r="H121" s="1"/>
    </row>
    <row r="122" spans="1:8" ht="21" customHeight="1">
      <c r="A122" s="1"/>
      <c r="B122" s="1"/>
      <c r="C122" s="1"/>
      <c r="D122" s="1"/>
      <c r="E122" s="1"/>
      <c r="F122" s="1"/>
      <c r="G122" s="1"/>
      <c r="H122" s="1"/>
    </row>
    <row r="123" spans="1:8" ht="21" customHeight="1">
      <c r="A123" s="1"/>
      <c r="B123" s="1"/>
      <c r="C123" s="1"/>
      <c r="D123" s="1"/>
      <c r="E123" s="1"/>
      <c r="F123" s="1"/>
      <c r="G123" s="1"/>
      <c r="H123" s="1"/>
    </row>
    <row r="124" spans="1:8" ht="21" customHeight="1">
      <c r="A124" s="1"/>
      <c r="B124" s="1"/>
      <c r="C124" s="1"/>
      <c r="D124" s="1"/>
      <c r="E124" s="1"/>
      <c r="F124" s="1"/>
      <c r="G124" s="1"/>
      <c r="H124" s="1"/>
    </row>
    <row r="125" spans="1:8" ht="21" customHeight="1">
      <c r="A125" s="1"/>
      <c r="B125" s="1"/>
      <c r="C125" s="1"/>
      <c r="D125" s="1"/>
      <c r="E125" s="1"/>
      <c r="F125" s="1"/>
      <c r="G125" s="1"/>
      <c r="H12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4699A"/>
  </sheetPr>
  <dimension ref="A1:V59"/>
  <sheetViews>
    <sheetView showGridLines="0" topLeftCell="A13" workbookViewId="0">
      <selection activeCell="B9" sqref="B9"/>
    </sheetView>
  </sheetViews>
  <sheetFormatPr defaultRowHeight="13.8"/>
  <cols>
    <col min="1" max="1" width="22" customWidth="1"/>
    <col min="2" max="2" width="18" customWidth="1"/>
    <col min="3" max="8" width="13" customWidth="1"/>
    <col min="9" max="10" width="24" customWidth="1"/>
    <col min="11" max="14" width="13" customWidth="1"/>
  </cols>
  <sheetData>
    <row r="1" spans="1:17" ht="22.0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7" ht="22.05" customHeight="1">
      <c r="A2" s="24" t="s">
        <v>1175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7" ht="22.0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P3" t="s">
        <v>1176</v>
      </c>
    </row>
    <row r="4" spans="1:17" ht="22.05" customHeight="1">
      <c r="A4" s="26" t="s">
        <v>1177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7" ht="22.0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P5" t="s">
        <v>1178</v>
      </c>
      <c r="Q5" t="s">
        <v>1179</v>
      </c>
    </row>
    <row r="6" spans="1:17" ht="22.05" customHeight="1">
      <c r="A6" s="23" t="s">
        <v>1180</v>
      </c>
      <c r="B6" s="27" t="s">
        <v>87</v>
      </c>
      <c r="C6" s="23"/>
      <c r="D6" s="30" t="str">
        <f>IF(OR(B6="",B7="",B8="",B9=""),"Choose all four inputs",IF(AND(B6&lt;&gt;"call",B6&lt;&gt;"put"),"Choose call or put",IF(AND(B9&lt;&gt;"1:1",B9&lt;&gt;"1:2"),"Choose 1:1 or 1:2",IF(OR(NOT(ISNUMBER(B7)),NOT(ISNUMBER(B8))),"Choose numeric strikes",IF(B7=B8,"Choose two different strikes",IF(OR(COUNTIFS('IV history'!$C$7:$C$926,B6,'IV history'!$D$7:$D$926,B7)=0,COUNTIFS('IV history'!$C$7:$C$926,B6,'IV history'!$D$7:$D$926,B8)=0),"Strike unavailable for this type","Ready"))))))</f>
        <v>Ready</v>
      </c>
      <c r="E6" s="23"/>
      <c r="F6" s="23"/>
      <c r="G6" s="23"/>
      <c r="H6" s="23"/>
      <c r="I6" s="23"/>
      <c r="J6" s="23"/>
      <c r="K6" s="23"/>
      <c r="L6" s="23"/>
      <c r="M6" s="23"/>
      <c r="N6" s="23"/>
      <c r="P6">
        <v>4200</v>
      </c>
      <c r="Q6">
        <v>4200</v>
      </c>
    </row>
    <row r="7" spans="1:17" ht="22.05" customHeight="1">
      <c r="A7" s="23" t="s">
        <v>1181</v>
      </c>
      <c r="B7" s="28">
        <v>6800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P7">
        <v>4400</v>
      </c>
      <c r="Q7">
        <v>4400</v>
      </c>
    </row>
    <row r="8" spans="1:17" ht="22.05" customHeight="1">
      <c r="A8" s="23" t="s">
        <v>1182</v>
      </c>
      <c r="B8" s="28">
        <v>7000</v>
      </c>
      <c r="C8" s="23"/>
      <c r="D8" s="23" t="s">
        <v>2</v>
      </c>
      <c r="E8" s="31">
        <f>A56</f>
        <v>46281</v>
      </c>
      <c r="F8" s="23"/>
      <c r="G8" s="23" t="s">
        <v>1183</v>
      </c>
      <c r="H8" s="32">
        <f>IF(ISNUMBER(D56),D56,"n.a.")</f>
        <v>86.78000000000003</v>
      </c>
      <c r="I8" s="23"/>
      <c r="J8" s="23" t="s">
        <v>1184</v>
      </c>
      <c r="K8" s="23"/>
      <c r="L8" s="32">
        <f>IF(ISNUMBER(E56),E56,"n.a.")</f>
        <v>8678.0000000000036</v>
      </c>
      <c r="M8" s="23"/>
      <c r="N8" s="23"/>
      <c r="P8">
        <v>4600</v>
      </c>
      <c r="Q8">
        <v>4600</v>
      </c>
    </row>
    <row r="9" spans="1:17" ht="22.05" customHeight="1">
      <c r="A9" s="23" t="s">
        <v>1185</v>
      </c>
      <c r="B9" s="27" t="s">
        <v>1207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P9">
        <v>4800</v>
      </c>
      <c r="Q9">
        <v>4800</v>
      </c>
    </row>
    <row r="10" spans="1:17" ht="22.05" customHeight="1">
      <c r="A10" s="23" t="s">
        <v>1186</v>
      </c>
      <c r="B10" s="23">
        <f>IF(B9="1:1",1,IF(B9="1:2",2,""))</f>
        <v>1</v>
      </c>
      <c r="C10" s="23"/>
      <c r="D10" s="23" t="s">
        <v>1187</v>
      </c>
      <c r="E10" s="33">
        <f>IF(ISNUMBER(F56),F56,"n.a.")</f>
        <v>0.40439010230283473</v>
      </c>
      <c r="F10" s="23"/>
      <c r="G10" s="23" t="s">
        <v>1188</v>
      </c>
      <c r="H10" s="33">
        <f>IF(ISNUMBER(G56),G56,"n.a.")</f>
        <v>0.41615491438905555</v>
      </c>
      <c r="I10" s="23"/>
      <c r="J10" s="23"/>
      <c r="K10" s="23"/>
      <c r="L10" s="23"/>
      <c r="M10" s="23"/>
      <c r="N10" s="23"/>
      <c r="P10">
        <v>5000</v>
      </c>
      <c r="Q10">
        <v>5000</v>
      </c>
    </row>
    <row r="11" spans="1:17" ht="22.05" customHeight="1">
      <c r="A11" s="23" t="s">
        <v>1107</v>
      </c>
      <c r="B11" s="23">
        <f>'Model inputs'!B8</f>
        <v>100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P11">
        <v>5200</v>
      </c>
      <c r="Q11">
        <v>5200</v>
      </c>
    </row>
    <row r="12" spans="1:17" ht="22.05" customHeight="1">
      <c r="A12" s="23" t="s">
        <v>1101</v>
      </c>
      <c r="B12" s="29">
        <f>'Model inputs'!B5</f>
        <v>46311</v>
      </c>
      <c r="C12" s="23"/>
      <c r="D12" s="37" t="str">
        <f>IF(D6&lt;&gt;"Ready","Select valid contracts to populate the charts.",IF(B9="1:1","1:1 spread: long premium minus short premium.",IF(B6="call","1:2 calls: uncovered upside exposure, with unlimited potential loss.","1:2 puts: substantial downside exposure if GGAL falls.")))</f>
        <v>1:1 spread: long premium minus short premium.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P12">
        <v>5400</v>
      </c>
      <c r="Q12">
        <v>5400</v>
      </c>
    </row>
    <row r="13" spans="1:17" ht="22.0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P13">
        <v>5600</v>
      </c>
      <c r="Q13">
        <v>5600</v>
      </c>
    </row>
    <row r="14" spans="1:17" ht="22.05" customHeight="1">
      <c r="A14" s="38" t="s">
        <v>1189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P14">
        <v>5800</v>
      </c>
      <c r="Q14">
        <v>5800</v>
      </c>
    </row>
    <row r="15" spans="1:17" ht="22.05" customHeight="1">
      <c r="A15" s="38" t="s">
        <v>1190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P15">
        <v>6000</v>
      </c>
      <c r="Q15">
        <v>6000</v>
      </c>
    </row>
    <row r="16" spans="1:17" ht="22.0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P16">
        <v>6200</v>
      </c>
      <c r="Q16">
        <v>6200</v>
      </c>
    </row>
    <row r="17" spans="1:17" ht="22.0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P17">
        <v>6400</v>
      </c>
      <c r="Q17">
        <v>6400</v>
      </c>
    </row>
    <row r="18" spans="1:17" ht="22.0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P18">
        <v>6600</v>
      </c>
      <c r="Q18">
        <v>6600</v>
      </c>
    </row>
    <row r="19" spans="1:17" ht="22.0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P19">
        <v>6800</v>
      </c>
      <c r="Q19">
        <v>6800</v>
      </c>
    </row>
    <row r="20" spans="1:17" ht="22.0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P20">
        <v>7000</v>
      </c>
      <c r="Q20">
        <v>7000</v>
      </c>
    </row>
    <row r="21" spans="1:17" ht="22.0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P21">
        <v>7200</v>
      </c>
      <c r="Q21">
        <v>7200</v>
      </c>
    </row>
    <row r="22" spans="1:17" ht="22.0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P22">
        <v>7400</v>
      </c>
      <c r="Q22">
        <v>7400</v>
      </c>
    </row>
    <row r="23" spans="1:17" ht="22.0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P23">
        <v>7600</v>
      </c>
      <c r="Q23">
        <v>7600</v>
      </c>
    </row>
    <row r="24" spans="1:17" ht="22.0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P24">
        <v>7800</v>
      </c>
      <c r="Q24">
        <v>7800</v>
      </c>
    </row>
    <row r="25" spans="1:17" ht="22.0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P25">
        <v>8000</v>
      </c>
      <c r="Q25">
        <v>8000</v>
      </c>
    </row>
    <row r="26" spans="1:17" ht="22.0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P26">
        <v>8300</v>
      </c>
      <c r="Q26">
        <v>8300</v>
      </c>
    </row>
    <row r="27" spans="1:17" ht="22.0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P27">
        <v>8600</v>
      </c>
      <c r="Q27">
        <v>8600</v>
      </c>
    </row>
    <row r="28" spans="1:17" ht="22.0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P28">
        <v>8900</v>
      </c>
      <c r="Q28">
        <v>8900</v>
      </c>
    </row>
    <row r="29" spans="1:17" ht="22.0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P29">
        <v>9200</v>
      </c>
      <c r="Q29">
        <v>9200</v>
      </c>
    </row>
    <row r="30" spans="1:17" ht="22.0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P30">
        <v>9500</v>
      </c>
    </row>
    <row r="31" spans="1:17" ht="22.0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P31">
        <v>9900</v>
      </c>
    </row>
    <row r="32" spans="1:17" ht="22.0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22" ht="22.0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22" ht="22.0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S34" t="s">
        <v>1191</v>
      </c>
    </row>
    <row r="35" spans="1:22" ht="22.0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22" ht="22.0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spans="1:22" ht="36" customHeight="1">
      <c r="A37" s="35" t="s">
        <v>22</v>
      </c>
      <c r="B37" s="35" t="s">
        <v>1192</v>
      </c>
      <c r="C37" s="35" t="s">
        <v>1193</v>
      </c>
      <c r="D37" s="35" t="s">
        <v>1183</v>
      </c>
      <c r="E37" s="35" t="s">
        <v>1194</v>
      </c>
      <c r="F37" s="35" t="s">
        <v>1195</v>
      </c>
      <c r="G37" s="35" t="s">
        <v>1196</v>
      </c>
      <c r="H37" s="35" t="s">
        <v>1197</v>
      </c>
      <c r="I37" s="35" t="s">
        <v>1198</v>
      </c>
      <c r="J37" s="35" t="s">
        <v>1199</v>
      </c>
      <c r="K37" s="23" t="s">
        <v>1200</v>
      </c>
      <c r="L37" s="23" t="s">
        <v>1201</v>
      </c>
      <c r="M37" s="23" t="s">
        <v>1202</v>
      </c>
      <c r="N37" s="23" t="s">
        <v>1203</v>
      </c>
      <c r="S37" t="s">
        <v>22</v>
      </c>
      <c r="T37" t="s">
        <v>1204</v>
      </c>
      <c r="U37" t="s">
        <v>1187</v>
      </c>
      <c r="V37" t="s">
        <v>1188</v>
      </c>
    </row>
    <row r="38" spans="1:22" ht="30" customHeight="1">
      <c r="A38" s="31">
        <f>'Daily volatility'!A7</f>
        <v>46255</v>
      </c>
      <c r="B38" s="32">
        <f>IF(K38&lt;&gt;1,"",SUMIFS('IV history'!$E$7:$E$926,'IV history'!$A$7:$A$926,A38,'IV history'!$C$7:$C$926,$B$6,'IV history'!$D$7:$D$926,$B$7))</f>
        <v>520</v>
      </c>
      <c r="C38" s="32">
        <f>IF(L38&lt;&gt;1,"",SUMIFS('IV history'!$E$7:$E$926,'IV history'!$A$7:$A$926,A38,'IV history'!$C$7:$C$926,$B$6,'IV history'!$D$7:$D$926,$B$8))</f>
        <v>419.73</v>
      </c>
      <c r="D38" s="32">
        <f t="shared" ref="D38:D56" si="0">IF(AND(ISNUMBER(B38),ISNUMBER(C38)),B38-$B$10*C38,"")</f>
        <v>100.26999999999998</v>
      </c>
      <c r="E38" s="32">
        <f t="shared" ref="E38:E56" si="1">IF(ISNUMBER(D38),D38*$B$11,"")</f>
        <v>10026.999999999998</v>
      </c>
      <c r="F38" s="33">
        <f>IF(M38&lt;&gt;1,"",SUMIFS('IV history'!$K$7:$K$926,'IV history'!$A$7:$A$926,A38,'IV history'!$C$7:$C$926,$B$6,'IV history'!$D$7:$D$926,$B$7))</f>
        <v>0.44393323414538993</v>
      </c>
      <c r="G38" s="33">
        <f>IF(N38&lt;&gt;1,"",SUMIFS('IV history'!$K$7:$K$926,'IV history'!$A$7:$A$926,A38,'IV history'!$C$7:$C$926,$B$6,'IV history'!$D$7:$D$926,$B$8))</f>
        <v>0.43488737637267061</v>
      </c>
      <c r="H38" s="36">
        <f t="shared" ref="H38:H56" si="2">IF(AND(ISNUMBER(F38),ISNUMBER(G38)),100*(F38-G38),"")</f>
        <v>0.90458577727193235</v>
      </c>
      <c r="I38" s="34" t="str">
        <f t="shared" ref="I38:I56" si="3">IF($D$6&lt;&gt;"Ready","Check selection",IF(K38=0,"No observation",IF(K38&gt;1,"Duplicate observations",IF(M38=0,"Flagged; IV unavailable","Screen passed"))))</f>
        <v>Screen passed</v>
      </c>
      <c r="J38" s="34" t="str">
        <f t="shared" ref="J38:J56" si="4">IF($D$6&lt;&gt;"Ready","Check selection",IF(L38=0,"No observation",IF(L38&gt;1,"Duplicate observations",IF(N38=0,"Flagged; IV unavailable","Screen passed"))))</f>
        <v>Screen passed</v>
      </c>
      <c r="K38" s="23">
        <f>IF($D$6&lt;&gt;"Ready","",COUNTIFS('IV history'!$A$7:$A$926,A38,'IV history'!$C$7:$C$926,$B$6,'IV history'!$D$7:$D$926,$B$7))</f>
        <v>1</v>
      </c>
      <c r="L38" s="23">
        <f>IF($D$6&lt;&gt;"Ready","",COUNTIFS('IV history'!$A$7:$A$926,A38,'IV history'!$C$7:$C$926,$B$6,'IV history'!$D$7:$D$926,$B$8))</f>
        <v>1</v>
      </c>
      <c r="M38" s="23">
        <f>IF(K38&lt;&gt;1,"",COUNTIFS('IV history'!$A$7:$A$926,A38,'IV history'!$C$7:$C$926,$B$6,'IV history'!$D$7:$D$926,$B$7,'IV history'!$K$7:$K$926,"&gt;0"))</f>
        <v>1</v>
      </c>
      <c r="N38" s="23">
        <f>IF(L38&lt;&gt;1,"",COUNTIFS('IV history'!$A$7:$A$926,A38,'IV history'!$C$7:$C$926,$B$6,'IV history'!$D$7:$D$926,$B$8,'IV history'!$K$7:$K$926,"&gt;0"))</f>
        <v>1</v>
      </c>
      <c r="S38" t="str">
        <f t="shared" ref="S38:S56" si="5">TEXT(A38,"dd-mmm")</f>
        <v>21-ago</v>
      </c>
      <c r="T38">
        <f t="shared" ref="T38:T56" si="6">IF(ISNUMBER(D38),D38,NA())</f>
        <v>100.26999999999998</v>
      </c>
      <c r="U38">
        <f t="shared" ref="U38:U56" si="7">IF(ISNUMBER(F38),F38,NA())</f>
        <v>0.44393323414538993</v>
      </c>
      <c r="V38">
        <f t="shared" ref="V38:V56" si="8">IF(ISNUMBER(G38),G38,NA())</f>
        <v>0.43488737637267061</v>
      </c>
    </row>
    <row r="39" spans="1:22" ht="30" customHeight="1">
      <c r="A39" s="31">
        <f>'Daily volatility'!A8</f>
        <v>46258</v>
      </c>
      <c r="B39" s="32">
        <f>IF(K39&lt;&gt;1,"",SUMIFS('IV history'!$E$7:$E$926,'IV history'!$A$7:$A$926,A39,'IV history'!$C$7:$C$926,$B$6,'IV history'!$D$7:$D$926,$B$7))</f>
        <v>686.77</v>
      </c>
      <c r="C39" s="32">
        <f>IF(L39&lt;&gt;1,"",SUMIFS('IV history'!$E$7:$E$926,'IV history'!$A$7:$A$926,A39,'IV history'!$C$7:$C$926,$B$6,'IV history'!$D$7:$D$926,$B$8))</f>
        <v>579.21</v>
      </c>
      <c r="D39" s="32">
        <f t="shared" si="0"/>
        <v>107.55999999999995</v>
      </c>
      <c r="E39" s="32">
        <f t="shared" si="1"/>
        <v>10755.999999999995</v>
      </c>
      <c r="F39" s="33">
        <f>IF(M39&lt;&gt;1,"",SUMIFS('IV history'!$K$7:$K$926,'IV history'!$A$7:$A$926,A39,'IV history'!$C$7:$C$926,$B$6,'IV history'!$D$7:$D$926,$B$7))</f>
        <v>0.42251204040731716</v>
      </c>
      <c r="G39" s="33">
        <f>IF(N39&lt;&gt;1,"",SUMIFS('IV history'!$K$7:$K$926,'IV history'!$A$7:$A$926,A39,'IV history'!$C$7:$C$926,$B$6,'IV history'!$D$7:$D$926,$B$8))</f>
        <v>0.42841321615853312</v>
      </c>
      <c r="H39" s="36">
        <f t="shared" si="2"/>
        <v>-0.59011757512159591</v>
      </c>
      <c r="I39" s="34" t="str">
        <f t="shared" si="3"/>
        <v>Screen passed</v>
      </c>
      <c r="J39" s="34" t="str">
        <f t="shared" si="4"/>
        <v>Screen passed</v>
      </c>
      <c r="K39" s="23">
        <f>IF($D$6&lt;&gt;"Ready","",COUNTIFS('IV history'!$A$7:$A$926,A39,'IV history'!$C$7:$C$926,$B$6,'IV history'!$D$7:$D$926,$B$7))</f>
        <v>1</v>
      </c>
      <c r="L39" s="23">
        <f>IF($D$6&lt;&gt;"Ready","",COUNTIFS('IV history'!$A$7:$A$926,A39,'IV history'!$C$7:$C$926,$B$6,'IV history'!$D$7:$D$926,$B$8))</f>
        <v>1</v>
      </c>
      <c r="M39" s="23">
        <f>IF(K39&lt;&gt;1,"",COUNTIFS('IV history'!$A$7:$A$926,A39,'IV history'!$C$7:$C$926,$B$6,'IV history'!$D$7:$D$926,$B$7,'IV history'!$K$7:$K$926,"&gt;0"))</f>
        <v>1</v>
      </c>
      <c r="N39" s="23">
        <f>IF(L39&lt;&gt;1,"",COUNTIFS('IV history'!$A$7:$A$926,A39,'IV history'!$C$7:$C$926,$B$6,'IV history'!$D$7:$D$926,$B$8,'IV history'!$K$7:$K$926,"&gt;0"))</f>
        <v>1</v>
      </c>
      <c r="S39" t="str">
        <f t="shared" si="5"/>
        <v>24-ago</v>
      </c>
      <c r="T39">
        <f t="shared" si="6"/>
        <v>107.55999999999995</v>
      </c>
      <c r="U39">
        <f t="shared" si="7"/>
        <v>0.42251204040731716</v>
      </c>
      <c r="V39">
        <f t="shared" si="8"/>
        <v>0.42841321615853312</v>
      </c>
    </row>
    <row r="40" spans="1:22" ht="30" customHeight="1">
      <c r="A40" s="31">
        <f>'Daily volatility'!A9</f>
        <v>46259</v>
      </c>
      <c r="B40" s="32">
        <f>IF(K40&lt;&gt;1,"",SUMIFS('IV history'!$E$7:$E$926,'IV history'!$A$7:$A$926,A40,'IV history'!$C$7:$C$926,$B$6,'IV history'!$D$7:$D$926,$B$7))</f>
        <v>720.8</v>
      </c>
      <c r="C40" s="32">
        <f>IF(L40&lt;&gt;1,"",SUMIFS('IV history'!$E$7:$E$926,'IV history'!$A$7:$A$926,A40,'IV history'!$C$7:$C$926,$B$6,'IV history'!$D$7:$D$926,$B$8))</f>
        <v>604.66</v>
      </c>
      <c r="D40" s="32">
        <f t="shared" si="0"/>
        <v>116.13999999999999</v>
      </c>
      <c r="E40" s="32">
        <f t="shared" si="1"/>
        <v>11613.999999999998</v>
      </c>
      <c r="F40" s="33">
        <f>IF(M40&lt;&gt;1,"",SUMIFS('IV history'!$K$7:$K$926,'IV history'!$A$7:$A$926,A40,'IV history'!$C$7:$C$926,$B$6,'IV history'!$D$7:$D$926,$B$7))</f>
        <v>0.3687543746264727</v>
      </c>
      <c r="G40" s="33">
        <f>IF(N40&lt;&gt;1,"",SUMIFS('IV history'!$K$7:$K$926,'IV history'!$A$7:$A$926,A40,'IV history'!$C$7:$C$926,$B$6,'IV history'!$D$7:$D$926,$B$8))</f>
        <v>0.37980973352066488</v>
      </c>
      <c r="H40" s="36">
        <f t="shared" si="2"/>
        <v>-1.105535889419218</v>
      </c>
      <c r="I40" s="34" t="str">
        <f t="shared" si="3"/>
        <v>Screen passed</v>
      </c>
      <c r="J40" s="34" t="str">
        <f t="shared" si="4"/>
        <v>Screen passed</v>
      </c>
      <c r="K40" s="23">
        <f>IF($D$6&lt;&gt;"Ready","",COUNTIFS('IV history'!$A$7:$A$926,A40,'IV history'!$C$7:$C$926,$B$6,'IV history'!$D$7:$D$926,$B$7))</f>
        <v>1</v>
      </c>
      <c r="L40" s="23">
        <f>IF($D$6&lt;&gt;"Ready","",COUNTIFS('IV history'!$A$7:$A$926,A40,'IV history'!$C$7:$C$926,$B$6,'IV history'!$D$7:$D$926,$B$8))</f>
        <v>1</v>
      </c>
      <c r="M40" s="23">
        <f>IF(K40&lt;&gt;1,"",COUNTIFS('IV history'!$A$7:$A$926,A40,'IV history'!$C$7:$C$926,$B$6,'IV history'!$D$7:$D$926,$B$7,'IV history'!$K$7:$K$926,"&gt;0"))</f>
        <v>1</v>
      </c>
      <c r="N40" s="23">
        <f>IF(L40&lt;&gt;1,"",COUNTIFS('IV history'!$A$7:$A$926,A40,'IV history'!$C$7:$C$926,$B$6,'IV history'!$D$7:$D$926,$B$8,'IV history'!$K$7:$K$926,"&gt;0"))</f>
        <v>1</v>
      </c>
      <c r="S40" t="str">
        <f t="shared" si="5"/>
        <v>25-ago</v>
      </c>
      <c r="T40">
        <f t="shared" si="6"/>
        <v>116.13999999999999</v>
      </c>
      <c r="U40">
        <f t="shared" si="7"/>
        <v>0.3687543746264727</v>
      </c>
      <c r="V40">
        <f t="shared" si="8"/>
        <v>0.37980973352066488</v>
      </c>
    </row>
    <row r="41" spans="1:22" ht="30" customHeight="1">
      <c r="A41" s="31">
        <f>'Daily volatility'!A10</f>
        <v>46260</v>
      </c>
      <c r="B41" s="32">
        <f>IF(K41&lt;&gt;1,"",SUMIFS('IV history'!$E$7:$E$926,'IV history'!$A$7:$A$926,A41,'IV history'!$C$7:$C$926,$B$6,'IV history'!$D$7:$D$926,$B$7))</f>
        <v>690.84</v>
      </c>
      <c r="C41" s="32">
        <f>IF(L41&lt;&gt;1,"",SUMIFS('IV history'!$E$7:$E$926,'IV history'!$A$7:$A$926,A41,'IV history'!$C$7:$C$926,$B$6,'IV history'!$D$7:$D$926,$B$8))</f>
        <v>565.70000000000005</v>
      </c>
      <c r="D41" s="32">
        <f t="shared" si="0"/>
        <v>125.13999999999999</v>
      </c>
      <c r="E41" s="32">
        <f t="shared" si="1"/>
        <v>12513.999999999998</v>
      </c>
      <c r="F41" s="33">
        <f>IF(M41&lt;&gt;1,"",SUMIFS('IV history'!$K$7:$K$926,'IV history'!$A$7:$A$926,A41,'IV history'!$C$7:$C$926,$B$6,'IV history'!$D$7:$D$926,$B$7))</f>
        <v>0.36765774951938113</v>
      </c>
      <c r="G41" s="33">
        <f>IF(N41&lt;&gt;1,"",SUMIFS('IV history'!$K$7:$K$926,'IV history'!$A$7:$A$926,A41,'IV history'!$C$7:$C$926,$B$6,'IV history'!$D$7:$D$926,$B$8))</f>
        <v>0.36729782545888545</v>
      </c>
      <c r="H41" s="36">
        <f t="shared" si="2"/>
        <v>3.5992406049567549E-2</v>
      </c>
      <c r="I41" s="34" t="str">
        <f t="shared" si="3"/>
        <v>Screen passed</v>
      </c>
      <c r="J41" s="34" t="str">
        <f t="shared" si="4"/>
        <v>Screen passed</v>
      </c>
      <c r="K41" s="23">
        <f>IF($D$6&lt;&gt;"Ready","",COUNTIFS('IV history'!$A$7:$A$926,A41,'IV history'!$C$7:$C$926,$B$6,'IV history'!$D$7:$D$926,$B$7))</f>
        <v>1</v>
      </c>
      <c r="L41" s="23">
        <f>IF($D$6&lt;&gt;"Ready","",COUNTIFS('IV history'!$A$7:$A$926,A41,'IV history'!$C$7:$C$926,$B$6,'IV history'!$D$7:$D$926,$B$8))</f>
        <v>1</v>
      </c>
      <c r="M41" s="23">
        <f>IF(K41&lt;&gt;1,"",COUNTIFS('IV history'!$A$7:$A$926,A41,'IV history'!$C$7:$C$926,$B$6,'IV history'!$D$7:$D$926,$B$7,'IV history'!$K$7:$K$926,"&gt;0"))</f>
        <v>1</v>
      </c>
      <c r="N41" s="23">
        <f>IF(L41&lt;&gt;1,"",COUNTIFS('IV history'!$A$7:$A$926,A41,'IV history'!$C$7:$C$926,$B$6,'IV history'!$D$7:$D$926,$B$8,'IV history'!$K$7:$K$926,"&gt;0"))</f>
        <v>1</v>
      </c>
      <c r="S41" t="str">
        <f t="shared" si="5"/>
        <v>26-ago</v>
      </c>
      <c r="T41">
        <f t="shared" si="6"/>
        <v>125.13999999999999</v>
      </c>
      <c r="U41">
        <f t="shared" si="7"/>
        <v>0.36765774951938113</v>
      </c>
      <c r="V41">
        <f t="shared" si="8"/>
        <v>0.36729782545888545</v>
      </c>
    </row>
    <row r="42" spans="1:22" ht="30" customHeight="1">
      <c r="A42" s="31">
        <f>'Daily volatility'!A11</f>
        <v>46261</v>
      </c>
      <c r="B42" s="32">
        <f>IF(K42&lt;&gt;1,"",SUMIFS('IV history'!$E$7:$E$926,'IV history'!$A$7:$A$926,A42,'IV history'!$C$7:$C$926,$B$6,'IV history'!$D$7:$D$926,$B$7))</f>
        <v>587.6</v>
      </c>
      <c r="C42" s="32">
        <f>IF(L42&lt;&gt;1,"",SUMIFS('IV history'!$E$7:$E$926,'IV history'!$A$7:$A$926,A42,'IV history'!$C$7:$C$926,$B$6,'IV history'!$D$7:$D$926,$B$8))</f>
        <v>484.8</v>
      </c>
      <c r="D42" s="32">
        <f t="shared" si="0"/>
        <v>102.80000000000001</v>
      </c>
      <c r="E42" s="32">
        <f t="shared" si="1"/>
        <v>10280.000000000002</v>
      </c>
      <c r="F42" s="33">
        <f>IF(M42&lt;&gt;1,"",SUMIFS('IV history'!$K$7:$K$926,'IV history'!$A$7:$A$926,A42,'IV history'!$C$7:$C$926,$B$6,'IV history'!$D$7:$D$926,$B$7))</f>
        <v>0.38954597034590532</v>
      </c>
      <c r="G42" s="33">
        <f>IF(N42&lt;&gt;1,"",SUMIFS('IV history'!$K$7:$K$926,'IV history'!$A$7:$A$926,A42,'IV history'!$C$7:$C$926,$B$6,'IV history'!$D$7:$D$926,$B$8))</f>
        <v>0.39748351371994117</v>
      </c>
      <c r="H42" s="36">
        <f t="shared" si="2"/>
        <v>-0.79375433740358492</v>
      </c>
      <c r="I42" s="34" t="str">
        <f t="shared" si="3"/>
        <v>Screen passed</v>
      </c>
      <c r="J42" s="34" t="str">
        <f t="shared" si="4"/>
        <v>Screen passed</v>
      </c>
      <c r="K42" s="23">
        <f>IF($D$6&lt;&gt;"Ready","",COUNTIFS('IV history'!$A$7:$A$926,A42,'IV history'!$C$7:$C$926,$B$6,'IV history'!$D$7:$D$926,$B$7))</f>
        <v>1</v>
      </c>
      <c r="L42" s="23">
        <f>IF($D$6&lt;&gt;"Ready","",COUNTIFS('IV history'!$A$7:$A$926,A42,'IV history'!$C$7:$C$926,$B$6,'IV history'!$D$7:$D$926,$B$8))</f>
        <v>1</v>
      </c>
      <c r="M42" s="23">
        <f>IF(K42&lt;&gt;1,"",COUNTIFS('IV history'!$A$7:$A$926,A42,'IV history'!$C$7:$C$926,$B$6,'IV history'!$D$7:$D$926,$B$7,'IV history'!$K$7:$K$926,"&gt;0"))</f>
        <v>1</v>
      </c>
      <c r="N42" s="23">
        <f>IF(L42&lt;&gt;1,"",COUNTIFS('IV history'!$A$7:$A$926,A42,'IV history'!$C$7:$C$926,$B$6,'IV history'!$D$7:$D$926,$B$8,'IV history'!$K$7:$K$926,"&gt;0"))</f>
        <v>1</v>
      </c>
      <c r="S42" t="str">
        <f t="shared" si="5"/>
        <v>27-ago</v>
      </c>
      <c r="T42">
        <f t="shared" si="6"/>
        <v>102.80000000000001</v>
      </c>
      <c r="U42">
        <f t="shared" si="7"/>
        <v>0.38954597034590532</v>
      </c>
      <c r="V42">
        <f t="shared" si="8"/>
        <v>0.39748351371994117</v>
      </c>
    </row>
    <row r="43" spans="1:22" ht="30" customHeight="1">
      <c r="A43" s="31">
        <f>'Daily volatility'!A12</f>
        <v>46262</v>
      </c>
      <c r="B43" s="32">
        <f>IF(K43&lt;&gt;1,"",SUMIFS('IV history'!$E$7:$E$926,'IV history'!$A$7:$A$926,A43,'IV history'!$C$7:$C$926,$B$6,'IV history'!$D$7:$D$926,$B$7))</f>
        <v>532.71</v>
      </c>
      <c r="C43" s="32">
        <f>IF(L43&lt;&gt;1,"",SUMIFS('IV history'!$E$7:$E$926,'IV history'!$A$7:$A$926,A43,'IV history'!$C$7:$C$926,$B$6,'IV history'!$D$7:$D$926,$B$8))</f>
        <v>438.78</v>
      </c>
      <c r="D43" s="32">
        <f t="shared" si="0"/>
        <v>93.930000000000064</v>
      </c>
      <c r="E43" s="32">
        <f t="shared" si="1"/>
        <v>9393.0000000000073</v>
      </c>
      <c r="F43" s="33">
        <f>IF(M43&lt;&gt;1,"",SUMIFS('IV history'!$K$7:$K$926,'IV history'!$A$7:$A$926,A43,'IV history'!$C$7:$C$926,$B$6,'IV history'!$D$7:$D$926,$B$7))</f>
        <v>0.38728894327852403</v>
      </c>
      <c r="G43" s="33">
        <f>IF(N43&lt;&gt;1,"",SUMIFS('IV history'!$K$7:$K$926,'IV history'!$A$7:$A$926,A43,'IV history'!$C$7:$C$926,$B$6,'IV history'!$D$7:$D$926,$B$8))</f>
        <v>0.39881475191189764</v>
      </c>
      <c r="H43" s="36">
        <f t="shared" si="2"/>
        <v>-1.1525808633373602</v>
      </c>
      <c r="I43" s="34" t="str">
        <f t="shared" si="3"/>
        <v>Screen passed</v>
      </c>
      <c r="J43" s="34" t="str">
        <f t="shared" si="4"/>
        <v>Screen passed</v>
      </c>
      <c r="K43" s="23">
        <f>IF($D$6&lt;&gt;"Ready","",COUNTIFS('IV history'!$A$7:$A$926,A43,'IV history'!$C$7:$C$926,$B$6,'IV history'!$D$7:$D$926,$B$7))</f>
        <v>1</v>
      </c>
      <c r="L43" s="23">
        <f>IF($D$6&lt;&gt;"Ready","",COUNTIFS('IV history'!$A$7:$A$926,A43,'IV history'!$C$7:$C$926,$B$6,'IV history'!$D$7:$D$926,$B$8))</f>
        <v>1</v>
      </c>
      <c r="M43" s="23">
        <f>IF(K43&lt;&gt;1,"",COUNTIFS('IV history'!$A$7:$A$926,A43,'IV history'!$C$7:$C$926,$B$6,'IV history'!$D$7:$D$926,$B$7,'IV history'!$K$7:$K$926,"&gt;0"))</f>
        <v>1</v>
      </c>
      <c r="N43" s="23">
        <f>IF(L43&lt;&gt;1,"",COUNTIFS('IV history'!$A$7:$A$926,A43,'IV history'!$C$7:$C$926,$B$6,'IV history'!$D$7:$D$926,$B$8,'IV history'!$K$7:$K$926,"&gt;0"))</f>
        <v>1</v>
      </c>
      <c r="S43" t="str">
        <f t="shared" si="5"/>
        <v>28-ago</v>
      </c>
      <c r="T43">
        <f t="shared" si="6"/>
        <v>93.930000000000064</v>
      </c>
      <c r="U43">
        <f t="shared" si="7"/>
        <v>0.38728894327852403</v>
      </c>
      <c r="V43">
        <f t="shared" si="8"/>
        <v>0.39881475191189764</v>
      </c>
    </row>
    <row r="44" spans="1:22" ht="30" customHeight="1">
      <c r="A44" s="31">
        <f>'Daily volatility'!A13</f>
        <v>46265</v>
      </c>
      <c r="B44" s="32">
        <f>IF(K44&lt;&gt;1,"",SUMIFS('IV history'!$E$7:$E$926,'IV history'!$A$7:$A$926,A44,'IV history'!$C$7:$C$926,$B$6,'IV history'!$D$7:$D$926,$B$7))</f>
        <v>661.02</v>
      </c>
      <c r="C44" s="32">
        <f>IF(L44&lt;&gt;1,"",SUMIFS('IV history'!$E$7:$E$926,'IV history'!$A$7:$A$926,A44,'IV history'!$C$7:$C$926,$B$6,'IV history'!$D$7:$D$926,$B$8))</f>
        <v>552.70000000000005</v>
      </c>
      <c r="D44" s="32">
        <f t="shared" si="0"/>
        <v>108.31999999999994</v>
      </c>
      <c r="E44" s="32">
        <f t="shared" si="1"/>
        <v>10831.999999999993</v>
      </c>
      <c r="F44" s="33">
        <f>IF(M44&lt;&gt;1,"",SUMIFS('IV history'!$K$7:$K$926,'IV history'!$A$7:$A$926,A44,'IV history'!$C$7:$C$926,$B$6,'IV history'!$D$7:$D$926,$B$7))</f>
        <v>0.39913219267692046</v>
      </c>
      <c r="G44" s="33">
        <f>IF(N44&lt;&gt;1,"",SUMIFS('IV history'!$K$7:$K$926,'IV history'!$A$7:$A$926,A44,'IV history'!$C$7:$C$926,$B$6,'IV history'!$D$7:$D$926,$B$8))</f>
        <v>0.41152442554611501</v>
      </c>
      <c r="H44" s="36">
        <f t="shared" si="2"/>
        <v>-1.2392232869194553</v>
      </c>
      <c r="I44" s="34" t="str">
        <f t="shared" si="3"/>
        <v>Screen passed</v>
      </c>
      <c r="J44" s="34" t="str">
        <f t="shared" si="4"/>
        <v>Screen passed</v>
      </c>
      <c r="K44" s="23">
        <f>IF($D$6&lt;&gt;"Ready","",COUNTIFS('IV history'!$A$7:$A$926,A44,'IV history'!$C$7:$C$926,$B$6,'IV history'!$D$7:$D$926,$B$7))</f>
        <v>1</v>
      </c>
      <c r="L44" s="23">
        <f>IF($D$6&lt;&gt;"Ready","",COUNTIFS('IV history'!$A$7:$A$926,A44,'IV history'!$C$7:$C$926,$B$6,'IV history'!$D$7:$D$926,$B$8))</f>
        <v>1</v>
      </c>
      <c r="M44" s="23">
        <f>IF(K44&lt;&gt;1,"",COUNTIFS('IV history'!$A$7:$A$926,A44,'IV history'!$C$7:$C$926,$B$6,'IV history'!$D$7:$D$926,$B$7,'IV history'!$K$7:$K$926,"&gt;0"))</f>
        <v>1</v>
      </c>
      <c r="N44" s="23">
        <f>IF(L44&lt;&gt;1,"",COUNTIFS('IV history'!$A$7:$A$926,A44,'IV history'!$C$7:$C$926,$B$6,'IV history'!$D$7:$D$926,$B$8,'IV history'!$K$7:$K$926,"&gt;0"))</f>
        <v>1</v>
      </c>
      <c r="S44" t="str">
        <f t="shared" si="5"/>
        <v>31-ago</v>
      </c>
      <c r="T44">
        <f t="shared" si="6"/>
        <v>108.31999999999994</v>
      </c>
      <c r="U44">
        <f t="shared" si="7"/>
        <v>0.39913219267692046</v>
      </c>
      <c r="V44">
        <f t="shared" si="8"/>
        <v>0.41152442554611501</v>
      </c>
    </row>
    <row r="45" spans="1:22" ht="30" customHeight="1">
      <c r="A45" s="31">
        <f>'Daily volatility'!A14</f>
        <v>46266</v>
      </c>
      <c r="B45" s="32">
        <f>IF(K45&lt;&gt;1,"",SUMIFS('IV history'!$E$7:$E$926,'IV history'!$A$7:$A$926,A45,'IV history'!$C$7:$C$926,$B$6,'IV history'!$D$7:$D$926,$B$7))</f>
        <v>688.81</v>
      </c>
      <c r="C45" s="32">
        <f>IF(L45&lt;&gt;1,"",SUMIFS('IV history'!$E$7:$E$926,'IV history'!$A$7:$A$926,A45,'IV history'!$C$7:$C$926,$B$6,'IV history'!$D$7:$D$926,$B$8))</f>
        <v>562.73</v>
      </c>
      <c r="D45" s="32">
        <f t="shared" si="0"/>
        <v>126.07999999999993</v>
      </c>
      <c r="E45" s="32">
        <f t="shared" si="1"/>
        <v>12607.999999999993</v>
      </c>
      <c r="F45" s="33">
        <f>IF(M45&lt;&gt;1,"",SUMIFS('IV history'!$K$7:$K$926,'IV history'!$A$7:$A$926,A45,'IV history'!$C$7:$C$926,$B$6,'IV history'!$D$7:$D$926,$B$7))</f>
        <v>0.40242664449422882</v>
      </c>
      <c r="G45" s="33">
        <f>IF(N45&lt;&gt;1,"",SUMIFS('IV history'!$K$7:$K$926,'IV history'!$A$7:$A$926,A45,'IV history'!$C$7:$C$926,$B$6,'IV history'!$D$7:$D$926,$B$8))</f>
        <v>0.39901259711553155</v>
      </c>
      <c r="H45" s="36">
        <f t="shared" si="2"/>
        <v>0.34140473786972714</v>
      </c>
      <c r="I45" s="34" t="str">
        <f t="shared" si="3"/>
        <v>Screen passed</v>
      </c>
      <c r="J45" s="34" t="str">
        <f t="shared" si="4"/>
        <v>Screen passed</v>
      </c>
      <c r="K45" s="23">
        <f>IF($D$6&lt;&gt;"Ready","",COUNTIFS('IV history'!$A$7:$A$926,A45,'IV history'!$C$7:$C$926,$B$6,'IV history'!$D$7:$D$926,$B$7))</f>
        <v>1</v>
      </c>
      <c r="L45" s="23">
        <f>IF($D$6&lt;&gt;"Ready","",COUNTIFS('IV history'!$A$7:$A$926,A45,'IV history'!$C$7:$C$926,$B$6,'IV history'!$D$7:$D$926,$B$8))</f>
        <v>1</v>
      </c>
      <c r="M45" s="23">
        <f>IF(K45&lt;&gt;1,"",COUNTIFS('IV history'!$A$7:$A$926,A45,'IV history'!$C$7:$C$926,$B$6,'IV history'!$D$7:$D$926,$B$7,'IV history'!$K$7:$K$926,"&gt;0"))</f>
        <v>1</v>
      </c>
      <c r="N45" s="23">
        <f>IF(L45&lt;&gt;1,"",COUNTIFS('IV history'!$A$7:$A$926,A45,'IV history'!$C$7:$C$926,$B$6,'IV history'!$D$7:$D$926,$B$8,'IV history'!$K$7:$K$926,"&gt;0"))</f>
        <v>1</v>
      </c>
      <c r="S45" t="str">
        <f t="shared" si="5"/>
        <v>01-sep</v>
      </c>
      <c r="T45">
        <f t="shared" si="6"/>
        <v>126.07999999999993</v>
      </c>
      <c r="U45">
        <f t="shared" si="7"/>
        <v>0.40242664449422882</v>
      </c>
      <c r="V45">
        <f t="shared" si="8"/>
        <v>0.39901259711553155</v>
      </c>
    </row>
    <row r="46" spans="1:22" ht="30" customHeight="1">
      <c r="A46" s="31">
        <f>'Daily volatility'!A15</f>
        <v>46267</v>
      </c>
      <c r="B46" s="32">
        <f>IF(K46&lt;&gt;1,"",SUMIFS('IV history'!$E$7:$E$926,'IV history'!$A$7:$A$926,A46,'IV history'!$C$7:$C$926,$B$6,'IV history'!$D$7:$D$926,$B$7))</f>
        <v>745.47</v>
      </c>
      <c r="C46" s="32">
        <f>IF(L46&lt;&gt;1,"",SUMIFS('IV history'!$E$7:$E$926,'IV history'!$A$7:$A$926,A46,'IV history'!$C$7:$C$926,$B$6,'IV history'!$D$7:$D$926,$B$8))</f>
        <v>617.88</v>
      </c>
      <c r="D46" s="32">
        <f t="shared" si="0"/>
        <v>127.59000000000003</v>
      </c>
      <c r="E46" s="32">
        <f t="shared" si="1"/>
        <v>12759.000000000004</v>
      </c>
      <c r="F46" s="33">
        <f>IF(M46&lt;&gt;1,"",SUMIFS('IV history'!$K$7:$K$926,'IV history'!$A$7:$A$926,A46,'IV history'!$C$7:$C$926,$B$6,'IV history'!$D$7:$D$926,$B$7))</f>
        <v>0.37924934362292517</v>
      </c>
      <c r="G46" s="33">
        <f>IF(N46&lt;&gt;1,"",SUMIFS('IV history'!$K$7:$K$926,'IV history'!$A$7:$A$926,A46,'IV history'!$C$7:$C$926,$B$6,'IV history'!$D$7:$D$926,$B$8))</f>
        <v>0.38588835412865985</v>
      </c>
      <c r="H46" s="36">
        <f t="shared" si="2"/>
        <v>-0.66390105057346771</v>
      </c>
      <c r="I46" s="34" t="str">
        <f t="shared" si="3"/>
        <v>Screen passed</v>
      </c>
      <c r="J46" s="34" t="str">
        <f t="shared" si="4"/>
        <v>Screen passed</v>
      </c>
      <c r="K46" s="23">
        <f>IF($D$6&lt;&gt;"Ready","",COUNTIFS('IV history'!$A$7:$A$926,A46,'IV history'!$C$7:$C$926,$B$6,'IV history'!$D$7:$D$926,$B$7))</f>
        <v>1</v>
      </c>
      <c r="L46" s="23">
        <f>IF($D$6&lt;&gt;"Ready","",COUNTIFS('IV history'!$A$7:$A$926,A46,'IV history'!$C$7:$C$926,$B$6,'IV history'!$D$7:$D$926,$B$8))</f>
        <v>1</v>
      </c>
      <c r="M46" s="23">
        <f>IF(K46&lt;&gt;1,"",COUNTIFS('IV history'!$A$7:$A$926,A46,'IV history'!$C$7:$C$926,$B$6,'IV history'!$D$7:$D$926,$B$7,'IV history'!$K$7:$K$926,"&gt;0"))</f>
        <v>1</v>
      </c>
      <c r="N46" s="23">
        <f>IF(L46&lt;&gt;1,"",COUNTIFS('IV history'!$A$7:$A$926,A46,'IV history'!$C$7:$C$926,$B$6,'IV history'!$D$7:$D$926,$B$8,'IV history'!$K$7:$K$926,"&gt;0"))</f>
        <v>1</v>
      </c>
      <c r="S46" t="str">
        <f t="shared" si="5"/>
        <v>02-sep</v>
      </c>
      <c r="T46">
        <f t="shared" si="6"/>
        <v>127.59000000000003</v>
      </c>
      <c r="U46">
        <f t="shared" si="7"/>
        <v>0.37924934362292517</v>
      </c>
      <c r="V46">
        <f t="shared" si="8"/>
        <v>0.38588835412865985</v>
      </c>
    </row>
    <row r="47" spans="1:22" ht="30" customHeight="1">
      <c r="A47" s="31">
        <f>'Daily volatility'!A16</f>
        <v>46268</v>
      </c>
      <c r="B47" s="32">
        <f>IF(K47&lt;&gt;1,"",SUMIFS('IV history'!$E$7:$E$926,'IV history'!$A$7:$A$926,A47,'IV history'!$C$7:$C$926,$B$6,'IV history'!$D$7:$D$926,$B$7))</f>
        <v>665.11</v>
      </c>
      <c r="C47" s="32">
        <f>IF(L47&lt;&gt;1,"",SUMIFS('IV history'!$E$7:$E$926,'IV history'!$A$7:$A$926,A47,'IV history'!$C$7:$C$926,$B$6,'IV history'!$D$7:$D$926,$B$8))</f>
        <v>547.83000000000004</v>
      </c>
      <c r="D47" s="32">
        <f t="shared" si="0"/>
        <v>117.27999999999997</v>
      </c>
      <c r="E47" s="32">
        <f t="shared" si="1"/>
        <v>11727.999999999996</v>
      </c>
      <c r="F47" s="33">
        <f>IF(M47&lt;&gt;1,"",SUMIFS('IV history'!$K$7:$K$926,'IV history'!$A$7:$A$926,A47,'IV history'!$C$7:$C$926,$B$6,'IV history'!$D$7:$D$926,$B$7))</f>
        <v>0.37750234133137006</v>
      </c>
      <c r="G47" s="33">
        <f>IF(N47&lt;&gt;1,"",SUMIFS('IV history'!$K$7:$K$926,'IV history'!$A$7:$A$926,A47,'IV history'!$C$7:$C$926,$B$6,'IV history'!$D$7:$D$926,$B$8))</f>
        <v>0.38797270586248733</v>
      </c>
      <c r="H47" s="36">
        <f t="shared" si="2"/>
        <v>-1.0470364531117271</v>
      </c>
      <c r="I47" s="34" t="str">
        <f t="shared" si="3"/>
        <v>Screen passed</v>
      </c>
      <c r="J47" s="34" t="str">
        <f t="shared" si="4"/>
        <v>Screen passed</v>
      </c>
      <c r="K47" s="23">
        <f>IF($D$6&lt;&gt;"Ready","",COUNTIFS('IV history'!$A$7:$A$926,A47,'IV history'!$C$7:$C$926,$B$6,'IV history'!$D$7:$D$926,$B$7))</f>
        <v>1</v>
      </c>
      <c r="L47" s="23">
        <f>IF($D$6&lt;&gt;"Ready","",COUNTIFS('IV history'!$A$7:$A$926,A47,'IV history'!$C$7:$C$926,$B$6,'IV history'!$D$7:$D$926,$B$8))</f>
        <v>1</v>
      </c>
      <c r="M47" s="23">
        <f>IF(K47&lt;&gt;1,"",COUNTIFS('IV history'!$A$7:$A$926,A47,'IV history'!$C$7:$C$926,$B$6,'IV history'!$D$7:$D$926,$B$7,'IV history'!$K$7:$K$926,"&gt;0"))</f>
        <v>1</v>
      </c>
      <c r="N47" s="23">
        <f>IF(L47&lt;&gt;1,"",COUNTIFS('IV history'!$A$7:$A$926,A47,'IV history'!$C$7:$C$926,$B$6,'IV history'!$D$7:$D$926,$B$8,'IV history'!$K$7:$K$926,"&gt;0"))</f>
        <v>1</v>
      </c>
      <c r="S47" t="str">
        <f t="shared" si="5"/>
        <v>03-sep</v>
      </c>
      <c r="T47">
        <f t="shared" si="6"/>
        <v>117.27999999999997</v>
      </c>
      <c r="U47">
        <f t="shared" si="7"/>
        <v>0.37750234133137006</v>
      </c>
      <c r="V47">
        <f t="shared" si="8"/>
        <v>0.38797270586248733</v>
      </c>
    </row>
    <row r="48" spans="1:22" ht="30" customHeight="1">
      <c r="A48" s="31">
        <f>'Daily volatility'!A17</f>
        <v>46269</v>
      </c>
      <c r="B48" s="32">
        <f>IF(K48&lt;&gt;1,"",SUMIFS('IV history'!$E$7:$E$926,'IV history'!$A$7:$A$926,A48,'IV history'!$C$7:$C$926,$B$6,'IV history'!$D$7:$D$926,$B$7))</f>
        <v>616.63</v>
      </c>
      <c r="C48" s="32">
        <f>IF(L48&lt;&gt;1,"",SUMIFS('IV history'!$E$7:$E$926,'IV history'!$A$7:$A$926,A48,'IV history'!$C$7:$C$926,$B$6,'IV history'!$D$7:$D$926,$B$8))</f>
        <v>501.55</v>
      </c>
      <c r="D48" s="32">
        <f t="shared" si="0"/>
        <v>115.07999999999998</v>
      </c>
      <c r="E48" s="32">
        <f t="shared" si="1"/>
        <v>11507.999999999998</v>
      </c>
      <c r="F48" s="33">
        <f>IF(M48&lt;&gt;1,"",SUMIFS('IV history'!$K$7:$K$926,'IV history'!$A$7:$A$926,A48,'IV history'!$C$7:$C$926,$B$6,'IV history'!$D$7:$D$926,$B$7))</f>
        <v>0.38941375254594834</v>
      </c>
      <c r="G48" s="33">
        <f>IF(N48&lt;&gt;1,"",SUMIFS('IV history'!$K$7:$K$926,'IV history'!$A$7:$A$926,A48,'IV history'!$C$7:$C$926,$B$6,'IV history'!$D$7:$D$926,$B$8))</f>
        <v>0.39497486160441941</v>
      </c>
      <c r="H48" s="36">
        <f t="shared" si="2"/>
        <v>-0.55611090584710698</v>
      </c>
      <c r="I48" s="34" t="str">
        <f t="shared" si="3"/>
        <v>Screen passed</v>
      </c>
      <c r="J48" s="34" t="str">
        <f t="shared" si="4"/>
        <v>Screen passed</v>
      </c>
      <c r="K48" s="23">
        <f>IF($D$6&lt;&gt;"Ready","",COUNTIFS('IV history'!$A$7:$A$926,A48,'IV history'!$C$7:$C$926,$B$6,'IV history'!$D$7:$D$926,$B$7))</f>
        <v>1</v>
      </c>
      <c r="L48" s="23">
        <f>IF($D$6&lt;&gt;"Ready","",COUNTIFS('IV history'!$A$7:$A$926,A48,'IV history'!$C$7:$C$926,$B$6,'IV history'!$D$7:$D$926,$B$8))</f>
        <v>1</v>
      </c>
      <c r="M48" s="23">
        <f>IF(K48&lt;&gt;1,"",COUNTIFS('IV history'!$A$7:$A$926,A48,'IV history'!$C$7:$C$926,$B$6,'IV history'!$D$7:$D$926,$B$7,'IV history'!$K$7:$K$926,"&gt;0"))</f>
        <v>1</v>
      </c>
      <c r="N48" s="23">
        <f>IF(L48&lt;&gt;1,"",COUNTIFS('IV history'!$A$7:$A$926,A48,'IV history'!$C$7:$C$926,$B$6,'IV history'!$D$7:$D$926,$B$8,'IV history'!$K$7:$K$926,"&gt;0"))</f>
        <v>1</v>
      </c>
      <c r="S48" t="str">
        <f t="shared" si="5"/>
        <v>04-sep</v>
      </c>
      <c r="T48">
        <f t="shared" si="6"/>
        <v>115.07999999999998</v>
      </c>
      <c r="U48">
        <f t="shared" si="7"/>
        <v>0.38941375254594834</v>
      </c>
      <c r="V48">
        <f t="shared" si="8"/>
        <v>0.39497486160441941</v>
      </c>
    </row>
    <row r="49" spans="1:22" ht="30" customHeight="1">
      <c r="A49" s="31">
        <f>'Daily volatility'!A18</f>
        <v>46272</v>
      </c>
      <c r="B49" s="32">
        <f>IF(K49&lt;&gt;1,"",SUMIFS('IV history'!$E$7:$E$926,'IV history'!$A$7:$A$926,A49,'IV history'!$C$7:$C$926,$B$6,'IV history'!$D$7:$D$926,$B$7))</f>
        <v>567</v>
      </c>
      <c r="C49" s="32">
        <f>IF(L49&lt;&gt;1,"",SUMIFS('IV history'!$E$7:$E$926,'IV history'!$A$7:$A$926,A49,'IV history'!$C$7:$C$926,$B$6,'IV history'!$D$7:$D$926,$B$8))</f>
        <v>460.71</v>
      </c>
      <c r="D49" s="32">
        <f t="shared" si="0"/>
        <v>106.29000000000002</v>
      </c>
      <c r="E49" s="32">
        <f t="shared" si="1"/>
        <v>10629.000000000002</v>
      </c>
      <c r="F49" s="33">
        <f>IF(M49&lt;&gt;1,"",SUMIFS('IV history'!$K$7:$K$926,'IV history'!$A$7:$A$926,A49,'IV history'!$C$7:$C$926,$B$6,'IV history'!$D$7:$D$926,$B$7))</f>
        <v>0.41557605139653075</v>
      </c>
      <c r="G49" s="33">
        <f>IF(N49&lt;&gt;1,"",SUMIFS('IV history'!$K$7:$K$926,'IV history'!$A$7:$A$926,A49,'IV history'!$C$7:$C$926,$B$6,'IV history'!$D$7:$D$926,$B$8))</f>
        <v>0.42273407148583275</v>
      </c>
      <c r="H49" s="36">
        <f t="shared" si="2"/>
        <v>-0.71580200893019974</v>
      </c>
      <c r="I49" s="34" t="str">
        <f t="shared" si="3"/>
        <v>Screen passed</v>
      </c>
      <c r="J49" s="34" t="str">
        <f t="shared" si="4"/>
        <v>Screen passed</v>
      </c>
      <c r="K49" s="23">
        <f>IF($D$6&lt;&gt;"Ready","",COUNTIFS('IV history'!$A$7:$A$926,A49,'IV history'!$C$7:$C$926,$B$6,'IV history'!$D$7:$D$926,$B$7))</f>
        <v>1</v>
      </c>
      <c r="L49" s="23">
        <f>IF($D$6&lt;&gt;"Ready","",COUNTIFS('IV history'!$A$7:$A$926,A49,'IV history'!$C$7:$C$926,$B$6,'IV history'!$D$7:$D$926,$B$8))</f>
        <v>1</v>
      </c>
      <c r="M49" s="23">
        <f>IF(K49&lt;&gt;1,"",COUNTIFS('IV history'!$A$7:$A$926,A49,'IV history'!$C$7:$C$926,$B$6,'IV history'!$D$7:$D$926,$B$7,'IV history'!$K$7:$K$926,"&gt;0"))</f>
        <v>1</v>
      </c>
      <c r="N49" s="23">
        <f>IF(L49&lt;&gt;1,"",COUNTIFS('IV history'!$A$7:$A$926,A49,'IV history'!$C$7:$C$926,$B$6,'IV history'!$D$7:$D$926,$B$8,'IV history'!$K$7:$K$926,"&gt;0"))</f>
        <v>1</v>
      </c>
      <c r="S49" t="str">
        <f t="shared" si="5"/>
        <v>07-sep</v>
      </c>
      <c r="T49">
        <f t="shared" si="6"/>
        <v>106.29000000000002</v>
      </c>
      <c r="U49">
        <f t="shared" si="7"/>
        <v>0.41557605139653075</v>
      </c>
      <c r="V49">
        <f t="shared" si="8"/>
        <v>0.42273407148583275</v>
      </c>
    </row>
    <row r="50" spans="1:22" ht="30" customHeight="1">
      <c r="A50" s="31">
        <f>'Daily volatility'!A19</f>
        <v>46273</v>
      </c>
      <c r="B50" s="32">
        <f>IF(K50&lt;&gt;1,"",SUMIFS('IV history'!$E$7:$E$926,'IV history'!$A$7:$A$926,A50,'IV history'!$C$7:$C$926,$B$6,'IV history'!$D$7:$D$926,$B$7))</f>
        <v>595.26</v>
      </c>
      <c r="C50" s="32">
        <f>IF(L50&lt;&gt;1,"",SUMIFS('IV history'!$E$7:$E$926,'IV history'!$A$7:$A$926,A50,'IV history'!$C$7:$C$926,$B$6,'IV history'!$D$7:$D$926,$B$8))</f>
        <v>485.45</v>
      </c>
      <c r="D50" s="32">
        <f t="shared" si="0"/>
        <v>109.81</v>
      </c>
      <c r="E50" s="32">
        <f t="shared" si="1"/>
        <v>10981</v>
      </c>
      <c r="F50" s="33">
        <f>IF(M50&lt;&gt;1,"",SUMIFS('IV history'!$K$7:$K$926,'IV history'!$A$7:$A$926,A50,'IV history'!$C$7:$C$926,$B$6,'IV history'!$D$7:$D$926,$B$7))</f>
        <v>0.39118078488655805</v>
      </c>
      <c r="G50" s="33">
        <f>IF(N50&lt;&gt;1,"",SUMIFS('IV history'!$K$7:$K$926,'IV history'!$A$7:$A$926,A50,'IV history'!$C$7:$C$926,$B$6,'IV history'!$D$7:$D$926,$B$8))</f>
        <v>0.4041019936917703</v>
      </c>
      <c r="H50" s="36">
        <f t="shared" si="2"/>
        <v>-1.2921208805212248</v>
      </c>
      <c r="I50" s="34" t="str">
        <f t="shared" si="3"/>
        <v>Screen passed</v>
      </c>
      <c r="J50" s="34" t="str">
        <f t="shared" si="4"/>
        <v>Screen passed</v>
      </c>
      <c r="K50" s="23">
        <f>IF($D$6&lt;&gt;"Ready","",COUNTIFS('IV history'!$A$7:$A$926,A50,'IV history'!$C$7:$C$926,$B$6,'IV history'!$D$7:$D$926,$B$7))</f>
        <v>1</v>
      </c>
      <c r="L50" s="23">
        <f>IF($D$6&lt;&gt;"Ready","",COUNTIFS('IV history'!$A$7:$A$926,A50,'IV history'!$C$7:$C$926,$B$6,'IV history'!$D$7:$D$926,$B$8))</f>
        <v>1</v>
      </c>
      <c r="M50" s="23">
        <f>IF(K50&lt;&gt;1,"",COUNTIFS('IV history'!$A$7:$A$926,A50,'IV history'!$C$7:$C$926,$B$6,'IV history'!$D$7:$D$926,$B$7,'IV history'!$K$7:$K$926,"&gt;0"))</f>
        <v>1</v>
      </c>
      <c r="N50" s="23">
        <f>IF(L50&lt;&gt;1,"",COUNTIFS('IV history'!$A$7:$A$926,A50,'IV history'!$C$7:$C$926,$B$6,'IV history'!$D$7:$D$926,$B$8,'IV history'!$K$7:$K$926,"&gt;0"))</f>
        <v>1</v>
      </c>
      <c r="S50" t="str">
        <f t="shared" si="5"/>
        <v>08-sep</v>
      </c>
      <c r="T50">
        <f t="shared" si="6"/>
        <v>109.81</v>
      </c>
      <c r="U50">
        <f t="shared" si="7"/>
        <v>0.39118078488655805</v>
      </c>
      <c r="V50">
        <f t="shared" si="8"/>
        <v>0.4041019936917703</v>
      </c>
    </row>
    <row r="51" spans="1:22" ht="30" customHeight="1">
      <c r="A51" s="31">
        <f>'Daily volatility'!A20</f>
        <v>46274</v>
      </c>
      <c r="B51" s="32">
        <f>IF(K51&lt;&gt;1,"",SUMIFS('IV history'!$E$7:$E$926,'IV history'!$A$7:$A$926,A51,'IV history'!$C$7:$C$926,$B$6,'IV history'!$D$7:$D$926,$B$7))</f>
        <v>630.86</v>
      </c>
      <c r="C51" s="32">
        <f>IF(L51&lt;&gt;1,"",SUMIFS('IV history'!$E$7:$E$926,'IV history'!$A$7:$A$926,A51,'IV history'!$C$7:$C$926,$B$6,'IV history'!$D$7:$D$926,$B$8))</f>
        <v>521.42999999999995</v>
      </c>
      <c r="D51" s="32">
        <f t="shared" si="0"/>
        <v>109.43000000000006</v>
      </c>
      <c r="E51" s="32">
        <f t="shared" si="1"/>
        <v>10943.000000000007</v>
      </c>
      <c r="F51" s="33">
        <f>IF(M51&lt;&gt;1,"",SUMIFS('IV history'!$K$7:$K$926,'IV history'!$A$7:$A$926,A51,'IV history'!$C$7:$C$926,$B$6,'IV history'!$D$7:$D$926,$B$7))</f>
        <v>0.38094547938513457</v>
      </c>
      <c r="G51" s="33">
        <f>IF(N51&lt;&gt;1,"",SUMIFS('IV history'!$K$7:$K$926,'IV history'!$A$7:$A$926,A51,'IV history'!$C$7:$C$926,$B$6,'IV history'!$D$7:$D$926,$B$8))</f>
        <v>0.40296012389449731</v>
      </c>
      <c r="H51" s="36">
        <f t="shared" si="2"/>
        <v>-2.2014644509362746</v>
      </c>
      <c r="I51" s="34" t="str">
        <f t="shared" si="3"/>
        <v>Screen passed</v>
      </c>
      <c r="J51" s="34" t="str">
        <f t="shared" si="4"/>
        <v>Screen passed</v>
      </c>
      <c r="K51" s="23">
        <f>IF($D$6&lt;&gt;"Ready","",COUNTIFS('IV history'!$A$7:$A$926,A51,'IV history'!$C$7:$C$926,$B$6,'IV history'!$D$7:$D$926,$B$7))</f>
        <v>1</v>
      </c>
      <c r="L51" s="23">
        <f>IF($D$6&lt;&gt;"Ready","",COUNTIFS('IV history'!$A$7:$A$926,A51,'IV history'!$C$7:$C$926,$B$6,'IV history'!$D$7:$D$926,$B$8))</f>
        <v>1</v>
      </c>
      <c r="M51" s="23">
        <f>IF(K51&lt;&gt;1,"",COUNTIFS('IV history'!$A$7:$A$926,A51,'IV history'!$C$7:$C$926,$B$6,'IV history'!$D$7:$D$926,$B$7,'IV history'!$K$7:$K$926,"&gt;0"))</f>
        <v>1</v>
      </c>
      <c r="N51" s="23">
        <f>IF(L51&lt;&gt;1,"",COUNTIFS('IV history'!$A$7:$A$926,A51,'IV history'!$C$7:$C$926,$B$6,'IV history'!$D$7:$D$926,$B$8,'IV history'!$K$7:$K$926,"&gt;0"))</f>
        <v>1</v>
      </c>
      <c r="S51" t="str">
        <f t="shared" si="5"/>
        <v>09-sep</v>
      </c>
      <c r="T51">
        <f t="shared" si="6"/>
        <v>109.43000000000006</v>
      </c>
      <c r="U51">
        <f t="shared" si="7"/>
        <v>0.38094547938513457</v>
      </c>
      <c r="V51">
        <f t="shared" si="8"/>
        <v>0.40296012389449731</v>
      </c>
    </row>
    <row r="52" spans="1:22" ht="30" customHeight="1">
      <c r="A52" s="31">
        <f>'Daily volatility'!A21</f>
        <v>46275</v>
      </c>
      <c r="B52" s="32">
        <f>IF(K52&lt;&gt;1,"",SUMIFS('IV history'!$E$7:$E$926,'IV history'!$A$7:$A$926,A52,'IV history'!$C$7:$C$926,$B$6,'IV history'!$D$7:$D$926,$B$7))</f>
        <v>648.79</v>
      </c>
      <c r="C52" s="32">
        <f>IF(L52&lt;&gt;1,"",SUMIFS('IV history'!$E$7:$E$926,'IV history'!$A$7:$A$926,A52,'IV history'!$C$7:$C$926,$B$6,'IV history'!$D$7:$D$926,$B$8))</f>
        <v>523.63</v>
      </c>
      <c r="D52" s="32">
        <f t="shared" si="0"/>
        <v>125.15999999999997</v>
      </c>
      <c r="E52" s="32">
        <f t="shared" si="1"/>
        <v>12515.999999999996</v>
      </c>
      <c r="F52" s="33">
        <f>IF(M52&lt;&gt;1,"",SUMIFS('IV history'!$K$7:$K$926,'IV history'!$A$7:$A$926,A52,'IV history'!$C$7:$C$926,$B$6,'IV history'!$D$7:$D$926,$B$7))</f>
        <v>0.35190308495038508</v>
      </c>
      <c r="G52" s="33">
        <f>IF(N52&lt;&gt;1,"",SUMIFS('IV history'!$K$7:$K$926,'IV history'!$A$7:$A$926,A52,'IV history'!$C$7:$C$926,$B$6,'IV history'!$D$7:$D$926,$B$8))</f>
        <v>0.36574869923644554</v>
      </c>
      <c r="H52" s="36">
        <f t="shared" si="2"/>
        <v>-1.3845614286060459</v>
      </c>
      <c r="I52" s="34" t="str">
        <f t="shared" si="3"/>
        <v>Screen passed</v>
      </c>
      <c r="J52" s="34" t="str">
        <f t="shared" si="4"/>
        <v>Screen passed</v>
      </c>
      <c r="K52" s="23">
        <f>IF($D$6&lt;&gt;"Ready","",COUNTIFS('IV history'!$A$7:$A$926,A52,'IV history'!$C$7:$C$926,$B$6,'IV history'!$D$7:$D$926,$B$7))</f>
        <v>1</v>
      </c>
      <c r="L52" s="23">
        <f>IF($D$6&lt;&gt;"Ready","",COUNTIFS('IV history'!$A$7:$A$926,A52,'IV history'!$C$7:$C$926,$B$6,'IV history'!$D$7:$D$926,$B$8))</f>
        <v>1</v>
      </c>
      <c r="M52" s="23">
        <f>IF(K52&lt;&gt;1,"",COUNTIFS('IV history'!$A$7:$A$926,A52,'IV history'!$C$7:$C$926,$B$6,'IV history'!$D$7:$D$926,$B$7,'IV history'!$K$7:$K$926,"&gt;0"))</f>
        <v>1</v>
      </c>
      <c r="N52" s="23">
        <f>IF(L52&lt;&gt;1,"",COUNTIFS('IV history'!$A$7:$A$926,A52,'IV history'!$C$7:$C$926,$B$6,'IV history'!$D$7:$D$926,$B$8,'IV history'!$K$7:$K$926,"&gt;0"))</f>
        <v>1</v>
      </c>
      <c r="S52" t="str">
        <f t="shared" si="5"/>
        <v>10-sep</v>
      </c>
      <c r="T52">
        <f t="shared" si="6"/>
        <v>125.15999999999997</v>
      </c>
      <c r="U52">
        <f t="shared" si="7"/>
        <v>0.35190308495038508</v>
      </c>
      <c r="V52">
        <f t="shared" si="8"/>
        <v>0.36574869923644554</v>
      </c>
    </row>
    <row r="53" spans="1:22" ht="30" customHeight="1">
      <c r="A53" s="31">
        <f>'Daily volatility'!A22</f>
        <v>46276</v>
      </c>
      <c r="B53" s="32">
        <f>IF(K53&lt;&gt;1,"",SUMIFS('IV history'!$E$7:$E$926,'IV history'!$A$7:$A$926,A53,'IV history'!$C$7:$C$926,$B$6,'IV history'!$D$7:$D$926,$B$7))</f>
        <v>544.29</v>
      </c>
      <c r="C53" s="32">
        <f>IF(L53&lt;&gt;1,"",SUMIFS('IV history'!$E$7:$E$926,'IV history'!$A$7:$A$926,A53,'IV history'!$C$7:$C$926,$B$6,'IV history'!$D$7:$D$926,$B$8))</f>
        <v>438.34</v>
      </c>
      <c r="D53" s="32">
        <f t="shared" si="0"/>
        <v>105.94999999999999</v>
      </c>
      <c r="E53" s="32">
        <f t="shared" si="1"/>
        <v>10594.999999999998</v>
      </c>
      <c r="F53" s="33">
        <f>IF(M53&lt;&gt;1,"",SUMIFS('IV history'!$K$7:$K$926,'IV history'!$A$7:$A$926,A53,'IV history'!$C$7:$C$926,$B$6,'IV history'!$D$7:$D$926,$B$7))</f>
        <v>0.36789325135729611</v>
      </c>
      <c r="G53" s="33">
        <f>IF(N53&lt;&gt;1,"",SUMIFS('IV history'!$K$7:$K$926,'IV history'!$A$7:$A$926,A53,'IV history'!$C$7:$C$926,$B$6,'IV history'!$D$7:$D$926,$B$8))</f>
        <v>0.38691220729691345</v>
      </c>
      <c r="H53" s="36">
        <f t="shared" si="2"/>
        <v>-1.9018955939617332</v>
      </c>
      <c r="I53" s="34" t="str">
        <f t="shared" si="3"/>
        <v>Screen passed</v>
      </c>
      <c r="J53" s="34" t="str">
        <f t="shared" si="4"/>
        <v>Screen passed</v>
      </c>
      <c r="K53" s="23">
        <f>IF($D$6&lt;&gt;"Ready","",COUNTIFS('IV history'!$A$7:$A$926,A53,'IV history'!$C$7:$C$926,$B$6,'IV history'!$D$7:$D$926,$B$7))</f>
        <v>1</v>
      </c>
      <c r="L53" s="23">
        <f>IF($D$6&lt;&gt;"Ready","",COUNTIFS('IV history'!$A$7:$A$926,A53,'IV history'!$C$7:$C$926,$B$6,'IV history'!$D$7:$D$926,$B$8))</f>
        <v>1</v>
      </c>
      <c r="M53" s="23">
        <f>IF(K53&lt;&gt;1,"",COUNTIFS('IV history'!$A$7:$A$926,A53,'IV history'!$C$7:$C$926,$B$6,'IV history'!$D$7:$D$926,$B$7,'IV history'!$K$7:$K$926,"&gt;0"))</f>
        <v>1</v>
      </c>
      <c r="N53" s="23">
        <f>IF(L53&lt;&gt;1,"",COUNTIFS('IV history'!$A$7:$A$926,A53,'IV history'!$C$7:$C$926,$B$6,'IV history'!$D$7:$D$926,$B$8,'IV history'!$K$7:$K$926,"&gt;0"))</f>
        <v>1</v>
      </c>
      <c r="S53" t="str">
        <f t="shared" si="5"/>
        <v>11-sep</v>
      </c>
      <c r="T53">
        <f t="shared" si="6"/>
        <v>105.94999999999999</v>
      </c>
      <c r="U53">
        <f t="shared" si="7"/>
        <v>0.36789325135729611</v>
      </c>
      <c r="V53">
        <f t="shared" si="8"/>
        <v>0.38691220729691345</v>
      </c>
    </row>
    <row r="54" spans="1:22" ht="30" customHeight="1">
      <c r="A54" s="31">
        <f>'Daily volatility'!A23</f>
        <v>46279</v>
      </c>
      <c r="B54" s="32">
        <f>IF(K54&lt;&gt;1,"",SUMIFS('IV history'!$E$7:$E$926,'IV history'!$A$7:$A$926,A54,'IV history'!$C$7:$C$926,$B$6,'IV history'!$D$7:$D$926,$B$7))</f>
        <v>449.91</v>
      </c>
      <c r="C54" s="32">
        <f>IF(L54&lt;&gt;1,"",SUMIFS('IV history'!$E$7:$E$926,'IV history'!$A$7:$A$926,A54,'IV history'!$C$7:$C$926,$B$6,'IV history'!$D$7:$D$926,$B$8))</f>
        <v>351.33</v>
      </c>
      <c r="D54" s="32">
        <f t="shared" si="0"/>
        <v>98.580000000000041</v>
      </c>
      <c r="E54" s="32">
        <f t="shared" si="1"/>
        <v>9858.0000000000036</v>
      </c>
      <c r="F54" s="33">
        <f>IF(M54&lt;&gt;1,"",SUMIFS('IV history'!$K$7:$K$926,'IV history'!$A$7:$A$926,A54,'IV history'!$C$7:$C$926,$B$6,'IV history'!$D$7:$D$926,$B$7))</f>
        <v>0.41583221466494913</v>
      </c>
      <c r="G54" s="33">
        <f>IF(N54&lt;&gt;1,"",SUMIFS('IV history'!$K$7:$K$926,'IV history'!$A$7:$A$926,A54,'IV history'!$C$7:$C$926,$B$6,'IV history'!$D$7:$D$926,$B$8))</f>
        <v>0.42220472883207549</v>
      </c>
      <c r="H54" s="36">
        <f t="shared" si="2"/>
        <v>-0.63725141671263641</v>
      </c>
      <c r="I54" s="34" t="str">
        <f t="shared" si="3"/>
        <v>Screen passed</v>
      </c>
      <c r="J54" s="34" t="str">
        <f t="shared" si="4"/>
        <v>Screen passed</v>
      </c>
      <c r="K54" s="23">
        <f>IF($D$6&lt;&gt;"Ready","",COUNTIFS('IV history'!$A$7:$A$926,A54,'IV history'!$C$7:$C$926,$B$6,'IV history'!$D$7:$D$926,$B$7))</f>
        <v>1</v>
      </c>
      <c r="L54" s="23">
        <f>IF($D$6&lt;&gt;"Ready","",COUNTIFS('IV history'!$A$7:$A$926,A54,'IV history'!$C$7:$C$926,$B$6,'IV history'!$D$7:$D$926,$B$8))</f>
        <v>1</v>
      </c>
      <c r="M54" s="23">
        <f>IF(K54&lt;&gt;1,"",COUNTIFS('IV history'!$A$7:$A$926,A54,'IV history'!$C$7:$C$926,$B$6,'IV history'!$D$7:$D$926,$B$7,'IV history'!$K$7:$K$926,"&gt;0"))</f>
        <v>1</v>
      </c>
      <c r="N54" s="23">
        <f>IF(L54&lt;&gt;1,"",COUNTIFS('IV history'!$A$7:$A$926,A54,'IV history'!$C$7:$C$926,$B$6,'IV history'!$D$7:$D$926,$B$8,'IV history'!$K$7:$K$926,"&gt;0"))</f>
        <v>1</v>
      </c>
      <c r="S54" t="str">
        <f t="shared" si="5"/>
        <v>14-sep</v>
      </c>
      <c r="T54">
        <f t="shared" si="6"/>
        <v>98.580000000000041</v>
      </c>
      <c r="U54">
        <f t="shared" si="7"/>
        <v>0.41583221466494913</v>
      </c>
      <c r="V54">
        <f t="shared" si="8"/>
        <v>0.42220472883207549</v>
      </c>
    </row>
    <row r="55" spans="1:22" ht="30" customHeight="1">
      <c r="A55" s="31">
        <f>'Daily volatility'!A24</f>
        <v>46280</v>
      </c>
      <c r="B55" s="32">
        <f>IF(K55&lt;&gt;1,"",SUMIFS('IV history'!$E$7:$E$926,'IV history'!$A$7:$A$926,A55,'IV history'!$C$7:$C$926,$B$6,'IV history'!$D$7:$D$926,$B$7))</f>
        <v>380.09</v>
      </c>
      <c r="C55" s="32">
        <f>IF(L55&lt;&gt;1,"",SUMIFS('IV history'!$E$7:$E$926,'IV history'!$A$7:$A$926,A55,'IV history'!$C$7:$C$926,$B$6,'IV history'!$D$7:$D$926,$B$8))</f>
        <v>277.07</v>
      </c>
      <c r="D55" s="32">
        <f t="shared" si="0"/>
        <v>103.01999999999998</v>
      </c>
      <c r="E55" s="32">
        <f t="shared" si="1"/>
        <v>10301.999999999998</v>
      </c>
      <c r="F55" s="33">
        <f>IF(M55&lt;&gt;1,"",SUMIFS('IV history'!$K$7:$K$926,'IV history'!$A$7:$A$926,A55,'IV history'!$C$7:$C$926,$B$6,'IV history'!$D$7:$D$926,$B$7))</f>
        <v>0.42515927661685099</v>
      </c>
      <c r="G55" s="33">
        <f>IF(N55&lt;&gt;1,"",SUMIFS('IV history'!$K$7:$K$926,'IV history'!$A$7:$A$926,A55,'IV history'!$C$7:$C$926,$B$6,'IV history'!$D$7:$D$926,$B$8))</f>
        <v>0.41177099701244996</v>
      </c>
      <c r="H55" s="36">
        <f t="shared" si="2"/>
        <v>1.3388279604401032</v>
      </c>
      <c r="I55" s="34" t="str">
        <f t="shared" si="3"/>
        <v>Screen passed</v>
      </c>
      <c r="J55" s="34" t="str">
        <f t="shared" si="4"/>
        <v>Screen passed</v>
      </c>
      <c r="K55" s="23">
        <f>IF($D$6&lt;&gt;"Ready","",COUNTIFS('IV history'!$A$7:$A$926,A55,'IV history'!$C$7:$C$926,$B$6,'IV history'!$D$7:$D$926,$B$7))</f>
        <v>1</v>
      </c>
      <c r="L55" s="23">
        <f>IF($D$6&lt;&gt;"Ready","",COUNTIFS('IV history'!$A$7:$A$926,A55,'IV history'!$C$7:$C$926,$B$6,'IV history'!$D$7:$D$926,$B$8))</f>
        <v>1</v>
      </c>
      <c r="M55" s="23">
        <f>IF(K55&lt;&gt;1,"",COUNTIFS('IV history'!$A$7:$A$926,A55,'IV history'!$C$7:$C$926,$B$6,'IV history'!$D$7:$D$926,$B$7,'IV history'!$K$7:$K$926,"&gt;0"))</f>
        <v>1</v>
      </c>
      <c r="N55" s="23">
        <f>IF(L55&lt;&gt;1,"",COUNTIFS('IV history'!$A$7:$A$926,A55,'IV history'!$C$7:$C$926,$B$6,'IV history'!$D$7:$D$926,$B$8,'IV history'!$K$7:$K$926,"&gt;0"))</f>
        <v>1</v>
      </c>
      <c r="S55" t="str">
        <f t="shared" si="5"/>
        <v>15-sep</v>
      </c>
      <c r="T55">
        <f t="shared" si="6"/>
        <v>103.01999999999998</v>
      </c>
      <c r="U55">
        <f t="shared" si="7"/>
        <v>0.42515927661685099</v>
      </c>
      <c r="V55">
        <f t="shared" si="8"/>
        <v>0.41177099701244996</v>
      </c>
    </row>
    <row r="56" spans="1:22" ht="30" customHeight="1">
      <c r="A56" s="31">
        <f>'Daily volatility'!A25</f>
        <v>46281</v>
      </c>
      <c r="B56" s="32">
        <f>IF(K56&lt;&gt;1,"",SUMIFS('IV history'!$E$7:$E$926,'IV history'!$A$7:$A$926,A56,'IV history'!$C$7:$C$926,$B$6,'IV history'!$D$7:$D$926,$B$7))</f>
        <v>376.43</v>
      </c>
      <c r="C56" s="32">
        <f>IF(L56&lt;&gt;1,"",SUMIFS('IV history'!$E$7:$E$926,'IV history'!$A$7:$A$926,A56,'IV history'!$C$7:$C$926,$B$6,'IV history'!$D$7:$D$926,$B$8))</f>
        <v>289.64999999999998</v>
      </c>
      <c r="D56" s="32">
        <f t="shared" si="0"/>
        <v>86.78000000000003</v>
      </c>
      <c r="E56" s="32">
        <f t="shared" si="1"/>
        <v>8678.0000000000036</v>
      </c>
      <c r="F56" s="33">
        <f>IF(M56&lt;&gt;1,"",SUMIFS('IV history'!$K$7:$K$926,'IV history'!$A$7:$A$926,A56,'IV history'!$C$7:$C$926,$B$6,'IV history'!$D$7:$D$926,$B$7))</f>
        <v>0.40439010230283473</v>
      </c>
      <c r="G56" s="33">
        <f>IF(N56&lt;&gt;1,"",SUMIFS('IV history'!$K$7:$K$926,'IV history'!$A$7:$A$926,A56,'IV history'!$C$7:$C$926,$B$6,'IV history'!$D$7:$D$926,$B$8))</f>
        <v>0.41615491438905555</v>
      </c>
      <c r="H56" s="36">
        <f t="shared" si="2"/>
        <v>-1.1764812086220822</v>
      </c>
      <c r="I56" s="34" t="str">
        <f t="shared" si="3"/>
        <v>Screen passed</v>
      </c>
      <c r="J56" s="34" t="str">
        <f t="shared" si="4"/>
        <v>Screen passed</v>
      </c>
      <c r="K56" s="23">
        <f>IF($D$6&lt;&gt;"Ready","",COUNTIFS('IV history'!$A$7:$A$926,A56,'IV history'!$C$7:$C$926,$B$6,'IV history'!$D$7:$D$926,$B$7))</f>
        <v>1</v>
      </c>
      <c r="L56" s="23">
        <f>IF($D$6&lt;&gt;"Ready","",COUNTIFS('IV history'!$A$7:$A$926,A56,'IV history'!$C$7:$C$926,$B$6,'IV history'!$D$7:$D$926,$B$8))</f>
        <v>1</v>
      </c>
      <c r="M56" s="23">
        <f>IF(K56&lt;&gt;1,"",COUNTIFS('IV history'!$A$7:$A$926,A56,'IV history'!$C$7:$C$926,$B$6,'IV history'!$D$7:$D$926,$B$7,'IV history'!$K$7:$K$926,"&gt;0"))</f>
        <v>1</v>
      </c>
      <c r="N56" s="23">
        <f>IF(L56&lt;&gt;1,"",COUNTIFS('IV history'!$A$7:$A$926,A56,'IV history'!$C$7:$C$926,$B$6,'IV history'!$D$7:$D$926,$B$8,'IV history'!$K$7:$K$926,"&gt;0"))</f>
        <v>1</v>
      </c>
      <c r="S56" t="str">
        <f t="shared" si="5"/>
        <v>16-sep</v>
      </c>
      <c r="T56">
        <f t="shared" si="6"/>
        <v>86.78000000000003</v>
      </c>
      <c r="U56">
        <f t="shared" si="7"/>
        <v>0.40439010230283473</v>
      </c>
      <c r="V56">
        <f t="shared" si="8"/>
        <v>0.41615491438905555</v>
      </c>
    </row>
    <row r="57" spans="1:22" ht="22.0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spans="1:22" ht="22.05" customHeight="1">
      <c r="A58" s="23" t="s">
        <v>1205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22" ht="22.05" customHeight="1">
      <c r="A59" s="23" t="s">
        <v>1206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</sheetData>
  <mergeCells count="3">
    <mergeCell ref="D12:N12"/>
    <mergeCell ref="A14:N14"/>
    <mergeCell ref="A15:N15"/>
  </mergeCells>
  <conditionalFormatting sqref="D6:G6">
    <cfRule type="expression" dxfId="2" priority="1">
      <formula>$D$6&lt;&gt;"Ready"</formula>
    </cfRule>
  </conditionalFormatting>
  <conditionalFormatting sqref="I38:J56">
    <cfRule type="notContainsText" dxfId="1" priority="2" operator="notContains" text="Screen passed"/>
  </conditionalFormatting>
  <dataValidations count="3">
    <dataValidation type="list" sqref="B6" xr:uid="{00000000-0002-0000-0600-000000000000}">
      <formula1>"call,put"</formula1>
    </dataValidation>
    <dataValidation type="list" sqref="B7:B8" xr:uid="{00000000-0002-0000-0600-000001000000}">
      <formula1>IF($B$6="call",$P$6:$P$31,$Q$6:$Q$29)</formula1>
    </dataValidation>
    <dataValidation type="list" sqref="B9" xr:uid="{00000000-0002-0000-0600-000002000000}">
      <formula1>"1:1,1:2"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Daily volatility</vt:lpstr>
      <vt:lpstr>IV history</vt:lpstr>
      <vt:lpstr>Strategies</vt:lpstr>
      <vt:lpstr>Option source</vt:lpstr>
      <vt:lpstr>Model inputs</vt:lpstr>
      <vt:lpstr>Ratio explorer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MARTIN JUAREZ PACHECO</cp:lastModifiedBy>
  <dcterms:modified xsi:type="dcterms:W3CDTF">2026-09-18T22:35:32Z</dcterms:modified>
</cp:coreProperties>
</file>